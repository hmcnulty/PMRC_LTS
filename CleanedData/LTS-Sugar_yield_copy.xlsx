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drawings/drawing3.xml" ContentType="application/vnd.openxmlformats-officedocument.drawingml.chartshapes+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4.xml" ContentType="application/vnd.openxmlformats-officedocument.spreadsheetml.worksheet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3.xml" ContentType="application/vnd.openxmlformats-officedocument.spreadsheetml.worksheet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hannahmcnulty/Desktop/Long Term Data/data/"/>
    </mc:Choice>
  </mc:AlternateContent>
  <xr:revisionPtr revIDLastSave="0" documentId="13_ncr:1_{4D50FAB2-B0D7-764F-A75E-D04C9B37AD63}" xr6:coauthVersionLast="47" xr6:coauthVersionMax="47" xr10:uidLastSave="{00000000-0000-0000-0000-000000000000}"/>
  <bookViews>
    <workbookView xWindow="4720" yWindow="3660" windowWidth="25920" windowHeight="14140" xr2:uid="{00000000-000D-0000-FFFF-FFFF00000000}"/>
  </bookViews>
  <sheets>
    <sheet name="Tree Growth and Yield" sheetId="6" r:id="rId1"/>
    <sheet name="Tapping" sheetId="13" r:id="rId2"/>
    <sheet name="Stats" sheetId="12" r:id="rId3"/>
    <sheet name="Charts" sheetId="10" r:id="rId4"/>
    <sheet name="Orig Tree Assignments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13" l="1"/>
  <c r="D95" i="13"/>
  <c r="D94" i="13"/>
  <c r="Z27" i="6"/>
  <c r="AA27" i="6" s="1"/>
  <c r="AC27" i="6" s="1"/>
  <c r="AD27" i="6"/>
  <c r="AE27" i="6" s="1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2" i="6"/>
  <c r="BM95" i="6"/>
  <c r="BM96" i="6"/>
  <c r="X94" i="6"/>
  <c r="X95" i="6"/>
  <c r="X96" i="6"/>
  <c r="BA96" i="6"/>
  <c r="BA95" i="6"/>
  <c r="BA94" i="6"/>
  <c r="AX94" i="6"/>
  <c r="AX95" i="6"/>
  <c r="AX96" i="6"/>
  <c r="AW96" i="6"/>
  <c r="AW95" i="6"/>
  <c r="AW94" i="6"/>
  <c r="AZ53" i="6"/>
  <c r="AZ91" i="6"/>
  <c r="AZ90" i="6"/>
  <c r="AZ89" i="6"/>
  <c r="AZ88" i="6"/>
  <c r="AZ87" i="6"/>
  <c r="AZ86" i="6"/>
  <c r="AZ85" i="6"/>
  <c r="AZ84" i="6"/>
  <c r="AZ83" i="6"/>
  <c r="AZ82" i="6"/>
  <c r="AZ81" i="6"/>
  <c r="AZ80" i="6"/>
  <c r="AZ79" i="6"/>
  <c r="AZ78" i="6"/>
  <c r="AZ77" i="6"/>
  <c r="AZ76" i="6"/>
  <c r="AZ75" i="6"/>
  <c r="AZ74" i="6"/>
  <c r="AZ73" i="6"/>
  <c r="AZ72" i="6"/>
  <c r="AZ71" i="6"/>
  <c r="AZ70" i="6"/>
  <c r="AZ69" i="6"/>
  <c r="AZ68" i="6"/>
  <c r="AZ67" i="6"/>
  <c r="AZ66" i="6"/>
  <c r="AZ65" i="6"/>
  <c r="AZ64" i="6"/>
  <c r="AZ63" i="6"/>
  <c r="AZ62" i="6"/>
  <c r="AZ61" i="6"/>
  <c r="AZ60" i="6"/>
  <c r="AZ59" i="6"/>
  <c r="AZ58" i="6"/>
  <c r="AZ57" i="6"/>
  <c r="AZ56" i="6"/>
  <c r="AZ55" i="6"/>
  <c r="AZ54" i="6"/>
  <c r="AZ52" i="6"/>
  <c r="AZ51" i="6"/>
  <c r="AZ50" i="6"/>
  <c r="AZ49" i="6"/>
  <c r="AZ48" i="6"/>
  <c r="AZ47" i="6"/>
  <c r="AZ46" i="6"/>
  <c r="AZ45" i="6"/>
  <c r="AZ44" i="6"/>
  <c r="AZ43" i="6"/>
  <c r="AZ42" i="6"/>
  <c r="AZ41" i="6"/>
  <c r="AZ40" i="6"/>
  <c r="AZ39" i="6"/>
  <c r="AZ38" i="6"/>
  <c r="AZ37" i="6"/>
  <c r="AZ36" i="6"/>
  <c r="AZ35" i="6"/>
  <c r="AZ34" i="6"/>
  <c r="AZ33" i="6"/>
  <c r="AZ32" i="6"/>
  <c r="AZ31" i="6"/>
  <c r="AZ30" i="6"/>
  <c r="AZ29" i="6"/>
  <c r="AZ28" i="6"/>
  <c r="AZ27" i="6"/>
  <c r="AZ26" i="6"/>
  <c r="AZ25" i="6"/>
  <c r="AZ24" i="6"/>
  <c r="AZ23" i="6"/>
  <c r="AZ22" i="6"/>
  <c r="AZ21" i="6"/>
  <c r="AZ20" i="6"/>
  <c r="AZ19" i="6"/>
  <c r="AZ18" i="6"/>
  <c r="AZ17" i="6"/>
  <c r="AZ16" i="6"/>
  <c r="AZ15" i="6"/>
  <c r="AZ14" i="6"/>
  <c r="AZ13" i="6"/>
  <c r="AZ12" i="6"/>
  <c r="AZ11" i="6"/>
  <c r="AZ10" i="6"/>
  <c r="AZ9" i="6"/>
  <c r="AZ8" i="6"/>
  <c r="AZ7" i="6"/>
  <c r="AZ6" i="6"/>
  <c r="AZ5" i="6"/>
  <c r="AZ4" i="6"/>
  <c r="AZ3" i="6"/>
  <c r="AZ2" i="6"/>
  <c r="CP95" i="6"/>
  <c r="CP96" i="6"/>
  <c r="BZ91" i="6"/>
  <c r="BZ90" i="6"/>
  <c r="BZ89" i="6"/>
  <c r="BZ88" i="6"/>
  <c r="BZ87" i="6"/>
  <c r="BZ86" i="6"/>
  <c r="BZ85" i="6"/>
  <c r="BZ84" i="6"/>
  <c r="BZ83" i="6"/>
  <c r="BZ82" i="6"/>
  <c r="BZ81" i="6"/>
  <c r="BZ80" i="6"/>
  <c r="BZ79" i="6"/>
  <c r="BZ78" i="6"/>
  <c r="BZ77" i="6"/>
  <c r="BZ76" i="6"/>
  <c r="BZ75" i="6"/>
  <c r="BZ74" i="6"/>
  <c r="BZ73" i="6"/>
  <c r="BZ72" i="6"/>
  <c r="BZ71" i="6"/>
  <c r="BZ70" i="6"/>
  <c r="BZ69" i="6"/>
  <c r="BZ68" i="6"/>
  <c r="BZ67" i="6"/>
  <c r="BZ66" i="6"/>
  <c r="BZ65" i="6"/>
  <c r="BZ64" i="6"/>
  <c r="BZ63" i="6"/>
  <c r="BZ62" i="6"/>
  <c r="BZ61" i="6"/>
  <c r="BZ60" i="6"/>
  <c r="BZ59" i="6"/>
  <c r="BZ58" i="6"/>
  <c r="BZ57" i="6"/>
  <c r="BZ56" i="6"/>
  <c r="BZ55" i="6"/>
  <c r="BZ54" i="6"/>
  <c r="BZ53" i="6"/>
  <c r="BZ52" i="6"/>
  <c r="BZ51" i="6"/>
  <c r="BZ50" i="6"/>
  <c r="BZ49" i="6"/>
  <c r="BZ48" i="6"/>
  <c r="BZ47" i="6"/>
  <c r="BZ46" i="6"/>
  <c r="BZ45" i="6"/>
  <c r="BZ44" i="6"/>
  <c r="BZ43" i="6"/>
  <c r="BZ42" i="6"/>
  <c r="BZ41" i="6"/>
  <c r="BZ40" i="6"/>
  <c r="BZ39" i="6"/>
  <c r="BZ38" i="6"/>
  <c r="BZ37" i="6"/>
  <c r="BZ36" i="6"/>
  <c r="BZ35" i="6"/>
  <c r="BZ34" i="6"/>
  <c r="BZ33" i="6"/>
  <c r="BZ32" i="6"/>
  <c r="AZ94" i="6" l="1"/>
  <c r="AZ95" i="6"/>
  <c r="AB27" i="6"/>
  <c r="AZ96" i="6"/>
  <c r="CP97" i="6"/>
  <c r="BZ95" i="6"/>
  <c r="BZ96" i="6"/>
  <c r="CR94" i="6"/>
  <c r="CS32" i="6"/>
  <c r="CS33" i="6"/>
  <c r="CS34" i="6"/>
  <c r="CS35" i="6"/>
  <c r="CS36" i="6"/>
  <c r="CS37" i="6"/>
  <c r="CS38" i="6"/>
  <c r="CS39" i="6"/>
  <c r="CS40" i="6"/>
  <c r="CS41" i="6"/>
  <c r="CS42" i="6"/>
  <c r="CS43" i="6"/>
  <c r="CS44" i="6"/>
  <c r="CS45" i="6"/>
  <c r="CS46" i="6"/>
  <c r="CS47" i="6"/>
  <c r="CS48" i="6"/>
  <c r="CS49" i="6"/>
  <c r="CS50" i="6"/>
  <c r="CS51" i="6"/>
  <c r="CS52" i="6"/>
  <c r="CS53" i="6"/>
  <c r="CS54" i="6"/>
  <c r="CS55" i="6"/>
  <c r="CS56" i="6"/>
  <c r="CS57" i="6"/>
  <c r="CS58" i="6"/>
  <c r="CS59" i="6"/>
  <c r="CS60" i="6"/>
  <c r="CS61" i="6"/>
  <c r="CS62" i="6"/>
  <c r="CS63" i="6"/>
  <c r="CS64" i="6"/>
  <c r="CS65" i="6"/>
  <c r="CS66" i="6"/>
  <c r="CS67" i="6"/>
  <c r="CS68" i="6"/>
  <c r="CS69" i="6"/>
  <c r="CS70" i="6"/>
  <c r="CS71" i="6"/>
  <c r="CS72" i="6"/>
  <c r="CS73" i="6"/>
  <c r="CS74" i="6"/>
  <c r="CS75" i="6"/>
  <c r="CS76" i="6"/>
  <c r="CS77" i="6"/>
  <c r="CS78" i="6"/>
  <c r="CS79" i="6"/>
  <c r="CS80" i="6"/>
  <c r="CS81" i="6"/>
  <c r="CS82" i="6"/>
  <c r="CS83" i="6"/>
  <c r="CS84" i="6"/>
  <c r="CS85" i="6"/>
  <c r="CS86" i="6"/>
  <c r="CS87" i="6"/>
  <c r="CS88" i="6"/>
  <c r="CS89" i="6"/>
  <c r="CS90" i="6"/>
  <c r="CS91" i="6"/>
  <c r="F98" i="6"/>
  <c r="F99" i="6"/>
  <c r="F100" i="6"/>
  <c r="E96" i="6"/>
  <c r="E95" i="6"/>
  <c r="E94" i="6"/>
  <c r="BJ96" i="6"/>
  <c r="BJ95" i="6"/>
  <c r="BZ97" i="6" l="1"/>
  <c r="CS96" i="6"/>
  <c r="CS95" i="6"/>
  <c r="CH95" i="6"/>
  <c r="CH96" i="6"/>
  <c r="CS97" i="6" l="1"/>
  <c r="CH97" i="6"/>
  <c r="F106" i="1"/>
  <c r="F105" i="1"/>
  <c r="E106" i="1"/>
  <c r="E105" i="1"/>
  <c r="F104" i="1"/>
  <c r="E104" i="1"/>
  <c r="D106" i="1"/>
  <c r="D105" i="1"/>
  <c r="D104" i="1"/>
  <c r="BG95" i="6"/>
  <c r="BH95" i="6"/>
  <c r="BI95" i="6"/>
  <c r="BF95" i="6"/>
  <c r="BL95" i="6"/>
  <c r="BK95" i="6"/>
  <c r="BG96" i="6"/>
  <c r="BH96" i="6"/>
  <c r="BI96" i="6"/>
  <c r="BF96" i="6"/>
  <c r="BL96" i="6"/>
  <c r="BK96" i="6"/>
  <c r="BT95" i="6" l="1"/>
  <c r="BT96" i="6"/>
  <c r="BS95" i="6" l="1"/>
  <c r="BS96" i="6"/>
  <c r="BS97" i="6" l="1"/>
  <c r="BQ96" i="6"/>
  <c r="BQ95" i="6"/>
  <c r="BQ97" i="6" l="1"/>
  <c r="BP96" i="6"/>
  <c r="BP95" i="6"/>
  <c r="BR96" i="6" l="1"/>
  <c r="BR95" i="6"/>
  <c r="BR97" i="6" l="1"/>
  <c r="BT97" i="6"/>
  <c r="BU97" i="6"/>
  <c r="BP97" i="6"/>
  <c r="BY96" i="6"/>
  <c r="BY95" i="6"/>
  <c r="AN53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8" i="6"/>
  <c r="AE29" i="6"/>
  <c r="AE30" i="6"/>
  <c r="AE31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2" i="6"/>
  <c r="AA3" i="6"/>
  <c r="AC3" i="6" s="1"/>
  <c r="AA4" i="6"/>
  <c r="AC4" i="6" s="1"/>
  <c r="AA5" i="6"/>
  <c r="AC5" i="6" s="1"/>
  <c r="AA6" i="6"/>
  <c r="AC6" i="6" s="1"/>
  <c r="AA7" i="6"/>
  <c r="AC7" i="6" s="1"/>
  <c r="AA8" i="6"/>
  <c r="AC8" i="6" s="1"/>
  <c r="AA9" i="6"/>
  <c r="AC9" i="6" s="1"/>
  <c r="AA10" i="6"/>
  <c r="AC10" i="6" s="1"/>
  <c r="AA11" i="6"/>
  <c r="AC11" i="6" s="1"/>
  <c r="AB12" i="6"/>
  <c r="AA13" i="6"/>
  <c r="AC13" i="6" s="1"/>
  <c r="AA14" i="6"/>
  <c r="AC14" i="6" s="1"/>
  <c r="AA15" i="6"/>
  <c r="AC15" i="6" s="1"/>
  <c r="AA16" i="6"/>
  <c r="AC16" i="6" s="1"/>
  <c r="AA17" i="6"/>
  <c r="AC17" i="6" s="1"/>
  <c r="AA18" i="6"/>
  <c r="AC18" i="6" s="1"/>
  <c r="AA19" i="6"/>
  <c r="AC19" i="6" s="1"/>
  <c r="AA20" i="6"/>
  <c r="AC20" i="6" s="1"/>
  <c r="AA21" i="6"/>
  <c r="AC21" i="6" s="1"/>
  <c r="AA22" i="6"/>
  <c r="AC22" i="6" s="1"/>
  <c r="AA23" i="6"/>
  <c r="AC23" i="6" s="1"/>
  <c r="AA24" i="6"/>
  <c r="AC24" i="6" s="1"/>
  <c r="AB25" i="6"/>
  <c r="AA26" i="6"/>
  <c r="AC26" i="6" s="1"/>
  <c r="AA28" i="6"/>
  <c r="AC28" i="6" s="1"/>
  <c r="AA29" i="6"/>
  <c r="AC29" i="6" s="1"/>
  <c r="AA30" i="6"/>
  <c r="AC30" i="6" s="1"/>
  <c r="AA31" i="6"/>
  <c r="AC31" i="6" s="1"/>
  <c r="AA32" i="6"/>
  <c r="AC32" i="6" s="1"/>
  <c r="AA33" i="6"/>
  <c r="AC33" i="6" s="1"/>
  <c r="AA34" i="6"/>
  <c r="AC34" i="6" s="1"/>
  <c r="AA35" i="6"/>
  <c r="AC35" i="6" s="1"/>
  <c r="AA36" i="6"/>
  <c r="AC36" i="6" s="1"/>
  <c r="AA37" i="6"/>
  <c r="AC37" i="6" s="1"/>
  <c r="AA38" i="6"/>
  <c r="AC38" i="6" s="1"/>
  <c r="AA39" i="6"/>
  <c r="AC39" i="6" s="1"/>
  <c r="AA40" i="6"/>
  <c r="AC40" i="6" s="1"/>
  <c r="AA41" i="6"/>
  <c r="AC41" i="6" s="1"/>
  <c r="AA42" i="6"/>
  <c r="AC42" i="6" s="1"/>
  <c r="AA43" i="6"/>
  <c r="AC43" i="6" s="1"/>
  <c r="AA44" i="6"/>
  <c r="AC44" i="6" s="1"/>
  <c r="AA45" i="6"/>
  <c r="AC45" i="6" s="1"/>
  <c r="AA46" i="6"/>
  <c r="AC46" i="6" s="1"/>
  <c r="AA47" i="6"/>
  <c r="AC47" i="6" s="1"/>
  <c r="AA48" i="6"/>
  <c r="AC48" i="6" s="1"/>
  <c r="AB49" i="6"/>
  <c r="AA50" i="6"/>
  <c r="AC50" i="6" s="1"/>
  <c r="AA51" i="6"/>
  <c r="AC51" i="6" s="1"/>
  <c r="AA52" i="6"/>
  <c r="AC52" i="6" s="1"/>
  <c r="AA53" i="6"/>
  <c r="AC53" i="6" s="1"/>
  <c r="AA54" i="6"/>
  <c r="AC54" i="6" s="1"/>
  <c r="AA55" i="6"/>
  <c r="AC55" i="6" s="1"/>
  <c r="AA56" i="6"/>
  <c r="AC56" i="6" s="1"/>
  <c r="AA57" i="6"/>
  <c r="AC57" i="6" s="1"/>
  <c r="AA58" i="6"/>
  <c r="AC58" i="6" s="1"/>
  <c r="AA59" i="6"/>
  <c r="AC59" i="6" s="1"/>
  <c r="AB60" i="6"/>
  <c r="AA61" i="6"/>
  <c r="AC61" i="6" s="1"/>
  <c r="AB62" i="6"/>
  <c r="AA63" i="6"/>
  <c r="AC63" i="6" s="1"/>
  <c r="AA64" i="6"/>
  <c r="AC64" i="6" s="1"/>
  <c r="AA65" i="6"/>
  <c r="AC65" i="6" s="1"/>
  <c r="AA66" i="6"/>
  <c r="AC66" i="6" s="1"/>
  <c r="AA67" i="6"/>
  <c r="AC67" i="6" s="1"/>
  <c r="AA68" i="6"/>
  <c r="AC68" i="6" s="1"/>
  <c r="AA69" i="6"/>
  <c r="AC69" i="6" s="1"/>
  <c r="AA70" i="6"/>
  <c r="AC70" i="6" s="1"/>
  <c r="AA71" i="6"/>
  <c r="AC71" i="6" s="1"/>
  <c r="AA72" i="6"/>
  <c r="AC72" i="6" s="1"/>
  <c r="AA73" i="6"/>
  <c r="AC73" i="6" s="1"/>
  <c r="AA74" i="6"/>
  <c r="AC74" i="6" s="1"/>
  <c r="AA75" i="6"/>
  <c r="AC75" i="6" s="1"/>
  <c r="AA76" i="6"/>
  <c r="AC76" i="6" s="1"/>
  <c r="AB77" i="6"/>
  <c r="AA78" i="6"/>
  <c r="AC78" i="6" s="1"/>
  <c r="AA79" i="6"/>
  <c r="AC79" i="6" s="1"/>
  <c r="AA80" i="6"/>
  <c r="AC80" i="6" s="1"/>
  <c r="AA81" i="6"/>
  <c r="AC81" i="6" s="1"/>
  <c r="AA82" i="6"/>
  <c r="AC82" i="6" s="1"/>
  <c r="AA83" i="6"/>
  <c r="AC83" i="6" s="1"/>
  <c r="AB84" i="6"/>
  <c r="AA85" i="6"/>
  <c r="AC85" i="6" s="1"/>
  <c r="AA86" i="6"/>
  <c r="AC86" i="6" s="1"/>
  <c r="AB87" i="6"/>
  <c r="AA88" i="6"/>
  <c r="AC88" i="6" s="1"/>
  <c r="AA89" i="6"/>
  <c r="AC89" i="6" s="1"/>
  <c r="AA90" i="6"/>
  <c r="AC90" i="6" s="1"/>
  <c r="AA91" i="6"/>
  <c r="AC91" i="6" s="1"/>
  <c r="AB2" i="6"/>
  <c r="CO96" i="6"/>
  <c r="CN96" i="6"/>
  <c r="CM96" i="6"/>
  <c r="CL96" i="6"/>
  <c r="CK96" i="6"/>
  <c r="CJ96" i="6"/>
  <c r="CI96" i="6"/>
  <c r="CG96" i="6"/>
  <c r="CF96" i="6"/>
  <c r="CO95" i="6"/>
  <c r="CN95" i="6"/>
  <c r="CM95" i="6"/>
  <c r="CL95" i="6"/>
  <c r="CK95" i="6"/>
  <c r="CJ95" i="6"/>
  <c r="CI95" i="6"/>
  <c r="CG95" i="6"/>
  <c r="CF95" i="6"/>
  <c r="BE96" i="6"/>
  <c r="BD96" i="6"/>
  <c r="BC96" i="6"/>
  <c r="BE95" i="6"/>
  <c r="BD95" i="6"/>
  <c r="BC95" i="6"/>
  <c r="AS96" i="6"/>
  <c r="AR96" i="6"/>
  <c r="AQ96" i="6"/>
  <c r="AP96" i="6"/>
  <c r="AO96" i="6"/>
  <c r="AL96" i="6"/>
  <c r="AK96" i="6"/>
  <c r="AI96" i="6"/>
  <c r="AH96" i="6"/>
  <c r="AS95" i="6"/>
  <c r="AR95" i="6"/>
  <c r="AQ95" i="6"/>
  <c r="AP95" i="6"/>
  <c r="AO95" i="6"/>
  <c r="AL95" i="6"/>
  <c r="AK95" i="6"/>
  <c r="AI95" i="6"/>
  <c r="AH95" i="6"/>
  <c r="AS94" i="6"/>
  <c r="AR94" i="6"/>
  <c r="AQ94" i="6"/>
  <c r="AP94" i="6"/>
  <c r="AO94" i="6"/>
  <c r="AL94" i="6"/>
  <c r="AK94" i="6"/>
  <c r="AI94" i="6"/>
  <c r="AH94" i="6"/>
  <c r="H94" i="6"/>
  <c r="I94" i="6"/>
  <c r="J94" i="6"/>
  <c r="K94" i="6"/>
  <c r="M94" i="6"/>
  <c r="N94" i="6"/>
  <c r="O94" i="6"/>
  <c r="O98" i="6" s="1"/>
  <c r="P94" i="6"/>
  <c r="P98" i="6" s="1"/>
  <c r="Q94" i="6"/>
  <c r="Q98" i="6" s="1"/>
  <c r="R94" i="6"/>
  <c r="S94" i="6"/>
  <c r="T94" i="6"/>
  <c r="U94" i="6"/>
  <c r="V94" i="6"/>
  <c r="W94" i="6"/>
  <c r="H95" i="6"/>
  <c r="I95" i="6"/>
  <c r="J95" i="6"/>
  <c r="K95" i="6"/>
  <c r="M95" i="6"/>
  <c r="N95" i="6"/>
  <c r="N99" i="6" s="1"/>
  <c r="O95" i="6"/>
  <c r="P95" i="6"/>
  <c r="P99" i="6" s="1"/>
  <c r="Q95" i="6"/>
  <c r="R95" i="6"/>
  <c r="R99" i="6" s="1"/>
  <c r="S95" i="6"/>
  <c r="T95" i="6"/>
  <c r="U95" i="6"/>
  <c r="V95" i="6"/>
  <c r="W95" i="6"/>
  <c r="H96" i="6"/>
  <c r="I96" i="6"/>
  <c r="J96" i="6"/>
  <c r="K96" i="6"/>
  <c r="M96" i="6"/>
  <c r="N96" i="6"/>
  <c r="O96" i="6"/>
  <c r="P96" i="6"/>
  <c r="Q96" i="6"/>
  <c r="R96" i="6"/>
  <c r="S96" i="6"/>
  <c r="T96" i="6"/>
  <c r="U96" i="6"/>
  <c r="V96" i="6"/>
  <c r="W96" i="6"/>
  <c r="D96" i="6"/>
  <c r="D95" i="6"/>
  <c r="D94" i="6"/>
  <c r="G96" i="6"/>
  <c r="G95" i="6"/>
  <c r="G94" i="6"/>
  <c r="G98" i="6" s="1"/>
  <c r="Q99" i="6" l="1"/>
  <c r="M99" i="6"/>
  <c r="X99" i="6"/>
  <c r="M100" i="6"/>
  <c r="X100" i="6"/>
  <c r="S100" i="6"/>
  <c r="M98" i="6"/>
  <c r="X98" i="6"/>
  <c r="R100" i="6"/>
  <c r="Q100" i="6"/>
  <c r="P100" i="6"/>
  <c r="O100" i="6"/>
  <c r="N100" i="6"/>
  <c r="O99" i="6"/>
  <c r="T100" i="6"/>
  <c r="N98" i="6"/>
  <c r="CR96" i="6"/>
  <c r="CR95" i="6"/>
  <c r="W98" i="6"/>
  <c r="W99" i="6"/>
  <c r="W100" i="6"/>
  <c r="V99" i="6"/>
  <c r="U98" i="6"/>
  <c r="V98" i="6"/>
  <c r="V100" i="6"/>
  <c r="U99" i="6"/>
  <c r="T98" i="6"/>
  <c r="U100" i="6"/>
  <c r="T99" i="6"/>
  <c r="S98" i="6"/>
  <c r="S99" i="6"/>
  <c r="R98" i="6"/>
  <c r="K98" i="6"/>
  <c r="K101" i="6"/>
  <c r="J98" i="6"/>
  <c r="J101" i="6"/>
  <c r="I98" i="6"/>
  <c r="I101" i="6"/>
  <c r="H98" i="6"/>
  <c r="H101" i="6"/>
  <c r="H100" i="6"/>
  <c r="J99" i="6"/>
  <c r="J100" i="6"/>
  <c r="K99" i="6"/>
  <c r="K100" i="6"/>
  <c r="G99" i="6"/>
  <c r="I99" i="6"/>
  <c r="I100" i="6"/>
  <c r="H99" i="6"/>
  <c r="G100" i="6"/>
  <c r="BY97" i="6"/>
  <c r="AA12" i="6"/>
  <c r="AC12" i="6" s="1"/>
  <c r="AN95" i="6"/>
  <c r="AB64" i="6"/>
  <c r="AB22" i="6"/>
  <c r="AB80" i="6"/>
  <c r="AN96" i="6"/>
  <c r="AN94" i="6"/>
  <c r="AA87" i="6"/>
  <c r="AC87" i="6" s="1"/>
  <c r="AB63" i="6"/>
  <c r="AB88" i="6"/>
  <c r="AB65" i="6"/>
  <c r="AB23" i="6"/>
  <c r="AB16" i="6"/>
  <c r="AD94" i="6"/>
  <c r="AB61" i="6"/>
  <c r="AB13" i="6"/>
  <c r="AB48" i="6"/>
  <c r="AB11" i="6"/>
  <c r="AB47" i="6"/>
  <c r="AB8" i="6"/>
  <c r="AB45" i="6"/>
  <c r="AB7" i="6"/>
  <c r="AD95" i="6"/>
  <c r="AB43" i="6"/>
  <c r="AB4" i="6"/>
  <c r="AA62" i="6"/>
  <c r="AC62" i="6" s="1"/>
  <c r="AB91" i="6"/>
  <c r="AB40" i="6"/>
  <c r="AB39" i="6"/>
  <c r="AB38" i="6"/>
  <c r="AA60" i="6"/>
  <c r="AC60" i="6" s="1"/>
  <c r="AB81" i="6"/>
  <c r="AB32" i="6"/>
  <c r="AB31" i="6"/>
  <c r="AB79" i="6"/>
  <c r="AB29" i="6"/>
  <c r="AD96" i="6"/>
  <c r="AB72" i="6"/>
  <c r="AA25" i="6"/>
  <c r="AC25" i="6" s="1"/>
  <c r="AB71" i="6"/>
  <c r="AB24" i="6"/>
  <c r="AE96" i="6"/>
  <c r="AB75" i="6"/>
  <c r="AB59" i="6"/>
  <c r="AA84" i="6"/>
  <c r="AC84" i="6" s="1"/>
  <c r="AB89" i="6"/>
  <c r="AB73" i="6"/>
  <c r="AB57" i="6"/>
  <c r="AB41" i="6"/>
  <c r="AB9" i="6"/>
  <c r="AB70" i="6"/>
  <c r="AB6" i="6"/>
  <c r="CG97" i="6"/>
  <c r="AB85" i="6"/>
  <c r="AB69" i="6"/>
  <c r="AB53" i="6"/>
  <c r="AB37" i="6"/>
  <c r="AB21" i="6"/>
  <c r="AB5" i="6"/>
  <c r="AB55" i="6"/>
  <c r="AB86" i="6"/>
  <c r="AB68" i="6"/>
  <c r="AB52" i="6"/>
  <c r="AB36" i="6"/>
  <c r="AB20" i="6"/>
  <c r="AB83" i="6"/>
  <c r="AB67" i="6"/>
  <c r="AB51" i="6"/>
  <c r="AB35" i="6"/>
  <c r="AB19" i="6"/>
  <c r="AB3" i="6"/>
  <c r="AB54" i="6"/>
  <c r="AB82" i="6"/>
  <c r="AB66" i="6"/>
  <c r="AB50" i="6"/>
  <c r="AB34" i="6"/>
  <c r="AB18" i="6"/>
  <c r="AA77" i="6"/>
  <c r="AC77" i="6" s="1"/>
  <c r="AA49" i="6"/>
  <c r="AC49" i="6" s="1"/>
  <c r="AB33" i="6"/>
  <c r="AB17" i="6"/>
  <c r="AE32" i="6"/>
  <c r="AE95" i="6" s="1"/>
  <c r="AE3" i="6"/>
  <c r="AE94" i="6" s="1"/>
  <c r="AB15" i="6"/>
  <c r="AB78" i="6"/>
  <c r="AB46" i="6"/>
  <c r="AB30" i="6"/>
  <c r="AB14" i="6"/>
  <c r="AB56" i="6"/>
  <c r="AB76" i="6"/>
  <c r="AB44" i="6"/>
  <c r="AB28" i="6"/>
  <c r="AB90" i="6"/>
  <c r="AB74" i="6"/>
  <c r="AB58" i="6"/>
  <c r="AB42" i="6"/>
  <c r="AB26" i="6"/>
  <c r="AB10" i="6"/>
  <c r="Z94" i="6"/>
  <c r="Z96" i="6"/>
  <c r="CK97" i="6"/>
  <c r="AA2" i="6"/>
  <c r="AC2" i="6" s="1"/>
  <c r="CL97" i="6"/>
  <c r="Z95" i="6"/>
  <c r="CM97" i="6"/>
  <c r="CF97" i="6"/>
  <c r="CJ97" i="6"/>
  <c r="CN97" i="6"/>
  <c r="CI97" i="6"/>
  <c r="CO97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136" i="6"/>
  <c r="L89" i="6"/>
  <c r="L90" i="6"/>
  <c r="L91" i="6"/>
  <c r="I62" i="10"/>
  <c r="I61" i="10"/>
  <c r="I60" i="10"/>
  <c r="I59" i="10"/>
  <c r="I58" i="10"/>
  <c r="I57" i="10"/>
  <c r="I56" i="10"/>
  <c r="I55" i="10"/>
  <c r="G62" i="10"/>
  <c r="F62" i="10"/>
  <c r="G61" i="10"/>
  <c r="F61" i="10"/>
  <c r="G60" i="10"/>
  <c r="F60" i="10"/>
  <c r="G59" i="10"/>
  <c r="F59" i="10"/>
  <c r="G58" i="10"/>
  <c r="F58" i="10"/>
  <c r="G57" i="10"/>
  <c r="F57" i="10"/>
  <c r="G56" i="10"/>
  <c r="F56" i="10"/>
  <c r="G55" i="10"/>
  <c r="F55" i="10"/>
  <c r="CR97" i="6" l="1"/>
  <c r="Z101" i="6"/>
  <c r="AC94" i="6"/>
  <c r="AC95" i="6"/>
  <c r="AA96" i="6"/>
  <c r="AB95" i="6"/>
  <c r="AC96" i="6"/>
  <c r="AB94" i="6"/>
  <c r="AB96" i="6"/>
  <c r="AA95" i="6"/>
  <c r="AA94" i="6"/>
  <c r="L95" i="6"/>
  <c r="L96" i="6"/>
  <c r="AT91" i="6" l="1"/>
  <c r="AT90" i="6"/>
  <c r="AT89" i="6"/>
  <c r="AT136" i="6"/>
  <c r="AT88" i="6"/>
  <c r="AT87" i="6"/>
  <c r="AT86" i="6"/>
  <c r="AT85" i="6"/>
  <c r="AT84" i="6"/>
  <c r="AT83" i="6"/>
  <c r="AT82" i="6"/>
  <c r="AT81" i="6"/>
  <c r="AT80" i="6"/>
  <c r="AT79" i="6"/>
  <c r="AT78" i="6"/>
  <c r="AT77" i="6"/>
  <c r="AT76" i="6"/>
  <c r="AT75" i="6"/>
  <c r="AT74" i="6"/>
  <c r="AT73" i="6"/>
  <c r="AT72" i="6"/>
  <c r="AT71" i="6"/>
  <c r="AT70" i="6"/>
  <c r="AT69" i="6"/>
  <c r="AT68" i="6"/>
  <c r="AT67" i="6"/>
  <c r="AT66" i="6"/>
  <c r="AT65" i="6"/>
  <c r="AT64" i="6"/>
  <c r="AT63" i="6"/>
  <c r="AT62" i="6"/>
  <c r="AT61" i="6"/>
  <c r="AT60" i="6"/>
  <c r="AT59" i="6"/>
  <c r="AT58" i="6"/>
  <c r="AT57" i="6"/>
  <c r="AT56" i="6"/>
  <c r="AT55" i="6"/>
  <c r="AT54" i="6"/>
  <c r="AT53" i="6"/>
  <c r="AT52" i="6"/>
  <c r="AT51" i="6"/>
  <c r="AT50" i="6"/>
  <c r="AT49" i="6"/>
  <c r="AT48" i="6"/>
  <c r="AT47" i="6"/>
  <c r="AT46" i="6"/>
  <c r="AT45" i="6"/>
  <c r="AT44" i="6"/>
  <c r="AT43" i="6"/>
  <c r="AT42" i="6"/>
  <c r="AT41" i="6"/>
  <c r="AT40" i="6"/>
  <c r="AT39" i="6"/>
  <c r="AT38" i="6"/>
  <c r="AT37" i="6"/>
  <c r="AT36" i="6"/>
  <c r="AT35" i="6"/>
  <c r="AT34" i="6"/>
  <c r="AT33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L2" i="6"/>
  <c r="L94" i="6" s="1"/>
  <c r="L98" i="6" l="1"/>
  <c r="L101" i="6"/>
  <c r="L100" i="6"/>
  <c r="L99" i="6"/>
  <c r="AT96" i="6"/>
  <c r="AT95" i="6"/>
  <c r="AT94" i="6"/>
  <c r="J106" i="1"/>
  <c r="I106" i="1"/>
  <c r="H106" i="1"/>
  <c r="G106" i="1"/>
  <c r="A106" i="1"/>
  <c r="J105" i="1"/>
  <c r="I105" i="1"/>
  <c r="H105" i="1"/>
  <c r="G105" i="1"/>
  <c r="A105" i="1"/>
  <c r="J104" i="1"/>
  <c r="I104" i="1"/>
  <c r="H104" i="1"/>
  <c r="G104" i="1"/>
  <c r="A104" i="1"/>
  <c r="J101" i="1"/>
  <c r="I101" i="1"/>
  <c r="H101" i="1"/>
  <c r="G101" i="1"/>
  <c r="D101" i="1"/>
  <c r="J100" i="1"/>
  <c r="I100" i="1"/>
  <c r="H100" i="1"/>
  <c r="G100" i="1"/>
  <c r="D100" i="1"/>
  <c r="J99" i="1"/>
  <c r="I99" i="1"/>
  <c r="H99" i="1"/>
  <c r="G99" i="1"/>
  <c r="D99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2" i="1"/>
  <c r="K81" i="1"/>
  <c r="K80" i="1"/>
  <c r="K79" i="1"/>
  <c r="K78" i="1"/>
  <c r="K77" i="1"/>
  <c r="K76" i="1"/>
  <c r="K75" i="1"/>
  <c r="K74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99" i="1" l="1"/>
  <c r="K106" i="1"/>
  <c r="I108" i="1"/>
  <c r="D108" i="1"/>
  <c r="J108" i="1"/>
  <c r="H108" i="1"/>
  <c r="K105" i="1"/>
  <c r="G108" i="1"/>
  <c r="K101" i="1"/>
  <c r="K104" i="1"/>
  <c r="K100" i="1"/>
  <c r="K10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Abby</author>
    <author>Dr. Timothy Perkins</author>
    <author>Brendan Haynes</author>
  </authors>
  <commentList>
    <comment ref="AI1" authorId="0" shapeId="0" xr:uid="{1EC5B4D3-40FA-49EE-B2EB-848CEAF82143}">
      <text>
        <r>
          <rPr>
            <b/>
            <sz val="9"/>
            <color indexed="81"/>
            <rFont val="Tahoma"/>
            <family val="2"/>
          </rPr>
          <t>Abby:</t>
        </r>
        <r>
          <rPr>
            <sz val="9"/>
            <color indexed="81"/>
            <rFont val="Tahoma"/>
            <family val="2"/>
          </rPr>
          <t xml:space="preserve">
NAMP classifications made 8/6/2018 by Brendan Haynes following 2017 NAMP and FMC protocols.  Brendan did a NAMP cruise earlier in the summer, but re-did it on 8/6 after his methodology was "dialed in".  We will not use the earlier data.  An electronic copy of it was retained in the "datasheet" worksheet.
</t>
        </r>
      </text>
    </comment>
    <comment ref="AP1" authorId="0" shapeId="0" xr:uid="{9567592D-2B86-4CDE-92B7-8150A79FAA91}">
      <text>
        <r>
          <rPr>
            <b/>
            <sz val="9"/>
            <color rgb="FF000000"/>
            <rFont val="Tahoma"/>
            <family val="2"/>
          </rPr>
          <t>Abby: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Remeasurement of crown data using the original methods from 2013. Measured predominantly by Brendan Haynes after training from Mark I. over several days from 8/16/18 through 8/26/18.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We don't believe these data are necessarily useful or useable, as they are fairly crude/rough estimates, but they provide some continuity from the start.</t>
        </r>
      </text>
    </comment>
    <comment ref="BC1" authorId="1" shapeId="0" xr:uid="{27C2ABBD-E521-43F2-8E80-EFE0319AFE07}">
      <text>
        <r>
          <rPr>
            <sz val="9"/>
            <color indexed="81"/>
            <rFont val="Tahoma"/>
            <family val="2"/>
          </rPr>
          <t>1 = 0% closure
3 = 50% closure
5 = 100% closure</t>
        </r>
      </text>
    </comment>
    <comment ref="BL35" authorId="2" shapeId="0" xr:uid="{B6885912-0714-492D-BDF2-26F14CA872B6}">
      <text>
        <r>
          <rPr>
            <b/>
            <sz val="9"/>
            <color rgb="FF000000"/>
            <rFont val="Tahoma"/>
            <family val="2"/>
          </rPr>
          <t>Brendan Haynes: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4++ mostly closed</t>
        </r>
      </text>
    </comment>
    <comment ref="BL42" authorId="2" shapeId="0" xr:uid="{B99A3BEF-32E5-44C2-8087-3F4F31DF0DF9}">
      <text>
        <r>
          <rPr>
            <b/>
            <sz val="9"/>
            <color indexed="81"/>
            <rFont val="Tahoma"/>
            <family val="2"/>
          </rPr>
          <t>Brendan Haynes:</t>
        </r>
        <r>
          <rPr>
            <sz val="9"/>
            <color indexed="81"/>
            <rFont val="Tahoma"/>
            <family val="2"/>
          </rPr>
          <t xml:space="preserve">
2-- just barely not 100% open</t>
        </r>
      </text>
    </comment>
    <comment ref="U50" authorId="1" shapeId="0" xr:uid="{B1B9C7DE-8753-4F5D-80BD-636E89F3280D}">
      <text>
        <r>
          <rPr>
            <sz val="9"/>
            <color indexed="81"/>
            <rFont val="Tahoma"/>
            <family val="2"/>
          </rPr>
          <t>Has callus tissue at dbh</t>
        </r>
      </text>
    </comment>
    <comment ref="BL69" authorId="2" shapeId="0" xr:uid="{891555B8-048B-4432-9BC8-CFE9DAB96376}">
      <text>
        <r>
          <rPr>
            <b/>
            <sz val="9"/>
            <color indexed="81"/>
            <rFont val="Tahoma"/>
            <family val="2"/>
          </rPr>
          <t>Brendan Haynes:</t>
        </r>
        <r>
          <rPr>
            <sz val="9"/>
            <color indexed="81"/>
            <rFont val="Tahoma"/>
            <family val="2"/>
          </rPr>
          <t xml:space="preserve">
2-- just barely not 100% open</t>
        </r>
      </text>
    </comment>
    <comment ref="BL70" authorId="2" shapeId="0" xr:uid="{46D2CD79-48F0-417C-9249-4AB83936EDA2}">
      <text>
        <r>
          <rPr>
            <b/>
            <sz val="9"/>
            <color indexed="81"/>
            <rFont val="Tahoma"/>
            <family val="2"/>
          </rPr>
          <t>Brendan Haynes:</t>
        </r>
        <r>
          <rPr>
            <sz val="9"/>
            <color indexed="81"/>
            <rFont val="Tahoma"/>
            <family val="2"/>
          </rPr>
          <t xml:space="preserve">
2-- just barely not 100% open</t>
        </r>
      </text>
    </comment>
    <comment ref="BL90" authorId="2" shapeId="0" xr:uid="{B050F099-222B-416C-A28F-AA5B568CE51F}">
      <text>
        <r>
          <rPr>
            <b/>
            <sz val="9"/>
            <color indexed="81"/>
            <rFont val="Tahoma"/>
            <family val="2"/>
          </rPr>
          <t>Brendan Haynes:</t>
        </r>
        <r>
          <rPr>
            <sz val="9"/>
            <color indexed="81"/>
            <rFont val="Tahoma"/>
            <family val="2"/>
          </rPr>
          <t xml:space="preserve">
lower end of the scale for a 2</t>
        </r>
      </text>
    </comment>
    <comment ref="U136" authorId="1" shapeId="0" xr:uid="{84FFCC3C-383E-46F5-9D52-9F30835170FC}">
      <text>
        <r>
          <rPr>
            <sz val="9"/>
            <color indexed="81"/>
            <rFont val="Tahoma"/>
            <family val="2"/>
          </rPr>
          <t>Tree has died and removed from study</t>
        </r>
      </text>
    </comment>
  </commentList>
</comments>
</file>

<file path=xl/sharedStrings.xml><?xml version="1.0" encoding="utf-8"?>
<sst xmlns="http://schemas.openxmlformats.org/spreadsheetml/2006/main" count="1966" uniqueCount="344">
  <si>
    <t>Treatment #</t>
  </si>
  <si>
    <t>Treatment Name</t>
  </si>
  <si>
    <t>Original Tree ID</t>
  </si>
  <si>
    <t>New Tree ID</t>
  </si>
  <si>
    <t>Initial dbh 2013</t>
  </si>
  <si>
    <t>2013 Canopy Position Code</t>
  </si>
  <si>
    <t>2013 Canopy Position Scale (1-3)</t>
  </si>
  <si>
    <t>2013 Tree Height (ft)</t>
  </si>
  <si>
    <t>2013 Live Crown %</t>
  </si>
  <si>
    <t>2013 Crown Diam Max (ft)</t>
  </si>
  <si>
    <t>2013 Crown Diam 90 (ft)</t>
  </si>
  <si>
    <r>
      <t>2013 Crown Volume (ft</t>
    </r>
    <r>
      <rPr>
        <sz val="9"/>
        <color theme="1"/>
        <rFont val="Times New Roman"/>
        <family val="1"/>
      </rPr>
      <t>³</t>
    </r>
    <r>
      <rPr>
        <sz val="9"/>
        <color theme="1"/>
        <rFont val="Arial"/>
        <family val="2"/>
      </rPr>
      <t>)</t>
    </r>
  </si>
  <si>
    <t xml:space="preserve"> Inital dbh 2013 (in)</t>
  </si>
  <si>
    <t>2014 dbh (in)</t>
  </si>
  <si>
    <t>2015 dbh (in)</t>
  </si>
  <si>
    <t>2016 dbh (in)</t>
  </si>
  <si>
    <t>2017 dbh (in)</t>
  </si>
  <si>
    <t>2018 dbh (in)</t>
  </si>
  <si>
    <t>2019 dbh (in)</t>
  </si>
  <si>
    <t>2020 dbh (in)</t>
  </si>
  <si>
    <t>2021 dbh (in)</t>
  </si>
  <si>
    <t>2022 dbh (in)</t>
  </si>
  <si>
    <t>2023 dbh (in)</t>
  </si>
  <si>
    <t>2024 dbh (in)</t>
  </si>
  <si>
    <t>2025 dbh (in)</t>
  </si>
  <si>
    <t>Diameter Growth 2013-2024 (in)</t>
  </si>
  <si>
    <t>Diameter Growth 2013-2024 (%)</t>
  </si>
  <si>
    <t>Radial Growth 2013-2024 (in)</t>
  </si>
  <si>
    <t>Radial Growth 2013-2024 (%)</t>
  </si>
  <si>
    <r>
      <t>Basal Area Increase 2013-2024 (ft</t>
    </r>
    <r>
      <rPr>
        <sz val="9"/>
        <rFont val="Times New Roman"/>
        <family val="1"/>
      </rPr>
      <t>²</t>
    </r>
    <r>
      <rPr>
        <sz val="9"/>
        <rFont val="Arial"/>
        <family val="2"/>
      </rPr>
      <t>)</t>
    </r>
  </si>
  <si>
    <t>Basal Area Increase 2013-2024 (%)</t>
  </si>
  <si>
    <t>2021 Notes</t>
  </si>
  <si>
    <t>2017 NAMP Seed Rating</t>
  </si>
  <si>
    <t>2018 NAMP Vigor Rating</t>
  </si>
  <si>
    <t>2018 Canopy Position Scale (0-3)</t>
  </si>
  <si>
    <t>2018 Canopy Position Code</t>
  </si>
  <si>
    <t>2018 Live Crown Ratio (%)</t>
  </si>
  <si>
    <t>2018 Twig/Branch Mortality (%)</t>
  </si>
  <si>
    <t>2018 Twig/Branch Mortality (midpoint)</t>
  </si>
  <si>
    <t>2018 Foliage Transp (%)</t>
  </si>
  <si>
    <t>2018 Height</t>
  </si>
  <si>
    <t>2018 Live Crown (%)</t>
  </si>
  <si>
    <t>2018 Crown Diam Max (ft)</t>
  </si>
  <si>
    <t>2018 Crown Diam 90 (ft)</t>
  </si>
  <si>
    <r>
      <t>2018 Crown Volume (ft</t>
    </r>
    <r>
      <rPr>
        <sz val="9"/>
        <color theme="1"/>
        <rFont val="Times New Roman"/>
        <family val="1"/>
      </rPr>
      <t>³</t>
    </r>
    <r>
      <rPr>
        <sz val="9"/>
        <color theme="1"/>
        <rFont val="Arial"/>
        <family val="2"/>
      </rPr>
      <t>)</t>
    </r>
  </si>
  <si>
    <t>2018 Notes</t>
  </si>
  <si>
    <t>2024 Canopy Position Code</t>
  </si>
  <si>
    <t>2024 Live Crown Ratio (%)</t>
  </si>
  <si>
    <t>2024 Twig/Branch Mortality (%)</t>
  </si>
  <si>
    <t>2024 Twig/Branch Mortality (midpoint)</t>
  </si>
  <si>
    <t>2024 Foliage Transp (%)</t>
  </si>
  <si>
    <t>Taphole closure 2014 tap (meas 2015)</t>
  </si>
  <si>
    <t>Taphole closure 2015 tap (meas 2015)</t>
  </si>
  <si>
    <t>Taphole closure 2016 tap (meas 2016)</t>
  </si>
  <si>
    <t>Taphole closure 2017 tap (meas 2017)</t>
  </si>
  <si>
    <t>Taphole closure 2014 tap (meas 2017)</t>
  </si>
  <si>
    <t>Taphole closure 2015 tap (meas 2017)</t>
  </si>
  <si>
    <t>Taphole closure 2016 tap (meas 2017)</t>
  </si>
  <si>
    <t>Taphole closure 2022 tap (meas 2023)</t>
  </si>
  <si>
    <t>Taphole closure 2023 tap (meas 2023)</t>
  </si>
  <si>
    <t>Open Tapholes Oct 2024 (#)</t>
  </si>
  <si>
    <t>Open Tapholes Sept 2025 (#)</t>
  </si>
  <si>
    <r>
      <t>2014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</si>
  <si>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2015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</si>
  <si>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2016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</si>
  <si>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2017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</si>
  <si>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2018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</si>
  <si>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2019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</si>
  <si>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2020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</si>
  <si>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2021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</si>
  <si>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2022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</si>
  <si>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2023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</si>
  <si>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2024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</si>
  <si>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r>
      <t>2025 Sap Sugar Content (</t>
    </r>
    <r>
      <rPr>
        <sz val="9"/>
        <rFont val="Times New Roman"/>
        <family val="1"/>
      </rPr>
      <t>°</t>
    </r>
    <r>
      <rPr>
        <sz val="9"/>
        <rFont val="Arial"/>
        <family val="2"/>
      </rPr>
      <t>Brix)</t>
    </r>
  </si>
  <si>
    <t>Syrup Yield ( all in gallons of syrup equivalent/tap)</t>
  </si>
  <si>
    <t>Treatment</t>
  </si>
  <si>
    <t>ID (from yield</t>
  </si>
  <si>
    <t>2014 Syrup Yield (gpt)</t>
  </si>
  <si>
    <t>2015 Syrup Yield (gpt)</t>
  </si>
  <si>
    <t>2016 Syrup Yield (gpt)</t>
  </si>
  <si>
    <t>2017 Syrup Yield (gpt)</t>
  </si>
  <si>
    <t>2018 Syrup Yield (gpt)</t>
  </si>
  <si>
    <t>2019 Syrup Yield (gpt)</t>
  </si>
  <si>
    <t>2020 Syrup Yield (gpt)</t>
  </si>
  <si>
    <t>2021 Syrup Yield (gpt)</t>
  </si>
  <si>
    <t>2022 Syrup Yield (gpt)</t>
  </si>
  <si>
    <t>2023 Syrup Yield (gpt)</t>
  </si>
  <si>
    <t>2024 Syrup Yield (gpt)</t>
  </si>
  <si>
    <t>2025 Syrup Yield (gpt)</t>
  </si>
  <si>
    <t>Avg Yield (gpt)</t>
  </si>
  <si>
    <t>Total Sugar Removal (lbs)</t>
  </si>
  <si>
    <t>2017 Notes Problems</t>
  </si>
  <si>
    <t>2020 Notes Problems</t>
  </si>
  <si>
    <t>2021 Notes Problems</t>
  </si>
  <si>
    <t>2022 Notes Problems</t>
  </si>
  <si>
    <t>2023 Notes Problems</t>
  </si>
  <si>
    <t>2024 Notes Problems</t>
  </si>
  <si>
    <t>Tree 
Latitude</t>
  </si>
  <si>
    <t>Tree 
Longitude</t>
  </si>
  <si>
    <t>Untapped</t>
  </si>
  <si>
    <t>MB30</t>
  </si>
  <si>
    <t>CD</t>
  </si>
  <si>
    <t>DOM</t>
  </si>
  <si>
    <t>0-5</t>
  </si>
  <si>
    <t> </t>
  </si>
  <si>
    <t>MB32</t>
  </si>
  <si>
    <t>MB35</t>
  </si>
  <si>
    <t>MB40</t>
  </si>
  <si>
    <t>MB43</t>
  </si>
  <si>
    <t>MB44</t>
  </si>
  <si>
    <t>CD/INT</t>
  </si>
  <si>
    <t>MB51</t>
  </si>
  <si>
    <t>INT</t>
  </si>
  <si>
    <t>MB53</t>
  </si>
  <si>
    <t>MB56</t>
  </si>
  <si>
    <t>MB57</t>
  </si>
  <si>
    <t>MB62</t>
  </si>
  <si>
    <t>MB67</t>
  </si>
  <si>
    <t>MB63</t>
  </si>
  <si>
    <t>MB71</t>
  </si>
  <si>
    <t>MB74</t>
  </si>
  <si>
    <t>MB73</t>
  </si>
  <si>
    <t>MB77</t>
  </si>
  <si>
    <t>MB84</t>
  </si>
  <si>
    <t>MB88</t>
  </si>
  <si>
    <t>MB92</t>
  </si>
  <si>
    <t>MB21</t>
  </si>
  <si>
    <t>MB23</t>
  </si>
  <si>
    <t>MB22</t>
  </si>
  <si>
    <t>MB24</t>
  </si>
  <si>
    <t>MB15</t>
  </si>
  <si>
    <t>MB5</t>
  </si>
  <si>
    <t>MB12</t>
  </si>
  <si>
    <t>MB8</t>
  </si>
  <si>
    <t>MB3</t>
  </si>
  <si>
    <t>MB4</t>
  </si>
  <si>
    <t>Gravity</t>
  </si>
  <si>
    <t>MB25</t>
  </si>
  <si>
    <t>gravity</t>
  </si>
  <si>
    <t>MB26</t>
  </si>
  <si>
    <t>MB31</t>
  </si>
  <si>
    <t>MB29</t>
  </si>
  <si>
    <t>MB34</t>
  </si>
  <si>
    <t>MB36</t>
  </si>
  <si>
    <t>MB42</t>
  </si>
  <si>
    <t>MB49</t>
  </si>
  <si>
    <t>MB48</t>
  </si>
  <si>
    <t>MB52</t>
  </si>
  <si>
    <t>MB50</t>
  </si>
  <si>
    <t>MB54</t>
  </si>
  <si>
    <t>MB55</t>
  </si>
  <si>
    <t>MB58</t>
  </si>
  <si>
    <t>MB66</t>
  </si>
  <si>
    <t>Leaf miner</t>
  </si>
  <si>
    <t>MB68</t>
  </si>
  <si>
    <t>MB93</t>
  </si>
  <si>
    <t>MB65</t>
  </si>
  <si>
    <t>MB69</t>
  </si>
  <si>
    <t>has callus at DBH</t>
  </si>
  <si>
    <t>MB72</t>
  </si>
  <si>
    <t>supporting blowdown</t>
  </si>
  <si>
    <t>MB79</t>
  </si>
  <si>
    <t>MB78</t>
  </si>
  <si>
    <t>6-10</t>
  </si>
  <si>
    <t>MB80</t>
  </si>
  <si>
    <t>untapped?</t>
  </si>
  <si>
    <t>MB81</t>
  </si>
  <si>
    <t>MB83</t>
  </si>
  <si>
    <t>MB20</t>
  </si>
  <si>
    <t>MB16</t>
  </si>
  <si>
    <t>MB6</t>
  </si>
  <si>
    <t>MB13</t>
  </si>
  <si>
    <t>MB7</t>
  </si>
  <si>
    <t>Spout?</t>
  </si>
  <si>
    <t>MB9</t>
  </si>
  <si>
    <t>Vacuum</t>
  </si>
  <si>
    <t>MB27</t>
  </si>
  <si>
    <t>vacuum</t>
  </si>
  <si>
    <t>MB28</t>
  </si>
  <si>
    <t>***chamber had overflown and had ice</t>
  </si>
  <si>
    <t>MB33</t>
  </si>
  <si>
    <t>MB37</t>
  </si>
  <si>
    <t>tiny ball of ice</t>
  </si>
  <si>
    <t>MB38</t>
  </si>
  <si>
    <t>ice</t>
  </si>
  <si>
    <t>MB39</t>
  </si>
  <si>
    <t>MB41</t>
  </si>
  <si>
    <t>Released</t>
  </si>
  <si>
    <t>MB46</t>
  </si>
  <si>
    <t>Leaking</t>
  </si>
  <si>
    <t>MB45</t>
  </si>
  <si>
    <t>***chamber had overflown</t>
  </si>
  <si>
    <t>Full</t>
  </si>
  <si>
    <t>MB59</t>
  </si>
  <si>
    <t>MB60</t>
  </si>
  <si>
    <t>MB61</t>
  </si>
  <si>
    <t>MB64</t>
  </si>
  <si>
    <t>MB70</t>
  </si>
  <si>
    <t>May have overflowed during season</t>
  </si>
  <si>
    <t>MB75</t>
  </si>
  <si>
    <t>MB76</t>
  </si>
  <si>
    <t>***chamber had overflowed and had ice</t>
  </si>
  <si>
    <t>MB82</t>
  </si>
  <si>
    <t>MB90</t>
  </si>
  <si>
    <t>MB91</t>
  </si>
  <si>
    <t>MB89</t>
  </si>
  <si>
    <t>Chamber was full to the top and liquid had reached the vacuum drop</t>
  </si>
  <si>
    <t>MB87</t>
  </si>
  <si>
    <t>MB86</t>
  </si>
  <si>
    <t>MB19</t>
  </si>
  <si>
    <t>MB17</t>
  </si>
  <si>
    <t>MB18</t>
  </si>
  <si>
    <t>MB14</t>
  </si>
  <si>
    <t>MB11</t>
  </si>
  <si>
    <t>MB1</t>
  </si>
  <si>
    <t>MB2</t>
  </si>
  <si>
    <t>count</t>
  </si>
  <si>
    <t>Diameter</t>
  </si>
  <si>
    <t>Canopy Postion</t>
  </si>
  <si>
    <t>Tree Hght (ft)</t>
  </si>
  <si>
    <t>Live Crown Ratio</t>
  </si>
  <si>
    <t>Crown Diam (ft)</t>
  </si>
  <si>
    <r>
      <t>Crown Vol (ft</t>
    </r>
    <r>
      <rPr>
        <sz val="10"/>
        <color theme="1"/>
        <rFont val="Times New Roman"/>
        <family val="1"/>
      </rPr>
      <t>³</t>
    </r>
    <r>
      <rPr>
        <sz val="10"/>
        <color theme="1"/>
        <rFont val="Arial"/>
        <family val="2"/>
      </rPr>
      <t>)</t>
    </r>
  </si>
  <si>
    <t>2014/2</t>
  </si>
  <si>
    <t>2015/1</t>
  </si>
  <si>
    <t>2016/1</t>
  </si>
  <si>
    <t>2017/1</t>
  </si>
  <si>
    <t>2014/4</t>
  </si>
  <si>
    <t>2015/3</t>
  </si>
  <si>
    <t>2016/2</t>
  </si>
  <si>
    <t>2022/2</t>
  </si>
  <si>
    <t>2023/1</t>
  </si>
  <si>
    <t>2024 Open</t>
  </si>
  <si>
    <t>%</t>
  </si>
  <si>
    <t>Tree died during study - removed from all analyses</t>
  </si>
  <si>
    <t>MB10</t>
  </si>
  <si>
    <t>Tree is dead and removed from study.</t>
  </si>
  <si>
    <t>25-50</t>
  </si>
  <si>
    <t>Tree fallen into crown, difficult to determine transparency</t>
  </si>
  <si>
    <t>Tree is dead</t>
  </si>
  <si>
    <t>2014 Tapping Date</t>
  </si>
  <si>
    <t>Trt</t>
  </si>
  <si>
    <t>Diameter Growth 2013-2023 (in)</t>
  </si>
  <si>
    <t>Diameter Growth 2013-2023 (%)</t>
  </si>
  <si>
    <t>Radial Growth 2013-2023 (in)</t>
  </si>
  <si>
    <t>Radial Growth 2013-2023 (%)</t>
  </si>
  <si>
    <t>Basal Area Increase 2013-2023 (ft²)</t>
  </si>
  <si>
    <t>Basal Area Increase 2013-2023 (%)</t>
  </si>
  <si>
    <t>SSC 2014</t>
  </si>
  <si>
    <t>SSC2014</t>
  </si>
  <si>
    <t>SSC 2023</t>
  </si>
  <si>
    <t>SSC2023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</si>
  <si>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</si>
  <si>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</si>
  <si>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</si>
  <si>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</si>
  <si>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</si>
  <si>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</si>
  <si>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</si>
  <si>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</si>
  <si>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</si>
  <si>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</si>
  <si>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</si>
  <si>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</si>
  <si>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</si>
  <si>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</si>
  <si>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</si>
  <si>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</si>
  <si>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</si>
  <si>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</si>
  <si>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r>
      <t>Basal Area Increase 2013-2023 (ft</t>
    </r>
    <r>
      <rPr>
        <sz val="11"/>
        <color theme="1"/>
        <rFont val="Times New Roman"/>
        <family val="1"/>
      </rPr>
      <t>³</t>
    </r>
    <r>
      <rPr>
        <sz val="11"/>
        <color theme="1"/>
        <rFont val="Arial"/>
        <family val="2"/>
      </rPr>
      <t>)</t>
    </r>
  </si>
  <si>
    <r>
      <t>Basal Area Increase 2013-2023 (%</t>
    </r>
    <r>
      <rPr>
        <sz val="11"/>
        <color theme="1"/>
        <rFont val="Arial"/>
        <family val="2"/>
      </rPr>
      <t>)</t>
    </r>
  </si>
  <si>
    <t>N Rows</t>
  </si>
  <si>
    <t>Mean(Inital dbh (2013)</t>
  </si>
  <si>
    <t>Mean(2014 dbh)</t>
  </si>
  <si>
    <t>Mean(2015 dbh)</t>
  </si>
  <si>
    <t>Mean(2016 dbh)</t>
  </si>
  <si>
    <t>Mean(2017 dbh)</t>
  </si>
  <si>
    <t>Mean(2018 dbh)</t>
  </si>
  <si>
    <t>Mean(2019 dbh)</t>
  </si>
  <si>
    <t>Std Err( Inital dbh (2013))</t>
  </si>
  <si>
    <t>Std Err(2014 dbh)</t>
  </si>
  <si>
    <t>Std Err(2015 dbh)</t>
  </si>
  <si>
    <t>Std Err(2016 dbh)</t>
  </si>
  <si>
    <t>Std Err(2017 dbh)</t>
  </si>
  <si>
    <t>Std Err(2018 dbh)</t>
  </si>
  <si>
    <t>Std Err(2019 dbh)</t>
  </si>
  <si>
    <t>Mean(2020 dbh)</t>
  </si>
  <si>
    <t>Std Err(2020 dbh)</t>
  </si>
  <si>
    <t>Mean dbh 2021 (in)</t>
  </si>
  <si>
    <t>SE dbh 2021</t>
  </si>
  <si>
    <t>Mean(% BA Increase 2013-21)</t>
  </si>
  <si>
    <t>Std Err(% BA Increase 2013-21)</t>
  </si>
  <si>
    <t>dbh</t>
  </si>
  <si>
    <t>Mean(% DBH Change 2013-20)</t>
  </si>
  <si>
    <t>Std Err(% DBH Change 2013-20)</t>
  </si>
  <si>
    <t>Average Yield (2021)</t>
  </si>
  <si>
    <t>Average Average Yield 2014-2021</t>
  </si>
  <si>
    <t>SE</t>
  </si>
  <si>
    <t>Difference from Control</t>
  </si>
  <si>
    <t>Vacuum - Difference from Gravity</t>
  </si>
  <si>
    <t>%BAI 2013-2014</t>
  </si>
  <si>
    <t>%BAI 2014-2015</t>
  </si>
  <si>
    <t>%BAI 2015-2016</t>
  </si>
  <si>
    <t>%BAI 2016-2017</t>
  </si>
  <si>
    <t>%BAI 2017-2018</t>
  </si>
  <si>
    <t>%BAI 2018-2019</t>
  </si>
  <si>
    <t>%BAI 2019-2020</t>
  </si>
  <si>
    <t>%BAI 2020-2021</t>
  </si>
  <si>
    <t>Producer/Site ID, Date:</t>
  </si>
  <si>
    <t>Site indicators</t>
  </si>
  <si>
    <t>Treatment Assignment</t>
  </si>
  <si>
    <t>Canopy Position</t>
  </si>
  <si>
    <t>Height</t>
  </si>
  <si>
    <t>Live crown %</t>
  </si>
  <si>
    <t>Crwn diam. Max</t>
  </si>
  <si>
    <t>Crwn diam 90</t>
  </si>
  <si>
    <t>Crown Volume</t>
  </si>
  <si>
    <t>Slope</t>
  </si>
  <si>
    <t xml:space="preserve">Elev. </t>
  </si>
  <si>
    <t>Aspect</t>
  </si>
  <si>
    <t>Maple Regen</t>
  </si>
  <si>
    <t>Rich Site</t>
  </si>
  <si>
    <t>Wet Site</t>
  </si>
  <si>
    <t>Dry Site</t>
  </si>
  <si>
    <t>Codom</t>
  </si>
  <si>
    <t>MB85</t>
  </si>
  <si>
    <t>Stem Defect, tree not used</t>
  </si>
  <si>
    <t>MB47</t>
  </si>
  <si>
    <t>Not flagged, not used</t>
  </si>
  <si>
    <t>Tree died in 2016, removed from study</t>
  </si>
  <si>
    <t>Max</t>
  </si>
  <si>
    <t>Min</t>
  </si>
  <si>
    <t>Avg</t>
  </si>
  <si>
    <t>Final Count</t>
  </si>
  <si>
    <t>Group</t>
  </si>
  <si>
    <t>Avg dbh</t>
  </si>
  <si>
    <t>Max dbh</t>
  </si>
  <si>
    <t>Min dbh</t>
  </si>
  <si>
    <t>Untapped (Control)</t>
  </si>
  <si>
    <t>Gravity sap collection (Gravity)</t>
  </si>
  <si>
    <t>Vacuum sap collection (Vacuum)</t>
  </si>
  <si>
    <t>% Diff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</si>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</sst>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00"/>
    <numFmt numFmtId="167" formatCode="0.0%"/>
    <numFmt numFmtId="168" formatCode="_(* #,##0.0_);_(* \(#,##0.0\);_(* &quot;-&quot;??_);_(@_)"/>
  </numFmts>
  <fonts count="46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61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color rgb="FFFF0000"/>
      <name val="Arial"/>
      <family val="2"/>
    </font>
    <font>
      <sz val="9"/>
      <color theme="1"/>
      <name val="Times New Roman"/>
      <family val="1"/>
    </font>
    <font>
      <sz val="9"/>
      <name val="Arial"/>
      <family val="2"/>
    </font>
    <font>
      <sz val="8"/>
      <name val="Arial"/>
      <family val="2"/>
      <scheme val="minor"/>
    </font>
    <font>
      <sz val="9"/>
      <color rgb="FFFF0000"/>
      <name val="Arial"/>
      <family val="2"/>
    </font>
    <font>
      <sz val="9"/>
      <name val="Times New Roman"/>
      <family val="1"/>
    </font>
    <font>
      <u/>
      <sz val="10"/>
      <color theme="1"/>
      <name val="Arial"/>
      <family val="2"/>
    </font>
    <font>
      <b/>
      <i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9"/>
      <color theme="0"/>
      <name val="Arial"/>
      <family val="2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2"/>
    </font>
    <font>
      <sz val="8"/>
      <color rgb="FF000000"/>
      <name val="Arial"/>
      <family val="2"/>
    </font>
    <font>
      <b/>
      <i/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D2D3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CFFFF"/>
        <bgColor rgb="FF000000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43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316">
    <xf numFmtId="0" fontId="0" fillId="0" borderId="0" xfId="0"/>
    <xf numFmtId="0" fontId="6" fillId="0" borderId="8" xfId="0" applyFont="1" applyBorder="1"/>
    <xf numFmtId="0" fontId="8" fillId="3" borderId="8" xfId="3" applyBorder="1"/>
    <xf numFmtId="0" fontId="8" fillId="3" borderId="0" xfId="3"/>
    <xf numFmtId="0" fontId="4" fillId="2" borderId="8" xfId="1" applyBorder="1"/>
    <xf numFmtId="164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/>
    <xf numFmtId="2" fontId="4" fillId="2" borderId="1" xfId="1" applyNumberFormat="1" applyBorder="1"/>
    <xf numFmtId="0" fontId="0" fillId="0" borderId="1" xfId="0" applyBorder="1"/>
    <xf numFmtId="2" fontId="0" fillId="0" borderId="1" xfId="0" applyNumberFormat="1" applyBorder="1"/>
    <xf numFmtId="2" fontId="4" fillId="2" borderId="15" xfId="1" applyNumberFormat="1" applyBorder="1"/>
    <xf numFmtId="165" fontId="0" fillId="0" borderId="13" xfId="2" applyNumberFormat="1" applyFont="1" applyBorder="1"/>
    <xf numFmtId="166" fontId="0" fillId="0" borderId="0" xfId="0" applyNumberFormat="1"/>
    <xf numFmtId="0" fontId="5" fillId="0" borderId="10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4" borderId="10" xfId="4" applyFont="1" applyBorder="1"/>
    <xf numFmtId="0" fontId="5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wrapText="1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vertical="center" wrapText="1"/>
    </xf>
    <xf numFmtId="0" fontId="12" fillId="0" borderId="0" xfId="0" applyFont="1"/>
    <xf numFmtId="0" fontId="0" fillId="0" borderId="8" xfId="0" applyBorder="1"/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2" fontId="0" fillId="0" borderId="8" xfId="0" applyNumberFormat="1" applyBorder="1"/>
    <xf numFmtId="2" fontId="0" fillId="7" borderId="8" xfId="0" applyNumberFormat="1" applyFill="1" applyBorder="1"/>
    <xf numFmtId="164" fontId="0" fillId="12" borderId="8" xfId="0" applyNumberFormat="1" applyFill="1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64" fontId="19" fillId="7" borderId="8" xfId="0" applyNumberFormat="1" applyFont="1" applyFill="1" applyBorder="1"/>
    <xf numFmtId="164" fontId="20" fillId="7" borderId="8" xfId="0" applyNumberFormat="1" applyFont="1" applyFill="1" applyBorder="1" applyAlignment="1">
      <alignment horizontal="center" vertical="center"/>
    </xf>
    <xf numFmtId="164" fontId="19" fillId="14" borderId="8" xfId="0" applyNumberFormat="1" applyFont="1" applyFill="1" applyBorder="1"/>
    <xf numFmtId="2" fontId="10" fillId="0" borderId="8" xfId="0" applyNumberFormat="1" applyFont="1" applyBorder="1"/>
    <xf numFmtId="2" fontId="12" fillId="0" borderId="8" xfId="0" applyNumberFormat="1" applyFont="1" applyBorder="1"/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/>
    <xf numFmtId="0" fontId="18" fillId="0" borderId="8" xfId="0" applyFont="1" applyBorder="1"/>
    <xf numFmtId="0" fontId="17" fillId="0" borderId="8" xfId="0" applyFont="1" applyBorder="1"/>
    <xf numFmtId="166" fontId="18" fillId="0" borderId="8" xfId="0" applyNumberFormat="1" applyFont="1" applyBorder="1"/>
    <xf numFmtId="166" fontId="24" fillId="0" borderId="8" xfId="0" applyNumberFormat="1" applyFont="1" applyBorder="1"/>
    <xf numFmtId="2" fontId="10" fillId="7" borderId="8" xfId="0" applyNumberFormat="1" applyFont="1" applyFill="1" applyBorder="1"/>
    <xf numFmtId="0" fontId="17" fillId="7" borderId="8" xfId="0" applyFont="1" applyFill="1" applyBorder="1"/>
    <xf numFmtId="1" fontId="11" fillId="0" borderId="17" xfId="0" applyNumberFormat="1" applyFont="1" applyBorder="1" applyAlignment="1">
      <alignment horizontal="center" vertical="center"/>
    </xf>
    <xf numFmtId="0" fontId="0" fillId="0" borderId="17" xfId="0" applyBorder="1"/>
    <xf numFmtId="2" fontId="0" fillId="0" borderId="17" xfId="0" applyNumberFormat="1" applyBorder="1"/>
    <xf numFmtId="0" fontId="18" fillId="0" borderId="17" xfId="0" applyFont="1" applyBorder="1"/>
    <xf numFmtId="0" fontId="17" fillId="6" borderId="18" xfId="0" applyFont="1" applyFill="1" applyBorder="1" applyAlignment="1">
      <alignment horizontal="center" wrapText="1"/>
    </xf>
    <xf numFmtId="0" fontId="17" fillId="13" borderId="19" xfId="0" applyFont="1" applyFill="1" applyBorder="1" applyAlignment="1">
      <alignment horizontal="center" wrapText="1"/>
    </xf>
    <xf numFmtId="0" fontId="17" fillId="12" borderId="19" xfId="0" applyFont="1" applyFill="1" applyBorder="1" applyAlignment="1">
      <alignment horizontal="center" wrapText="1"/>
    </xf>
    <xf numFmtId="0" fontId="17" fillId="12" borderId="18" xfId="0" applyFont="1" applyFill="1" applyBorder="1" applyAlignment="1">
      <alignment horizontal="center" wrapText="1"/>
    </xf>
    <xf numFmtId="0" fontId="22" fillId="17" borderId="18" xfId="0" applyFont="1" applyFill="1" applyBorder="1" applyAlignment="1">
      <alignment horizontal="center" wrapText="1"/>
    </xf>
    <xf numFmtId="0" fontId="0" fillId="11" borderId="1" xfId="0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2" fillId="16" borderId="18" xfId="0" applyFont="1" applyFill="1" applyBorder="1" applyAlignment="1">
      <alignment horizontal="center" wrapText="1"/>
    </xf>
    <xf numFmtId="0" fontId="22" fillId="15" borderId="18" xfId="0" applyFont="1" applyFill="1" applyBorder="1" applyAlignment="1">
      <alignment horizontal="center" wrapText="1"/>
    </xf>
    <xf numFmtId="0" fontId="17" fillId="13" borderId="20" xfId="0" applyFont="1" applyFill="1" applyBorder="1" applyAlignment="1">
      <alignment horizontal="center" wrapText="1"/>
    </xf>
    <xf numFmtId="0" fontId="1" fillId="13" borderId="21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7" fillId="6" borderId="25" xfId="0" applyFont="1" applyFill="1" applyBorder="1" applyAlignment="1">
      <alignment horizontal="center" wrapText="1"/>
    </xf>
    <xf numFmtId="0" fontId="15" fillId="12" borderId="20" xfId="0" applyFont="1" applyFill="1" applyBorder="1" applyAlignment="1">
      <alignment horizontal="center" wrapText="1"/>
    </xf>
    <xf numFmtId="0" fontId="17" fillId="13" borderId="26" xfId="0" applyFont="1" applyFill="1" applyBorder="1" applyAlignment="1">
      <alignment horizontal="center" wrapText="1"/>
    </xf>
    <xf numFmtId="0" fontId="17" fillId="0" borderId="27" xfId="0" applyFont="1" applyBorder="1" applyAlignment="1">
      <alignment horizontal="center" wrapText="1"/>
    </xf>
    <xf numFmtId="0" fontId="22" fillId="12" borderId="25" xfId="0" applyFont="1" applyFill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22" fillId="17" borderId="27" xfId="0" applyFont="1" applyFill="1" applyBorder="1" applyAlignment="1">
      <alignment horizontal="center" wrapText="1"/>
    </xf>
    <xf numFmtId="0" fontId="17" fillId="6" borderId="27" xfId="0" applyFont="1" applyFill="1" applyBorder="1" applyAlignment="1">
      <alignment horizontal="center" wrapText="1"/>
    </xf>
    <xf numFmtId="0" fontId="22" fillId="17" borderId="25" xfId="0" applyFont="1" applyFill="1" applyBorder="1" applyAlignment="1">
      <alignment horizontal="center" wrapText="1"/>
    </xf>
    <xf numFmtId="0" fontId="22" fillId="15" borderId="27" xfId="0" applyFont="1" applyFill="1" applyBorder="1" applyAlignment="1">
      <alignment horizontal="center" wrapText="1"/>
    </xf>
    <xf numFmtId="0" fontId="22" fillId="15" borderId="25" xfId="0" applyFont="1" applyFill="1" applyBorder="1" applyAlignment="1">
      <alignment horizontal="center" wrapText="1"/>
    </xf>
    <xf numFmtId="9" fontId="0" fillId="0" borderId="0" xfId="5" applyFont="1"/>
    <xf numFmtId="164" fontId="19" fillId="7" borderId="0" xfId="0" applyNumberFormat="1" applyFont="1" applyFill="1"/>
    <xf numFmtId="164" fontId="1" fillId="12" borderId="17" xfId="0" applyNumberFormat="1" applyFont="1" applyFill="1" applyBorder="1"/>
    <xf numFmtId="164" fontId="10" fillId="12" borderId="17" xfId="0" applyNumberFormat="1" applyFont="1" applyFill="1" applyBorder="1"/>
    <xf numFmtId="164" fontId="1" fillId="12" borderId="8" xfId="0" applyNumberFormat="1" applyFont="1" applyFill="1" applyBorder="1"/>
    <xf numFmtId="164" fontId="10" fillId="12" borderId="8" xfId="0" applyNumberFormat="1" applyFont="1" applyFill="1" applyBorder="1"/>
    <xf numFmtId="167" fontId="10" fillId="12" borderId="17" xfId="5" applyNumberFormat="1" applyFont="1" applyFill="1" applyBorder="1"/>
    <xf numFmtId="2" fontId="10" fillId="12" borderId="17" xfId="0" applyNumberFormat="1" applyFont="1" applyFill="1" applyBorder="1"/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26" fillId="0" borderId="0" xfId="0" applyFont="1" applyAlignment="1">
      <alignment horizontal="right"/>
    </xf>
    <xf numFmtId="0" fontId="22" fillId="19" borderId="15" xfId="0" applyFont="1" applyFill="1" applyBorder="1" applyAlignment="1">
      <alignment horizontal="center" wrapText="1"/>
    </xf>
    <xf numFmtId="0" fontId="22" fillId="19" borderId="18" xfId="0" applyFont="1" applyFill="1" applyBorder="1" applyAlignment="1">
      <alignment horizontal="center" wrapText="1"/>
    </xf>
    <xf numFmtId="0" fontId="27" fillId="0" borderId="0" xfId="0" applyFont="1"/>
    <xf numFmtId="2" fontId="28" fillId="0" borderId="8" xfId="0" applyNumberFormat="1" applyFont="1" applyBorder="1"/>
    <xf numFmtId="2" fontId="10" fillId="0" borderId="17" xfId="0" applyNumberFormat="1" applyFont="1" applyBorder="1"/>
    <xf numFmtId="0" fontId="1" fillId="0" borderId="8" xfId="0" applyFont="1" applyBorder="1"/>
    <xf numFmtId="2" fontId="1" fillId="0" borderId="8" xfId="0" applyNumberFormat="1" applyFont="1" applyBorder="1"/>
    <xf numFmtId="2" fontId="1" fillId="0" borderId="0" xfId="0" applyNumberFormat="1" applyFont="1"/>
    <xf numFmtId="9" fontId="10" fillId="0" borderId="0" xfId="5" applyFont="1"/>
    <xf numFmtId="2" fontId="29" fillId="0" borderId="0" xfId="0" applyNumberFormat="1" applyFont="1"/>
    <xf numFmtId="166" fontId="0" fillId="0" borderId="0" xfId="0" quotePrefix="1" applyNumberFormat="1"/>
    <xf numFmtId="0" fontId="6" fillId="6" borderId="5" xfId="0" applyFont="1" applyFill="1" applyBorder="1" applyAlignment="1">
      <alignment horizontal="center" wrapText="1"/>
    </xf>
    <xf numFmtId="0" fontId="6" fillId="6" borderId="16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1" fillId="9" borderId="8" xfId="0" applyFont="1" applyFill="1" applyBorder="1"/>
    <xf numFmtId="0" fontId="1" fillId="8" borderId="8" xfId="0" applyFont="1" applyFill="1" applyBorder="1"/>
    <xf numFmtId="2" fontId="0" fillId="0" borderId="0" xfId="0" quotePrefix="1" applyNumberFormat="1"/>
    <xf numFmtId="2" fontId="30" fillId="0" borderId="8" xfId="0" applyNumberFormat="1" applyFont="1" applyBorder="1"/>
    <xf numFmtId="0" fontId="6" fillId="0" borderId="0" xfId="0" applyFont="1"/>
    <xf numFmtId="0" fontId="16" fillId="0" borderId="0" xfId="0" applyFont="1" applyAlignment="1">
      <alignment vertical="center"/>
    </xf>
    <xf numFmtId="0" fontId="31" fillId="20" borderId="18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2" fontId="0" fillId="7" borderId="0" xfId="0" applyNumberFormat="1" applyFill="1"/>
    <xf numFmtId="0" fontId="1" fillId="0" borderId="17" xfId="0" applyFont="1" applyBorder="1"/>
    <xf numFmtId="2" fontId="1" fillId="0" borderId="17" xfId="0" applyNumberFormat="1" applyFont="1" applyBorder="1"/>
    <xf numFmtId="2" fontId="30" fillId="0" borderId="17" xfId="0" applyNumberFormat="1" applyFont="1" applyBorder="1"/>
    <xf numFmtId="166" fontId="18" fillId="0" borderId="17" xfId="0" applyNumberFormat="1" applyFont="1" applyBorder="1"/>
    <xf numFmtId="0" fontId="17" fillId="0" borderId="17" xfId="0" applyFont="1" applyBorder="1"/>
    <xf numFmtId="0" fontId="1" fillId="13" borderId="27" xfId="0" applyFont="1" applyFill="1" applyBorder="1" applyAlignment="1">
      <alignment horizontal="center"/>
    </xf>
    <xf numFmtId="164" fontId="1" fillId="12" borderId="18" xfId="0" applyNumberFormat="1" applyFont="1" applyFill="1" applyBorder="1"/>
    <xf numFmtId="164" fontId="10" fillId="12" borderId="18" xfId="0" applyNumberFormat="1" applyFont="1" applyFill="1" applyBorder="1"/>
    <xf numFmtId="164" fontId="10" fillId="12" borderId="30" xfId="0" applyNumberFormat="1" applyFont="1" applyFill="1" applyBorder="1"/>
    <xf numFmtId="167" fontId="10" fillId="12" borderId="30" xfId="5" applyNumberFormat="1" applyFont="1" applyFill="1" applyBorder="1"/>
    <xf numFmtId="2" fontId="10" fillId="12" borderId="30" xfId="0" applyNumberFormat="1" applyFont="1" applyFill="1" applyBorder="1"/>
    <xf numFmtId="0" fontId="1" fillId="0" borderId="18" xfId="0" applyFont="1" applyBorder="1"/>
    <xf numFmtId="0" fontId="0" fillId="0" borderId="18" xfId="0" applyBorder="1"/>
    <xf numFmtId="2" fontId="10" fillId="0" borderId="18" xfId="0" applyNumberFormat="1" applyFont="1" applyBorder="1"/>
    <xf numFmtId="0" fontId="10" fillId="0" borderId="1" xfId="0" applyFont="1" applyBorder="1"/>
    <xf numFmtId="2" fontId="30" fillId="0" borderId="18" xfId="0" applyNumberFormat="1" applyFont="1" applyBorder="1"/>
    <xf numFmtId="166" fontId="18" fillId="0" borderId="18" xfId="0" applyNumberFormat="1" applyFont="1" applyBorder="1"/>
    <xf numFmtId="0" fontId="18" fillId="0" borderId="18" xfId="0" applyFont="1" applyBorder="1"/>
    <xf numFmtId="0" fontId="17" fillId="0" borderId="18" xfId="0" applyFont="1" applyBorder="1"/>
    <xf numFmtId="2" fontId="0" fillId="0" borderId="18" xfId="0" applyNumberFormat="1" applyBorder="1"/>
    <xf numFmtId="164" fontId="6" fillId="12" borderId="30" xfId="0" applyNumberFormat="1" applyFont="1" applyFill="1" applyBorder="1" applyAlignment="1">
      <alignment horizontal="center" wrapText="1"/>
    </xf>
    <xf numFmtId="0" fontId="22" fillId="14" borderId="25" xfId="0" applyFont="1" applyFill="1" applyBorder="1" applyAlignment="1">
      <alignment horizontal="center" wrapText="1"/>
    </xf>
    <xf numFmtId="164" fontId="10" fillId="14" borderId="17" xfId="0" applyNumberFormat="1" applyFont="1" applyFill="1" applyBorder="1"/>
    <xf numFmtId="164" fontId="10" fillId="14" borderId="30" xfId="0" applyNumberFormat="1" applyFont="1" applyFill="1" applyBorder="1"/>
    <xf numFmtId="0" fontId="0" fillId="14" borderId="0" xfId="0" applyFill="1"/>
    <xf numFmtId="167" fontId="10" fillId="14" borderId="17" xfId="5" applyNumberFormat="1" applyFont="1" applyFill="1" applyBorder="1"/>
    <xf numFmtId="167" fontId="10" fillId="14" borderId="30" xfId="5" applyNumberFormat="1" applyFont="1" applyFill="1" applyBorder="1"/>
    <xf numFmtId="2" fontId="10" fillId="14" borderId="17" xfId="0" applyNumberFormat="1" applyFont="1" applyFill="1" applyBorder="1"/>
    <xf numFmtId="2" fontId="10" fillId="14" borderId="30" xfId="0" applyNumberFormat="1" applyFont="1" applyFill="1" applyBorder="1"/>
    <xf numFmtId="164" fontId="10" fillId="9" borderId="17" xfId="0" applyNumberFormat="1" applyFont="1" applyFill="1" applyBorder="1"/>
    <xf numFmtId="167" fontId="10" fillId="9" borderId="17" xfId="5" applyNumberFormat="1" applyFont="1" applyFill="1" applyBorder="1"/>
    <xf numFmtId="2" fontId="10" fillId="9" borderId="17" xfId="0" applyNumberFormat="1" applyFont="1" applyFill="1" applyBorder="1"/>
    <xf numFmtId="0" fontId="0" fillId="9" borderId="0" xfId="0" applyFill="1"/>
    <xf numFmtId="164" fontId="10" fillId="9" borderId="30" xfId="0" applyNumberFormat="1" applyFont="1" applyFill="1" applyBorder="1"/>
    <xf numFmtId="167" fontId="10" fillId="9" borderId="30" xfId="5" applyNumberFormat="1" applyFont="1" applyFill="1" applyBorder="1"/>
    <xf numFmtId="2" fontId="10" fillId="9" borderId="30" xfId="0" applyNumberFormat="1" applyFont="1" applyFill="1" applyBorder="1"/>
    <xf numFmtId="164" fontId="10" fillId="10" borderId="17" xfId="0" applyNumberFormat="1" applyFont="1" applyFill="1" applyBorder="1"/>
    <xf numFmtId="167" fontId="10" fillId="10" borderId="17" xfId="5" applyNumberFormat="1" applyFont="1" applyFill="1" applyBorder="1"/>
    <xf numFmtId="2" fontId="10" fillId="10" borderId="17" xfId="0" applyNumberFormat="1" applyFont="1" applyFill="1" applyBorder="1"/>
    <xf numFmtId="0" fontId="34" fillId="0" borderId="32" xfId="0" applyFont="1" applyBorder="1" applyAlignment="1">
      <alignment horizontal="center"/>
    </xf>
    <xf numFmtId="0" fontId="0" fillId="5" borderId="0" xfId="0" applyFill="1"/>
    <xf numFmtId="168" fontId="10" fillId="9" borderId="17" xfId="2" applyNumberFormat="1" applyFont="1" applyFill="1" applyBorder="1"/>
    <xf numFmtId="168" fontId="10" fillId="10" borderId="17" xfId="2" applyNumberFormat="1" applyFont="1" applyFill="1" applyBorder="1"/>
    <xf numFmtId="168" fontId="10" fillId="12" borderId="30" xfId="2" applyNumberFormat="1" applyFont="1" applyFill="1" applyBorder="1"/>
    <xf numFmtId="168" fontId="10" fillId="9" borderId="30" xfId="2" applyNumberFormat="1" applyFont="1" applyFill="1" applyBorder="1"/>
    <xf numFmtId="0" fontId="15" fillId="12" borderId="0" xfId="0" applyFont="1" applyFill="1" applyAlignment="1">
      <alignment horizontal="center" wrapText="1"/>
    </xf>
    <xf numFmtId="0" fontId="0" fillId="21" borderId="0" xfId="0" applyFill="1"/>
    <xf numFmtId="0" fontId="8" fillId="3" borderId="8" xfId="3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4" borderId="9" xfId="4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0" fillId="0" borderId="8" xfId="0" applyFont="1" applyBorder="1"/>
    <xf numFmtId="2" fontId="0" fillId="0" borderId="0" xfId="0" applyNumberFormat="1"/>
    <xf numFmtId="0" fontId="17" fillId="22" borderId="18" xfId="0" applyFont="1" applyFill="1" applyBorder="1" applyAlignment="1">
      <alignment horizontal="center" wrapText="1"/>
    </xf>
    <xf numFmtId="0" fontId="17" fillId="18" borderId="18" xfId="0" applyFont="1" applyFill="1" applyBorder="1" applyAlignment="1">
      <alignment horizontal="center" wrapText="1"/>
    </xf>
    <xf numFmtId="49" fontId="17" fillId="18" borderId="18" xfId="0" applyNumberFormat="1" applyFont="1" applyFill="1" applyBorder="1" applyAlignment="1">
      <alignment horizontal="center" wrapText="1"/>
    </xf>
    <xf numFmtId="0" fontId="17" fillId="18" borderId="25" xfId="0" applyFont="1" applyFill="1" applyBorder="1" applyAlignment="1">
      <alignment horizontal="center" wrapText="1"/>
    </xf>
    <xf numFmtId="0" fontId="17" fillId="23" borderId="18" xfId="0" applyFont="1" applyFill="1" applyBorder="1" applyAlignment="1">
      <alignment horizontal="center" wrapText="1"/>
    </xf>
    <xf numFmtId="49" fontId="17" fillId="23" borderId="18" xfId="0" applyNumberFormat="1" applyFont="1" applyFill="1" applyBorder="1" applyAlignment="1">
      <alignment horizontal="center" wrapText="1"/>
    </xf>
    <xf numFmtId="1" fontId="1" fillId="0" borderId="1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2" fillId="24" borderId="25" xfId="0" applyFont="1" applyFill="1" applyBorder="1" applyAlignment="1">
      <alignment horizontal="center" wrapText="1"/>
    </xf>
    <xf numFmtId="164" fontId="10" fillId="24" borderId="17" xfId="0" applyNumberFormat="1" applyFont="1" applyFill="1" applyBorder="1"/>
    <xf numFmtId="167" fontId="10" fillId="24" borderId="17" xfId="5" applyNumberFormat="1" applyFont="1" applyFill="1" applyBorder="1"/>
    <xf numFmtId="2" fontId="10" fillId="24" borderId="17" xfId="0" applyNumberFormat="1" applyFont="1" applyFill="1" applyBorder="1"/>
    <xf numFmtId="164" fontId="10" fillId="24" borderId="30" xfId="0" applyNumberFormat="1" applyFont="1" applyFill="1" applyBorder="1"/>
    <xf numFmtId="167" fontId="10" fillId="24" borderId="30" xfId="5" applyNumberFormat="1" applyFont="1" applyFill="1" applyBorder="1"/>
    <xf numFmtId="0" fontId="22" fillId="15" borderId="0" xfId="0" applyFont="1" applyFill="1" applyAlignment="1">
      <alignment horizontal="center" wrapText="1"/>
    </xf>
    <xf numFmtId="0" fontId="18" fillId="0" borderId="0" xfId="0" applyFont="1"/>
    <xf numFmtId="0" fontId="17" fillId="0" borderId="0" xfId="0" applyFont="1"/>
    <xf numFmtId="0" fontId="17" fillId="7" borderId="0" xfId="0" applyFont="1" applyFill="1"/>
    <xf numFmtId="0" fontId="17" fillId="6" borderId="33" xfId="0" applyFont="1" applyFill="1" applyBorder="1" applyAlignment="1">
      <alignment horizontal="center" wrapText="1"/>
    </xf>
    <xf numFmtId="0" fontId="1" fillId="0" borderId="28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wrapText="1"/>
    </xf>
    <xf numFmtId="0" fontId="1" fillId="8" borderId="17" xfId="0" applyFont="1" applyFill="1" applyBorder="1" applyAlignment="1">
      <alignment horizontal="center"/>
    </xf>
    <xf numFmtId="0" fontId="1" fillId="8" borderId="17" xfId="0" applyFont="1" applyFill="1" applyBorder="1"/>
    <xf numFmtId="0" fontId="1" fillId="8" borderId="31" xfId="0" applyFont="1" applyFill="1" applyBorder="1" applyAlignment="1">
      <alignment horizontal="center"/>
    </xf>
    <xf numFmtId="0" fontId="1" fillId="13" borderId="17" xfId="0" applyFont="1" applyFill="1" applyBorder="1"/>
    <xf numFmtId="165" fontId="1" fillId="13" borderId="17" xfId="2" applyNumberFormat="1" applyFont="1" applyFill="1" applyBorder="1"/>
    <xf numFmtId="164" fontId="1" fillId="12" borderId="17" xfId="0" applyNumberFormat="1" applyFont="1" applyFill="1" applyBorder="1" applyAlignment="1">
      <alignment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vertical="center"/>
    </xf>
    <xf numFmtId="165" fontId="1" fillId="0" borderId="17" xfId="2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8" borderId="8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13" borderId="8" xfId="0" applyFont="1" applyFill="1" applyBorder="1"/>
    <xf numFmtId="165" fontId="1" fillId="13" borderId="8" xfId="2" applyNumberFormat="1" applyFont="1" applyFill="1" applyBorder="1"/>
    <xf numFmtId="164" fontId="1" fillId="12" borderId="8" xfId="0" applyNumberFormat="1" applyFont="1" applyFill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5" fontId="1" fillId="0" borderId="8" xfId="2" applyNumberFormat="1" applyFont="1" applyBorder="1" applyAlignment="1">
      <alignment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2" fontId="1" fillId="0" borderId="8" xfId="0" applyNumberFormat="1" applyFont="1" applyBorder="1" applyAlignment="1">
      <alignment wrapText="1"/>
    </xf>
    <xf numFmtId="164" fontId="1" fillId="0" borderId="8" xfId="0" applyNumberFormat="1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8" borderId="18" xfId="0" applyFont="1" applyFill="1" applyBorder="1" applyAlignment="1">
      <alignment horizontal="center"/>
    </xf>
    <xf numFmtId="0" fontId="1" fillId="8" borderId="18" xfId="0" applyFont="1" applyFill="1" applyBorder="1"/>
    <xf numFmtId="0" fontId="1" fillId="8" borderId="25" xfId="0" applyFont="1" applyFill="1" applyBorder="1" applyAlignment="1">
      <alignment horizontal="center"/>
    </xf>
    <xf numFmtId="0" fontId="1" fillId="13" borderId="18" xfId="0" applyFont="1" applyFill="1" applyBorder="1"/>
    <xf numFmtId="165" fontId="1" fillId="13" borderId="18" xfId="2" applyNumberFormat="1" applyFont="1" applyFill="1" applyBorder="1"/>
    <xf numFmtId="164" fontId="1" fillId="12" borderId="18" xfId="0" applyNumberFormat="1" applyFont="1" applyFill="1" applyBorder="1" applyAlignment="1">
      <alignment vertical="center"/>
    </xf>
    <xf numFmtId="164" fontId="1" fillId="0" borderId="18" xfId="0" applyNumberFormat="1" applyFont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vertical="center"/>
    </xf>
    <xf numFmtId="165" fontId="1" fillId="0" borderId="18" xfId="2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" fontId="1" fillId="0" borderId="18" xfId="0" applyNumberFormat="1" applyFont="1" applyBorder="1" applyAlignment="1">
      <alignment horizontal="center" vertical="center"/>
    </xf>
    <xf numFmtId="0" fontId="1" fillId="0" borderId="1" xfId="0" applyFont="1" applyBorder="1"/>
    <xf numFmtId="2" fontId="1" fillId="0" borderId="18" xfId="0" applyNumberFormat="1" applyFont="1" applyBorder="1"/>
    <xf numFmtId="2" fontId="1" fillId="0" borderId="30" xfId="0" applyNumberFormat="1" applyFont="1" applyBorder="1"/>
    <xf numFmtId="0" fontId="1" fillId="9" borderId="17" xfId="0" applyFont="1" applyFill="1" applyBorder="1" applyAlignment="1">
      <alignment horizontal="center"/>
    </xf>
    <xf numFmtId="0" fontId="1" fillId="9" borderId="31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9" borderId="8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2" fontId="1" fillId="5" borderId="8" xfId="0" applyNumberFormat="1" applyFont="1" applyFill="1" applyBorder="1"/>
    <xf numFmtId="0" fontId="1" fillId="9" borderId="18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1" fontId="1" fillId="0" borderId="1" xfId="0" applyNumberFormat="1" applyFont="1" applyBorder="1"/>
    <xf numFmtId="0" fontId="1" fillId="10" borderId="17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1" fillId="18" borderId="0" xfId="0" applyFont="1" applyFill="1"/>
    <xf numFmtId="2" fontId="1" fillId="0" borderId="0" xfId="0" applyNumberFormat="1" applyFont="1" applyAlignment="1">
      <alignment horizontal="center"/>
    </xf>
    <xf numFmtId="165" fontId="1" fillId="0" borderId="0" xfId="2" applyNumberFormat="1" applyFont="1"/>
    <xf numFmtId="167" fontId="1" fillId="0" borderId="0" xfId="5" applyNumberFormat="1" applyFont="1"/>
    <xf numFmtId="166" fontId="1" fillId="0" borderId="0" xfId="0" applyNumberFormat="1" applyFont="1"/>
    <xf numFmtId="164" fontId="1" fillId="18" borderId="8" xfId="0" applyNumberFormat="1" applyFont="1" applyFill="1" applyBorder="1"/>
    <xf numFmtId="164" fontId="1" fillId="0" borderId="0" xfId="0" applyNumberFormat="1" applyFont="1" applyAlignment="1">
      <alignment horizontal="center"/>
    </xf>
    <xf numFmtId="9" fontId="1" fillId="0" borderId="0" xfId="5" applyFont="1"/>
    <xf numFmtId="9" fontId="1" fillId="0" borderId="0" xfId="0" applyNumberFormat="1" applyFont="1"/>
    <xf numFmtId="164" fontId="1" fillId="0" borderId="0" xfId="0" applyNumberFormat="1" applyFont="1" applyAlignment="1">
      <alignment wrapText="1"/>
    </xf>
    <xf numFmtId="0" fontId="1" fillId="10" borderId="29" xfId="0" applyFont="1" applyFill="1" applyBorder="1" applyAlignment="1">
      <alignment horizontal="center"/>
    </xf>
    <xf numFmtId="2" fontId="1" fillId="7" borderId="8" xfId="0" applyNumberFormat="1" applyFont="1" applyFill="1" applyBorder="1"/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165" fontId="1" fillId="0" borderId="8" xfId="2" applyNumberFormat="1" applyFont="1" applyBorder="1"/>
    <xf numFmtId="164" fontId="1" fillId="0" borderId="8" xfId="0" quotePrefix="1" applyNumberFormat="1" applyFont="1" applyBorder="1"/>
    <xf numFmtId="165" fontId="1" fillId="0" borderId="8" xfId="2" quotePrefix="1" applyNumberFormat="1" applyFont="1" applyBorder="1"/>
    <xf numFmtId="0" fontId="1" fillId="10" borderId="8" xfId="0" applyFont="1" applyFill="1" applyBorder="1" applyAlignment="1">
      <alignment horizontal="left"/>
    </xf>
    <xf numFmtId="0" fontId="38" fillId="0" borderId="0" xfId="0" applyFont="1"/>
    <xf numFmtId="0" fontId="39" fillId="0" borderId="0" xfId="0" applyFont="1"/>
    <xf numFmtId="0" fontId="22" fillId="19" borderId="1" xfId="0" applyFont="1" applyFill="1" applyBorder="1" applyAlignment="1">
      <alignment horizontal="center" wrapText="1"/>
    </xf>
    <xf numFmtId="0" fontId="1" fillId="0" borderId="15" xfId="0" applyFont="1" applyBorder="1" applyAlignment="1">
      <alignment vertical="center" wrapText="1"/>
    </xf>
    <xf numFmtId="0" fontId="1" fillId="0" borderId="34" xfId="0" applyFont="1" applyBorder="1"/>
    <xf numFmtId="0" fontId="1" fillId="0" borderId="34" xfId="0" applyFont="1" applyBorder="1" applyAlignment="1">
      <alignment wrapText="1"/>
    </xf>
    <xf numFmtId="164" fontId="1" fillId="0" borderId="34" xfId="0" applyNumberFormat="1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6" xfId="0" applyFont="1" applyBorder="1" applyAlignment="1">
      <alignment wrapText="1"/>
    </xf>
    <xf numFmtId="164" fontId="1" fillId="0" borderId="36" xfId="0" applyNumberFormat="1" applyFont="1" applyBorder="1"/>
    <xf numFmtId="0" fontId="1" fillId="0" borderId="37" xfId="0" applyFont="1" applyBorder="1"/>
    <xf numFmtId="0" fontId="22" fillId="17" borderId="13" xfId="0" applyFont="1" applyFill="1" applyBorder="1" applyAlignment="1">
      <alignment horizontal="center" wrapText="1"/>
    </xf>
    <xf numFmtId="0" fontId="10" fillId="0" borderId="17" xfId="0" applyFont="1" applyBorder="1"/>
    <xf numFmtId="0" fontId="1" fillId="0" borderId="38" xfId="0" applyFont="1" applyBorder="1"/>
    <xf numFmtId="0" fontId="22" fillId="28" borderId="25" xfId="0" applyFont="1" applyFill="1" applyBorder="1" applyAlignment="1">
      <alignment wrapText="1"/>
    </xf>
    <xf numFmtId="0" fontId="38" fillId="28" borderId="8" xfId="0" applyFont="1" applyFill="1" applyBorder="1"/>
    <xf numFmtId="0" fontId="38" fillId="28" borderId="17" xfId="0" applyFont="1" applyFill="1" applyBorder="1"/>
    <xf numFmtId="0" fontId="38" fillId="28" borderId="30" xfId="0" applyFont="1" applyFill="1" applyBorder="1"/>
    <xf numFmtId="0" fontId="44" fillId="0" borderId="0" xfId="0" applyFont="1"/>
    <xf numFmtId="0" fontId="45" fillId="0" borderId="0" xfId="0" applyFont="1"/>
    <xf numFmtId="0" fontId="43" fillId="12" borderId="8" xfId="0" applyFont="1" applyFill="1" applyBorder="1"/>
    <xf numFmtId="0" fontId="43" fillId="12" borderId="17" xfId="0" applyFont="1" applyFill="1" applyBorder="1"/>
    <xf numFmtId="0" fontId="38" fillId="12" borderId="17" xfId="0" applyFont="1" applyFill="1" applyBorder="1"/>
    <xf numFmtId="2" fontId="22" fillId="25" borderId="34" xfId="0" applyNumberFormat="1" applyFont="1" applyFill="1" applyBorder="1" applyAlignment="1">
      <alignment wrapText="1"/>
    </xf>
    <xf numFmtId="2" fontId="40" fillId="0" borderId="17" xfId="0" applyNumberFormat="1" applyFont="1" applyBorder="1"/>
    <xf numFmtId="2" fontId="40" fillId="0" borderId="39" xfId="0" applyNumberFormat="1" applyFont="1" applyBorder="1"/>
    <xf numFmtId="2" fontId="41" fillId="0" borderId="0" xfId="0" applyNumberFormat="1" applyFont="1"/>
    <xf numFmtId="2" fontId="42" fillId="0" borderId="0" xfId="0" applyNumberFormat="1" applyFont="1"/>
    <xf numFmtId="2" fontId="39" fillId="0" borderId="0" xfId="0" applyNumberFormat="1" applyFont="1"/>
    <xf numFmtId="2" fontId="38" fillId="0" borderId="0" xfId="0" applyNumberFormat="1" applyFont="1"/>
    <xf numFmtId="2" fontId="39" fillId="0" borderId="0" xfId="0" applyNumberFormat="1" applyFont="1" applyAlignment="1">
      <alignment wrapText="1"/>
    </xf>
    <xf numFmtId="2" fontId="22" fillId="26" borderId="18" xfId="0" applyNumberFormat="1" applyFont="1" applyFill="1" applyBorder="1" applyAlignment="1">
      <alignment horizontal="center" wrapText="1"/>
    </xf>
    <xf numFmtId="2" fontId="39" fillId="0" borderId="17" xfId="0" applyNumberFormat="1" applyFont="1" applyBorder="1"/>
    <xf numFmtId="2" fontId="39" fillId="0" borderId="30" xfId="0" applyNumberFormat="1" applyFont="1" applyBorder="1"/>
    <xf numFmtId="2" fontId="40" fillId="0" borderId="8" xfId="0" applyNumberFormat="1" applyFont="1" applyBorder="1"/>
    <xf numFmtId="2" fontId="38" fillId="27" borderId="0" xfId="0" applyNumberFormat="1" applyFont="1" applyFill="1"/>
    <xf numFmtId="2" fontId="3" fillId="0" borderId="0" xfId="0" applyNumberFormat="1" applyFont="1"/>
    <xf numFmtId="2" fontId="22" fillId="17" borderId="13" xfId="0" applyNumberFormat="1" applyFont="1" applyFill="1" applyBorder="1" applyAlignment="1">
      <alignment horizontal="center" wrapText="1"/>
    </xf>
    <xf numFmtId="2" fontId="1" fillId="0" borderId="34" xfId="0" applyNumberFormat="1" applyFont="1" applyBorder="1"/>
    <xf numFmtId="2" fontId="1" fillId="0" borderId="34" xfId="0" applyNumberFormat="1" applyFont="1" applyBorder="1" applyAlignment="1">
      <alignment wrapText="1"/>
    </xf>
    <xf numFmtId="2" fontId="1" fillId="0" borderId="38" xfId="0" applyNumberFormat="1" applyFont="1" applyBorder="1"/>
    <xf numFmtId="2" fontId="43" fillId="0" borderId="21" xfId="0" applyNumberFormat="1" applyFont="1" applyBorder="1"/>
    <xf numFmtId="2" fontId="43" fillId="0" borderId="17" xfId="0" applyNumberFormat="1" applyFont="1" applyBorder="1"/>
    <xf numFmtId="2" fontId="43" fillId="0" borderId="39" xfId="0" applyNumberFormat="1" applyFont="1" applyBorder="1"/>
    <xf numFmtId="2" fontId="16" fillId="0" borderId="0" xfId="0" applyNumberFormat="1" applyFont="1" applyAlignment="1">
      <alignment vertical="center"/>
    </xf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6">
    <cellStyle name="Bad" xfId="3" builtinId="27"/>
    <cellStyle name="Comma" xfId="2" builtinId="3"/>
    <cellStyle name="Good" xfId="1" builtinId="26"/>
    <cellStyle name="Neutral" xfId="4" builtinId="28"/>
    <cellStyle name="Normal" xfId="0" builtinId="0"/>
    <cellStyle name="Percent" xfId="5" builtinId="5"/>
  </cellStyles>
  <dxfs count="0"/>
  <tableStyles count="0" defaultTableStyle="TableStyleMedium2" defaultPivotStyle="PivotStyleLight16"/>
  <colors>
    <mruColors>
      <color rgb="FFCCFFFF"/>
      <color rgb="FF66FFFF"/>
      <color rgb="FFCCFF99"/>
      <color rgb="FFFFCCCC"/>
      <color rgb="FFFFFFCC"/>
      <color rgb="FFCC99FF"/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51069111955718"/>
          <c:y val="5.0925925925925923E-2"/>
          <c:w val="0.84678067223975861"/>
          <c:h val="0.84731481481481485"/>
        </c:manualLayout>
      </c:layout>
      <c:barChart>
        <c:barDir val="col"/>
        <c:grouping val="clustered"/>
        <c:varyColors val="0"/>
        <c:ser>
          <c:idx val="0"/>
          <c:order val="0"/>
          <c:tx>
            <c:v>Untapped</c:v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'Tree Growth and Yield'!$F$93:$L$93</c:f>
              <c:strCache>
                <c:ptCount val="7"/>
                <c:pt idx="0">
                  <c:v>Diameter</c:v>
                </c:pt>
                <c:pt idx="1">
                  <c:v>Canopy Postion</c:v>
                </c:pt>
                <c:pt idx="2">
                  <c:v>Tree Hght (ft)</c:v>
                </c:pt>
                <c:pt idx="3">
                  <c:v>Live Crown Ratio</c:v>
                </c:pt>
                <c:pt idx="4">
                  <c:v>Crown Diam (ft)</c:v>
                </c:pt>
                <c:pt idx="5">
                  <c:v>Crown Diam (ft)</c:v>
                </c:pt>
                <c:pt idx="6">
                  <c:v>Crown Vol (ft³)</c:v>
                </c:pt>
              </c:strCache>
            </c:strRef>
          </c:cat>
          <c:val>
            <c:numRef>
              <c:f>'Tree Growth and Yield'!$F$98:$L$98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1-459B-A281-BEDB2E89C3C5}"/>
            </c:ext>
          </c:extLst>
        </c:ser>
        <c:ser>
          <c:idx val="1"/>
          <c:order val="1"/>
          <c:tx>
            <c:v>Gravity</c:v>
          </c:tx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'Tree Growth and Yield'!$F$93:$L$93</c:f>
              <c:strCache>
                <c:ptCount val="7"/>
                <c:pt idx="0">
                  <c:v>Diameter</c:v>
                </c:pt>
                <c:pt idx="1">
                  <c:v>Canopy Postion</c:v>
                </c:pt>
                <c:pt idx="2">
                  <c:v>Tree Hght (ft)</c:v>
                </c:pt>
                <c:pt idx="3">
                  <c:v>Live Crown Ratio</c:v>
                </c:pt>
                <c:pt idx="4">
                  <c:v>Crown Diam (ft)</c:v>
                </c:pt>
                <c:pt idx="5">
                  <c:v>Crown Diam (ft)</c:v>
                </c:pt>
                <c:pt idx="6">
                  <c:v>Crown Vol (ft³)</c:v>
                </c:pt>
              </c:strCache>
            </c:strRef>
          </c:cat>
          <c:val>
            <c:numRef>
              <c:f>'Tree Growth and Yield'!$F$99:$L$99</c:f>
              <c:numCache>
                <c:formatCode>0%</c:formatCode>
                <c:ptCount val="7"/>
                <c:pt idx="0">
                  <c:v>1.0001445185630291</c:v>
                </c:pt>
                <c:pt idx="1">
                  <c:v>0.93378607809847203</c:v>
                </c:pt>
                <c:pt idx="2">
                  <c:v>0.97759590512817018</c:v>
                </c:pt>
                <c:pt idx="3">
                  <c:v>1.0195852534562213</c:v>
                </c:pt>
                <c:pt idx="4">
                  <c:v>0.96517838068788708</c:v>
                </c:pt>
                <c:pt idx="5">
                  <c:v>1.0531309297912714</c:v>
                </c:pt>
                <c:pt idx="6">
                  <c:v>1.0259737937590339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1-459B-A281-BEDB2E89C3C5}"/>
            </c:ext>
          </c:extLst>
        </c:ser>
        <c:ser>
          <c:idx val="2"/>
          <c:order val="2"/>
          <c:tx>
            <c:v>Vacuum</c:v>
          </c:tx>
          <c:spPr>
            <a:solidFill>
              <a:schemeClr val="accent3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'Tree Growth and Yield'!$F$93:$L$93</c:f>
              <c:strCache>
                <c:ptCount val="7"/>
                <c:pt idx="0">
                  <c:v>Diameter</c:v>
                </c:pt>
                <c:pt idx="1">
                  <c:v>Canopy Postion</c:v>
                </c:pt>
                <c:pt idx="2">
                  <c:v>Tree Hght (ft)</c:v>
                </c:pt>
                <c:pt idx="3">
                  <c:v>Live Crown Ratio</c:v>
                </c:pt>
                <c:pt idx="4">
                  <c:v>Crown Diam (ft)</c:v>
                </c:pt>
                <c:pt idx="5">
                  <c:v>Crown Diam (ft)</c:v>
                </c:pt>
                <c:pt idx="6">
                  <c:v>Crown Vol (ft³)</c:v>
                </c:pt>
              </c:strCache>
            </c:strRef>
          </c:cat>
          <c:val>
            <c:numRef>
              <c:f>'Tree Growth and Yield'!$F$100:$L$100</c:f>
              <c:numCache>
                <c:formatCode>0%</c:formatCode>
                <c:ptCount val="7"/>
                <c:pt idx="0">
                  <c:v>1.0064314694810104</c:v>
                </c:pt>
                <c:pt idx="1">
                  <c:v>0.94373865698729587</c:v>
                </c:pt>
                <c:pt idx="2">
                  <c:v>0.98181498983219473</c:v>
                </c:pt>
                <c:pt idx="3">
                  <c:v>1.100985221674877</c:v>
                </c:pt>
                <c:pt idx="4">
                  <c:v>0.95364238410596025</c:v>
                </c:pt>
                <c:pt idx="5">
                  <c:v>0.98123732251521301</c:v>
                </c:pt>
                <c:pt idx="6">
                  <c:v>1.0068030516985191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1-459B-A281-BEDB2E89C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0972272"/>
        <c:axId val="35311024"/>
      </c:barChart>
      <c:catAx>
        <c:axId val="409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6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auto val="0"/>
        <c:lblAlgn val="ctr"/>
        <c:lblOffset val="100"/>
        <c:noMultiLvlLbl val="0"/>
      </c:catAx>
      <c:valAx>
        <c:axId val="3531102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25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25" b="1">
                    <a:solidFill>
                      <a:sysClr val="windowText" lastClr="000000"/>
                    </a:solidFill>
                  </a:rPr>
                  <a:t>Tree Characteristics in 2013 (% of Control)</a:t>
                </a:r>
              </a:p>
            </c:rich>
          </c:tx>
          <c:layout>
            <c:manualLayout>
              <c:xMode val="edge"/>
              <c:yMode val="edge"/>
              <c:x val="1.5371823015515131E-2"/>
              <c:y val="8.51388888888888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25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between"/>
        <c:majorUnit val="0.2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452183565160077"/>
          <c:y val="0.67615959463400399"/>
          <c:w val="0.12269748219798517"/>
          <c:h val="0.206188757655293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88961099197318"/>
          <c:y val="5.0925763163379038E-2"/>
          <c:w val="0.80051290463692037"/>
          <c:h val="0.84731481481481485"/>
        </c:manualLayout>
      </c:layout>
      <c:barChart>
        <c:barDir val="col"/>
        <c:grouping val="clustered"/>
        <c:varyColors val="0"/>
        <c:ser>
          <c:idx val="0"/>
          <c:order val="0"/>
          <c:tx>
            <c:v>Gravity</c:v>
          </c:tx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'Tree Growth and Yield'!$BP$93:$BZ$93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'Tree Growth and Yield'!$BP$95:$BZ$95</c:f>
              <c:numCache>
                <c:formatCode>0.00</c:formatCode>
                <c:ptCount val="11"/>
                <c:pt idx="0">
                  <c:v>2.2548387096774194</c:v>
                </c:pt>
                <c:pt idx="1">
                  <c:v>2.32258064516129</c:v>
                </c:pt>
                <c:pt idx="2">
                  <c:v>2.0482758620689654</c:v>
                </c:pt>
                <c:pt idx="3">
                  <c:v>2.3677419354838709</c:v>
                </c:pt>
                <c:pt idx="4">
                  <c:v>2.336666666666666</c:v>
                </c:pt>
                <c:pt idx="5">
                  <c:v>2.5096774193548388</c:v>
                </c:pt>
                <c:pt idx="6">
                  <c:v>1.9903225806451612</c:v>
                </c:pt>
                <c:pt idx="7">
                  <c:v>1.7774193548387098</c:v>
                </c:pt>
                <c:pt idx="8">
                  <c:v>1.9999999999999998</c:v>
                </c:pt>
                <c:pt idx="9">
                  <c:v>2.5258064516129037</c:v>
                </c:pt>
                <c:pt idx="10">
                  <c:v>2.1214288928584013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D-406B-8FB4-CC1AB0923C2C}"/>
            </c:ext>
          </c:extLst>
        </c:ser>
        <c:ser>
          <c:idx val="1"/>
          <c:order val="1"/>
          <c:tx>
            <c:v>Vacuum</c:v>
          </c:tx>
          <c:spPr>
            <a:solidFill>
              <a:schemeClr val="accent3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'Tree Growth and Yield'!$BP$93:$BZ$93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'Tree Growth and Yield'!$BP$96:$BZ$96</c:f>
              <c:numCache>
                <c:formatCode>0.00</c:formatCode>
                <c:ptCount val="11"/>
                <c:pt idx="0">
                  <c:v>2.1103448275862067</c:v>
                </c:pt>
                <c:pt idx="1">
                  <c:v>2.3607142857142853</c:v>
                </c:pt>
                <c:pt idx="2">
                  <c:v>1.7827586206896553</c:v>
                </c:pt>
                <c:pt idx="3">
                  <c:v>1.9693346914315195</c:v>
                </c:pt>
                <c:pt idx="4">
                  <c:v>1.9380500507519798</c:v>
                </c:pt>
                <c:pt idx="5">
                  <c:v>1.9833333333333329</c:v>
                </c:pt>
                <c:pt idx="6">
                  <c:v>1.8310344827586205</c:v>
                </c:pt>
                <c:pt idx="7">
                  <c:v>1.5275862068965516</c:v>
                </c:pt>
                <c:pt idx="8">
                  <c:v>1.8896551724137927</c:v>
                </c:pt>
                <c:pt idx="9">
                  <c:v>1.9503487247147013</c:v>
                </c:pt>
                <c:pt idx="10">
                  <c:v>1.882904030963559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D-406B-8FB4-CC1AB092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0972272"/>
        <c:axId val="35311024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625170509145284E-2"/>
                  <c:y val="-0.246147125614390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02-4648-BE94-F5F5DDE292C0}"/>
                </c:ext>
              </c:extLst>
            </c:dLbl>
            <c:dLbl>
              <c:idx val="1"/>
              <c:layout>
                <c:manualLayout>
                  <c:x val="-5.8232793665864535E-2"/>
                  <c:y val="-0.111265913394887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02-4648-BE94-F5F5DDE292C0}"/>
                </c:ext>
              </c:extLst>
            </c:dLbl>
            <c:dLbl>
              <c:idx val="2"/>
              <c:layout>
                <c:manualLayout>
                  <c:x val="-4.8524017657875923E-2"/>
                  <c:y val="-0.355224486467384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02-4648-BE94-F5F5DDE292C0}"/>
                </c:ext>
              </c:extLst>
            </c:dLbl>
            <c:dLbl>
              <c:idx val="3"/>
              <c:layout>
                <c:manualLayout>
                  <c:x val="-5.1295931758530186E-2"/>
                  <c:y val="-0.424296077573636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02-4648-BE94-F5F5DDE292C0}"/>
                </c:ext>
              </c:extLst>
            </c:dLbl>
            <c:dLbl>
              <c:idx val="4"/>
              <c:layout>
                <c:manualLayout>
                  <c:x val="-5.6840025973884295E-2"/>
                  <c:y val="-0.428872357583610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02-4648-BE94-F5F5DDE292C0}"/>
                </c:ext>
              </c:extLst>
            </c:dLbl>
            <c:dLbl>
              <c:idx val="5"/>
              <c:layout>
                <c:manualLayout>
                  <c:x val="-6.2406183039666233E-2"/>
                  <c:y val="-0.4933192172234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02-4648-BE94-F5F5DDE292C0}"/>
                </c:ext>
              </c:extLst>
            </c:dLbl>
            <c:dLbl>
              <c:idx val="6"/>
              <c:layout>
                <c:manualLayout>
                  <c:x val="-4.8524017657875923E-2"/>
                  <c:y val="-0.511726212589364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02-4648-BE94-F5F5DDE292C0}"/>
                </c:ext>
              </c:extLst>
            </c:dLbl>
            <c:dLbl>
              <c:idx val="7"/>
              <c:layout>
                <c:manualLayout>
                  <c:x val="-5.406802320188147E-2"/>
                  <c:y val="-0.520932196478892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02-4648-BE94-F5F5DDE292C0}"/>
                </c:ext>
              </c:extLst>
            </c:dLbl>
            <c:dLbl>
              <c:idx val="8"/>
              <c:layout>
                <c:manualLayout>
                  <c:x val="-5.12960204298787E-2"/>
                  <c:y val="-0.525535188423656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202-4648-BE94-F5F5DDE292C0}"/>
                </c:ext>
              </c:extLst>
            </c:dLbl>
            <c:dLbl>
              <c:idx val="9"/>
              <c:layout>
                <c:manualLayout>
                  <c:x val="-5.1295931758530186E-2"/>
                  <c:y val="-0.525561752697579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02-4648-BE94-F5F5DDE292C0}"/>
                </c:ext>
              </c:extLst>
            </c:dLbl>
            <c:dLbl>
              <c:idx val="10"/>
              <c:layout>
                <c:manualLayout>
                  <c:x val="-4.8625109361329834E-2"/>
                  <c:y val="-0.329502405949256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82-4A6F-8495-7A2BF8AF37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val>
            <c:numRef>
              <c:f>'Tree Growth and Yield'!$BP$97:$BZ$97</c:f>
              <c:numCache>
                <c:formatCode>0%</c:formatCode>
                <c:ptCount val="11"/>
                <c:pt idx="0">
                  <c:v>0.93591830694095002</c:v>
                </c:pt>
                <c:pt idx="1">
                  <c:v>1.0164186507936508</c:v>
                </c:pt>
                <c:pt idx="2">
                  <c:v>0.87037037037037046</c:v>
                </c:pt>
                <c:pt idx="3">
                  <c:v>0.8317353601413775</c:v>
                </c:pt>
                <c:pt idx="4">
                  <c:v>0.82940801030755218</c:v>
                </c:pt>
                <c:pt idx="5">
                  <c:v>0.79027420736932286</c:v>
                </c:pt>
                <c:pt idx="6">
                  <c:v>0.78</c:v>
                </c:pt>
                <c:pt idx="7">
                  <c:v>0.77500000000000002</c:v>
                </c:pt>
                <c:pt idx="8">
                  <c:v>0.77200000000000002</c:v>
                </c:pt>
                <c:pt idx="9">
                  <c:v>0.77216871604285731</c:v>
                </c:pt>
                <c:pt idx="10">
                  <c:v>0.88756405519986326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ED-406B-8FB4-CC1AB092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300864"/>
        <c:axId val="777889648"/>
      </c:lineChart>
      <c:catAx>
        <c:axId val="409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auto val="1"/>
        <c:lblAlgn val="ctr"/>
        <c:lblOffset val="100"/>
        <c:noMultiLvlLbl val="0"/>
      </c:catAx>
      <c:valAx>
        <c:axId val="35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Mean Sap Sugar Content (Brix)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between"/>
      </c:valAx>
      <c:valAx>
        <c:axId val="777889648"/>
        <c:scaling>
          <c:orientation val="minMax"/>
          <c:max val="1.1000000000000001"/>
          <c:min val="0.60000000000000009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300864"/>
        <c:crosses val="max"/>
        <c:crossBetween val="between"/>
      </c:valAx>
      <c:catAx>
        <c:axId val="1255300864"/>
        <c:scaling>
          <c:orientation val="minMax"/>
        </c:scaling>
        <c:delete val="1"/>
        <c:axPos val="b"/>
        <c:majorTickMark val="out"/>
        <c:minorTickMark val="none"/>
        <c:tickLblPos val="nextTo"/>
        <c:crossAx val="777889648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2205489938757655"/>
          <c:y val="0.73634477981918922"/>
          <c:w val="0.14262650941490609"/>
          <c:h val="0.146003572470107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8895450568679"/>
          <c:y val="5.0925925925925923E-2"/>
          <c:w val="0.80051290463692037"/>
          <c:h val="0.84731481481481485"/>
        </c:manualLayout>
      </c:layout>
      <c:barChart>
        <c:barDir val="col"/>
        <c:grouping val="clustered"/>
        <c:varyColors val="0"/>
        <c:ser>
          <c:idx val="0"/>
          <c:order val="0"/>
          <c:tx>
            <c:v>Gravity</c:v>
          </c:tx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'Tree Growth and Yield'!$BP$93:$BZ$93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'Tree Growth and Yield'!$CF$95:$CP$95</c:f>
              <c:numCache>
                <c:formatCode>0.00</c:formatCode>
                <c:ptCount val="11"/>
                <c:pt idx="0">
                  <c:v>0.30694710577700351</c:v>
                </c:pt>
                <c:pt idx="1">
                  <c:v>0.33293099647605839</c:v>
                </c:pt>
                <c:pt idx="2">
                  <c:v>0.35587582747040669</c:v>
                </c:pt>
                <c:pt idx="3">
                  <c:v>0.38035655575960065</c:v>
                </c:pt>
                <c:pt idx="4">
                  <c:v>0.56895398166328282</c:v>
                </c:pt>
                <c:pt idx="5">
                  <c:v>0.56773157593165313</c:v>
                </c:pt>
                <c:pt idx="6">
                  <c:v>0.44202133319112574</c:v>
                </c:pt>
                <c:pt idx="7">
                  <c:v>0.27172940830996606</c:v>
                </c:pt>
                <c:pt idx="8">
                  <c:v>0.397940166550313</c:v>
                </c:pt>
                <c:pt idx="9">
                  <c:v>0.50460271763059716</c:v>
                </c:pt>
                <c:pt idx="10">
                  <c:v>0.32989727494799204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0-4B4D-A700-F8882C21BE99}"/>
            </c:ext>
          </c:extLst>
        </c:ser>
        <c:ser>
          <c:idx val="1"/>
          <c:order val="1"/>
          <c:tx>
            <c:v>Vacuum</c:v>
          </c:tx>
          <c:spPr>
            <a:solidFill>
              <a:schemeClr val="accent3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'Tree Growth and Yield'!$BP$93:$BZ$93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'Tree Growth and Yield'!$CF$96:$CP$96</c:f>
              <c:numCache>
                <c:formatCode>0.00</c:formatCode>
                <c:ptCount val="11"/>
                <c:pt idx="0">
                  <c:v>0.687402557960199</c:v>
                </c:pt>
                <c:pt idx="1">
                  <c:v>0.5652930617537314</c:v>
                </c:pt>
                <c:pt idx="2">
                  <c:v>0.73776962790787437</c:v>
                </c:pt>
                <c:pt idx="3">
                  <c:v>0.7924560456098817</c:v>
                </c:pt>
                <c:pt idx="4">
                  <c:v>1.0045086769541154</c:v>
                </c:pt>
                <c:pt idx="5">
                  <c:v>1.0054451631562016</c:v>
                </c:pt>
                <c:pt idx="6">
                  <c:v>0.87631679289164244</c:v>
                </c:pt>
                <c:pt idx="7">
                  <c:v>0.66259687585182525</c:v>
                </c:pt>
                <c:pt idx="8">
                  <c:v>0.58469447036600808</c:v>
                </c:pt>
                <c:pt idx="9">
                  <c:v>0.93025796651935955</c:v>
                </c:pt>
                <c:pt idx="10">
                  <c:v>0.54080416656861352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0-4B4D-A700-F8882C21B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0972272"/>
        <c:axId val="35311024"/>
      </c:barChart>
      <c:catAx>
        <c:axId val="409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auto val="1"/>
        <c:lblAlgn val="ctr"/>
        <c:lblOffset val="100"/>
        <c:noMultiLvlLbl val="0"/>
      </c:catAx>
      <c:valAx>
        <c:axId val="35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Mean Syrup Yield (gal/tap)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205492388853595"/>
          <c:y val="7.7427563929759538E-2"/>
          <c:w val="9.6980435367458595E-2"/>
          <c:h val="0.1321146835812190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4523184601925"/>
          <c:y val="5.0925925925925923E-2"/>
          <c:w val="0.80606846019247591"/>
          <c:h val="0.81490740740740741"/>
        </c:manualLayout>
      </c:layout>
      <c:scatterChart>
        <c:scatterStyle val="lineMarker"/>
        <c:varyColors val="0"/>
        <c:ser>
          <c:idx val="0"/>
          <c:order val="0"/>
          <c:tx>
            <c:v>Untapped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8939195100612425E-3"/>
                  <c:y val="-0.439804972295129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'Tree Growth and Yield'!$CS$2:$CS$31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'Tree Growth and Yield'!$AE$2:$AE$31</c:f>
              <c:numCache>
                <c:formatCode>0.0%</c:formatCode>
                <c:ptCount val="30"/>
                <c:pt idx="0">
                  <c:v>0.20322815999999963</c:v>
                </c:pt>
                <c:pt idx="1">
                  <c:v>0.21026432620722632</c:v>
                </c:pt>
                <c:pt idx="2">
                  <c:v>0.18801980198019794</c:v>
                </c:pt>
                <c:pt idx="3">
                  <c:v>0.32878332756232687</c:v>
                </c:pt>
                <c:pt idx="4">
                  <c:v>0.10911357340720217</c:v>
                </c:pt>
                <c:pt idx="5">
                  <c:v>0.12419692581866765</c:v>
                </c:pt>
                <c:pt idx="6">
                  <c:v>0.24348491843644174</c:v>
                </c:pt>
                <c:pt idx="7">
                  <c:v>0.26416771686620449</c:v>
                </c:pt>
                <c:pt idx="8">
                  <c:v>0.3311148633831848</c:v>
                </c:pt>
                <c:pt idx="9">
                  <c:v>0.17652403746097814</c:v>
                </c:pt>
                <c:pt idx="10">
                  <c:v>0.28066162570888437</c:v>
                </c:pt>
                <c:pt idx="11">
                  <c:v>0.23480106291295585</c:v>
                </c:pt>
                <c:pt idx="12">
                  <c:v>0.26439294426721699</c:v>
                </c:pt>
                <c:pt idx="13">
                  <c:v>0.322097778320312</c:v>
                </c:pt>
                <c:pt idx="14">
                  <c:v>0.23890944000000008</c:v>
                </c:pt>
                <c:pt idx="15">
                  <c:v>0.24711323985376465</c:v>
                </c:pt>
                <c:pt idx="16">
                  <c:v>0.17534722222222224</c:v>
                </c:pt>
                <c:pt idx="17">
                  <c:v>0.24807158801020432</c:v>
                </c:pt>
                <c:pt idx="18">
                  <c:v>0.381235254042813</c:v>
                </c:pt>
                <c:pt idx="19">
                  <c:v>0.19351319853155419</c:v>
                </c:pt>
                <c:pt idx="20">
                  <c:v>5.6890432098765417E-2</c:v>
                </c:pt>
                <c:pt idx="21">
                  <c:v>0.12745939192003339</c:v>
                </c:pt>
                <c:pt idx="22">
                  <c:v>0.10664630190311426</c:v>
                </c:pt>
                <c:pt idx="23">
                  <c:v>0.15718124999999988</c:v>
                </c:pt>
                <c:pt idx="24">
                  <c:v>8.0447387695312275E-2</c:v>
                </c:pt>
                <c:pt idx="25">
                  <c:v>0.22166095825962584</c:v>
                </c:pt>
                <c:pt idx="26">
                  <c:v>0.14530898796076527</c:v>
                </c:pt>
                <c:pt idx="27">
                  <c:v>0.11339842933500555</c:v>
                </c:pt>
                <c:pt idx="28">
                  <c:v>0.25071058263971469</c:v>
                </c:pt>
                <c:pt idx="29">
                  <c:v>0.2332756140444352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A-4D9A-869A-DC8708FF8EE6}"/>
            </c:ext>
          </c:extLst>
        </c:ser>
        <c:ser>
          <c:idx val="1"/>
          <c:order val="1"/>
          <c:tx>
            <c:v>Gravity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'Tree Growth and Yield'!$CS$32:$CS$62</c:f>
              <c:numCache>
                <c:formatCode>0.00</c:formatCode>
                <c:ptCount val="31"/>
                <c:pt idx="0">
                  <c:v>1.999635741148206</c:v>
                </c:pt>
                <c:pt idx="1">
                  <c:v>2.3492218632926001</c:v>
                </c:pt>
                <c:pt idx="2">
                  <c:v>1.7680121130789828</c:v>
                </c:pt>
                <c:pt idx="3">
                  <c:v>3.0148479843331453</c:v>
                </c:pt>
                <c:pt idx="4">
                  <c:v>4.6665164162366848</c:v>
                </c:pt>
                <c:pt idx="5">
                  <c:v>2.6704515550947945</c:v>
                </c:pt>
                <c:pt idx="6">
                  <c:v>3.3104100739502336</c:v>
                </c:pt>
                <c:pt idx="7">
                  <c:v>3.6155361755486259</c:v>
                </c:pt>
                <c:pt idx="8">
                  <c:v>3.6702795488769082</c:v>
                </c:pt>
                <c:pt idx="9">
                  <c:v>3.894125425662665</c:v>
                </c:pt>
                <c:pt idx="10">
                  <c:v>3.3179674513901345</c:v>
                </c:pt>
                <c:pt idx="11">
                  <c:v>2.5117742541677526</c:v>
                </c:pt>
                <c:pt idx="12">
                  <c:v>3.316147859674258</c:v>
                </c:pt>
                <c:pt idx="13">
                  <c:v>3.8203465315569982</c:v>
                </c:pt>
                <c:pt idx="14">
                  <c:v>4.7213596370082307</c:v>
                </c:pt>
                <c:pt idx="15">
                  <c:v>2.2053523464521438</c:v>
                </c:pt>
                <c:pt idx="16">
                  <c:v>2.2736977897239639</c:v>
                </c:pt>
                <c:pt idx="17">
                  <c:v>3.9424885888986916</c:v>
                </c:pt>
                <c:pt idx="18">
                  <c:v>2.3398350536583505</c:v>
                </c:pt>
                <c:pt idx="19">
                  <c:v>1.4853297799576359</c:v>
                </c:pt>
                <c:pt idx="20">
                  <c:v>1.5820758091761633</c:v>
                </c:pt>
                <c:pt idx="21">
                  <c:v>2.372861684366427</c:v>
                </c:pt>
                <c:pt idx="22">
                  <c:v>4.4271314305892844</c:v>
                </c:pt>
                <c:pt idx="23">
                  <c:v>5.1137283520684971</c:v>
                </c:pt>
                <c:pt idx="24">
                  <c:v>4.178801954712835</c:v>
                </c:pt>
                <c:pt idx="25">
                  <c:v>3.2536161602446265</c:v>
                </c:pt>
                <c:pt idx="26">
                  <c:v>3.3737095034222486</c:v>
                </c:pt>
                <c:pt idx="27">
                  <c:v>6.0811060823249408</c:v>
                </c:pt>
                <c:pt idx="28">
                  <c:v>4.5424941151439411</c:v>
                </c:pt>
                <c:pt idx="29">
                  <c:v>2.838683069861609</c:v>
                </c:pt>
                <c:pt idx="30">
                  <c:v>5.4922837636107191</c:v>
                </c:pt>
              </c:numCache>
            </c:numRef>
          </c:xVal>
          <c:yVal>
            <c:numRef>
              <c:f>'Tree Growth and Yield'!$AE$32:$AE$62</c:f>
              <c:numCache>
                <c:formatCode>0.0%</c:formatCode>
                <c:ptCount val="31"/>
                <c:pt idx="0">
                  <c:v>0.26557732426303848</c:v>
                </c:pt>
                <c:pt idx="1">
                  <c:v>0.2608816635160679</c:v>
                </c:pt>
                <c:pt idx="2">
                  <c:v>0.20063391795481561</c:v>
                </c:pt>
                <c:pt idx="3">
                  <c:v>0.20322815999999963</c:v>
                </c:pt>
                <c:pt idx="4">
                  <c:v>0.10745624142661163</c:v>
                </c:pt>
                <c:pt idx="5">
                  <c:v>0.1134893798828122</c:v>
                </c:pt>
                <c:pt idx="6">
                  <c:v>0.14208894442130596</c:v>
                </c:pt>
                <c:pt idx="7">
                  <c:v>0.30003858024691338</c:v>
                </c:pt>
                <c:pt idx="8">
                  <c:v>0.44440000000000002</c:v>
                </c:pt>
                <c:pt idx="9">
                  <c:v>0.23906435790725322</c:v>
                </c:pt>
                <c:pt idx="10">
                  <c:v>0.2151045471146821</c:v>
                </c:pt>
                <c:pt idx="11">
                  <c:v>0.28142544378698203</c:v>
                </c:pt>
                <c:pt idx="12">
                  <c:v>0.26439294426721699</c:v>
                </c:pt>
                <c:pt idx="13">
                  <c:v>0.2304944733765546</c:v>
                </c:pt>
                <c:pt idx="14">
                  <c:v>0.2353840942451732</c:v>
                </c:pt>
                <c:pt idx="15">
                  <c:v>0.23068680555555554</c:v>
                </c:pt>
                <c:pt idx="16">
                  <c:v>0.1753472222222219</c:v>
                </c:pt>
                <c:pt idx="17">
                  <c:v>0.1978482268048288</c:v>
                </c:pt>
                <c:pt idx="18">
                  <c:v>0.28728888888888887</c:v>
                </c:pt>
                <c:pt idx="19">
                  <c:v>0.20494276795005173</c:v>
                </c:pt>
                <c:pt idx="20">
                  <c:v>0.16870104960306917</c:v>
                </c:pt>
                <c:pt idx="21">
                  <c:v>8.0768935024990204E-2</c:v>
                </c:pt>
                <c:pt idx="22">
                  <c:v>0.2627891779396459</c:v>
                </c:pt>
                <c:pt idx="23">
                  <c:v>0.2369135802469137</c:v>
                </c:pt>
                <c:pt idx="24">
                  <c:v>0.17630218469888401</c:v>
                </c:pt>
                <c:pt idx="25">
                  <c:v>5.6100581722649721E-2</c:v>
                </c:pt>
                <c:pt idx="26">
                  <c:v>0.2203434842249658</c:v>
                </c:pt>
                <c:pt idx="27">
                  <c:v>0.20087526037493994</c:v>
                </c:pt>
                <c:pt idx="28">
                  <c:v>0.18056326530612243</c:v>
                </c:pt>
                <c:pt idx="29">
                  <c:v>0.18899532189797275</c:v>
                </c:pt>
                <c:pt idx="30">
                  <c:v>0.21382308755483428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A-4D6A-BCF4-8FFCC2572A3F}"/>
            </c:ext>
          </c:extLst>
        </c:ser>
        <c:ser>
          <c:idx val="2"/>
          <c:order val="2"/>
          <c:tx>
            <c:v>Vacuum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'Tree Growth and Yield'!$CS$63:$CS$91</c:f>
              <c:numCache>
                <c:formatCode>0.00</c:formatCode>
                <c:ptCount val="29"/>
                <c:pt idx="0">
                  <c:v>5.3876172126626862</c:v>
                </c:pt>
                <c:pt idx="1">
                  <c:v>8.4742232452656729</c:v>
                </c:pt>
                <c:pt idx="2">
                  <c:v>4.658532940590586</c:v>
                </c:pt>
                <c:pt idx="3">
                  <c:v>6.5889915062916184</c:v>
                </c:pt>
                <c:pt idx="4">
                  <c:v>7.4863721545106792</c:v>
                </c:pt>
                <c:pt idx="5">
                  <c:v>7.5291161140546503</c:v>
                </c:pt>
                <c:pt idx="6">
                  <c:v>9.7902869690788226</c:v>
                </c:pt>
                <c:pt idx="7">
                  <c:v>3.4645727996229625</c:v>
                </c:pt>
                <c:pt idx="8">
                  <c:v>9.0974910374974112</c:v>
                </c:pt>
                <c:pt idx="9">
                  <c:v>7.1177825906493677</c:v>
                </c:pt>
                <c:pt idx="10">
                  <c:v>5.2522378837047077</c:v>
                </c:pt>
                <c:pt idx="11">
                  <c:v>6.7631824667311147</c:v>
                </c:pt>
                <c:pt idx="12">
                  <c:v>4.8980690946000003</c:v>
                </c:pt>
                <c:pt idx="13">
                  <c:v>6.3362572398025261</c:v>
                </c:pt>
                <c:pt idx="14">
                  <c:v>5.706518939138002</c:v>
                </c:pt>
                <c:pt idx="15">
                  <c:v>7.5448128985653238</c:v>
                </c:pt>
                <c:pt idx="16">
                  <c:v>6.2050992407090702</c:v>
                </c:pt>
                <c:pt idx="17">
                  <c:v>6.3980732503485651</c:v>
                </c:pt>
                <c:pt idx="18">
                  <c:v>6.5050612386094144</c:v>
                </c:pt>
                <c:pt idx="19">
                  <c:v>6.2116945242287027</c:v>
                </c:pt>
                <c:pt idx="20">
                  <c:v>4.9261332597984433</c:v>
                </c:pt>
                <c:pt idx="21">
                  <c:v>7.9547623727697694</c:v>
                </c:pt>
                <c:pt idx="22">
                  <c:v>6.2854751902328356</c:v>
                </c:pt>
                <c:pt idx="23">
                  <c:v>6.6051263623605045</c:v>
                </c:pt>
                <c:pt idx="24">
                  <c:v>6.3436825782011486</c:v>
                </c:pt>
                <c:pt idx="25">
                  <c:v>5.5052927466691157</c:v>
                </c:pt>
                <c:pt idx="26">
                  <c:v>7.630110684387601</c:v>
                </c:pt>
                <c:pt idx="27">
                  <c:v>4.8503667521552236</c:v>
                </c:pt>
                <c:pt idx="28">
                  <c:v>4.5591884507820897</c:v>
                </c:pt>
              </c:numCache>
            </c:numRef>
          </c:xVal>
          <c:yVal>
            <c:numRef>
              <c:f>'Tree Growth and Yield'!$AE$63:$AE$91</c:f>
              <c:numCache>
                <c:formatCode>0.0%</c:formatCode>
                <c:ptCount val="29"/>
                <c:pt idx="0">
                  <c:v>0.18496460449369043</c:v>
                </c:pt>
                <c:pt idx="1">
                  <c:v>4.8280116560233205E-2</c:v>
                </c:pt>
                <c:pt idx="2">
                  <c:v>0.20063391795481561</c:v>
                </c:pt>
                <c:pt idx="3">
                  <c:v>6.3110059171597649E-2</c:v>
                </c:pt>
                <c:pt idx="4">
                  <c:v>5.6100581722649721E-2</c:v>
                </c:pt>
                <c:pt idx="5">
                  <c:v>0.33126167800453504</c:v>
                </c:pt>
                <c:pt idx="6">
                  <c:v>0.23480106291295585</c:v>
                </c:pt>
                <c:pt idx="7">
                  <c:v>0.10352499999999984</c:v>
                </c:pt>
                <c:pt idx="8">
                  <c:v>9.0180271467621684E-2</c:v>
                </c:pt>
                <c:pt idx="9">
                  <c:v>0.37050443339100353</c:v>
                </c:pt>
                <c:pt idx="10">
                  <c:v>0.12398535151967029</c:v>
                </c:pt>
                <c:pt idx="11">
                  <c:v>0.1283585100394071</c:v>
                </c:pt>
                <c:pt idx="12">
                  <c:v>0.36472222222222239</c:v>
                </c:pt>
                <c:pt idx="13">
                  <c:v>0.16806399999999999</c:v>
                </c:pt>
                <c:pt idx="14">
                  <c:v>0.28836391588970461</c:v>
                </c:pt>
                <c:pt idx="15">
                  <c:v>0.17433991636396948</c:v>
                </c:pt>
                <c:pt idx="16">
                  <c:v>0.26178427830545997</c:v>
                </c:pt>
                <c:pt idx="17">
                  <c:v>0.16044671384633744</c:v>
                </c:pt>
                <c:pt idx="18">
                  <c:v>0.2535945130315499</c:v>
                </c:pt>
                <c:pt idx="19">
                  <c:v>0.14497510775502001</c:v>
                </c:pt>
                <c:pt idx="20">
                  <c:v>0.23691358024691345</c:v>
                </c:pt>
                <c:pt idx="21">
                  <c:v>3.9219674556213092E-2</c:v>
                </c:pt>
                <c:pt idx="22">
                  <c:v>7.6200274348422511E-2</c:v>
                </c:pt>
                <c:pt idx="23">
                  <c:v>0.19825195312499999</c:v>
                </c:pt>
                <c:pt idx="24">
                  <c:v>0.33630495867768589</c:v>
                </c:pt>
                <c:pt idx="25">
                  <c:v>0.14011981442277366</c:v>
                </c:pt>
                <c:pt idx="26">
                  <c:v>0.1865384793373133</c:v>
                </c:pt>
                <c:pt idx="27">
                  <c:v>0.22100416000000006</c:v>
                </c:pt>
                <c:pt idx="28">
                  <c:v>0.15718124999999988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CA-4D6A-BCF4-8FFCC2572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2272"/>
        <c:axId val="35311024"/>
      </c:scatterChart>
      <c:valAx>
        <c:axId val="4097227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10 Yr Total Sugar Removal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crossBetween val="midCat"/>
      </c:valAx>
      <c:valAx>
        <c:axId val="35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10 Yr Basal Area Increase  (%)</a:t>
                </a:r>
              </a:p>
            </c:rich>
          </c:tx>
          <c:layout>
            <c:manualLayout>
              <c:xMode val="edge"/>
              <c:yMode val="edge"/>
              <c:x val="1.6153324584426948E-2"/>
              <c:y val="0.11291666666666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8968059409123"/>
          <c:y val="5.5555575757553717E-2"/>
          <c:w val="0.77551290463692035"/>
          <c:h val="0.84731481481481485"/>
        </c:manualLayout>
      </c:layout>
      <c:barChart>
        <c:barDir val="col"/>
        <c:grouping val="clustered"/>
        <c:varyColors val="0"/>
        <c:ser>
          <c:idx val="0"/>
          <c:order val="0"/>
          <c:tx>
            <c:v>Untapped</c:v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Yield'!$M$94:$X$94</c:f>
              <c:numCache>
                <c:formatCode>0.00</c:formatCode>
                <c:ptCount val="12"/>
                <c:pt idx="0">
                  <c:v>14.136666666666667</c:v>
                </c:pt>
                <c:pt idx="1">
                  <c:v>14.259999999999998</c:v>
                </c:pt>
                <c:pt idx="2">
                  <c:v>14.449999999999998</c:v>
                </c:pt>
                <c:pt idx="3">
                  <c:v>14.663333333333332</c:v>
                </c:pt>
                <c:pt idx="4">
                  <c:v>14.78</c:v>
                </c:pt>
                <c:pt idx="5">
                  <c:v>14.922500000000001</c:v>
                </c:pt>
                <c:pt idx="6">
                  <c:v>14.937333333333337</c:v>
                </c:pt>
                <c:pt idx="7">
                  <c:v>15.020999999999999</c:v>
                </c:pt>
                <c:pt idx="8">
                  <c:v>15.128833333333334</c:v>
                </c:pt>
                <c:pt idx="9">
                  <c:v>15.217666666666663</c:v>
                </c:pt>
                <c:pt idx="10">
                  <c:v>15.341000000000001</c:v>
                </c:pt>
                <c:pt idx="11">
                  <c:v>15.520000000000003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7-431A-A2B5-D67E99A58E45}"/>
            </c:ext>
          </c:extLst>
        </c:ser>
        <c:ser>
          <c:idx val="1"/>
          <c:order val="1"/>
          <c:tx>
            <c:v>Gravity</c:v>
          </c:tx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Yield'!$M$95:$X$95</c:f>
              <c:numCache>
                <c:formatCode>0.00</c:formatCode>
                <c:ptCount val="12"/>
                <c:pt idx="0">
                  <c:v>14.138709677419355</c:v>
                </c:pt>
                <c:pt idx="1">
                  <c:v>14.27741935483871</c:v>
                </c:pt>
                <c:pt idx="2">
                  <c:v>14.448387096774194</c:v>
                </c:pt>
                <c:pt idx="3">
                  <c:v>14.664516129032258</c:v>
                </c:pt>
                <c:pt idx="4">
                  <c:v>14.777419354838708</c:v>
                </c:pt>
                <c:pt idx="5">
                  <c:v>14.908064516129036</c:v>
                </c:pt>
                <c:pt idx="6">
                  <c:v>14.935161290322585</c:v>
                </c:pt>
                <c:pt idx="7">
                  <c:v>15.029354838709681</c:v>
                </c:pt>
                <c:pt idx="8">
                  <c:v>15.123548387096774</c:v>
                </c:pt>
                <c:pt idx="9">
                  <c:v>15.247741935483871</c:v>
                </c:pt>
                <c:pt idx="10">
                  <c:v>15.363870967741933</c:v>
                </c:pt>
                <c:pt idx="11">
                  <c:v>15.54516129032258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7-431A-A2B5-D67E99A58E45}"/>
            </c:ext>
          </c:extLst>
        </c:ser>
        <c:ser>
          <c:idx val="2"/>
          <c:order val="2"/>
          <c:tx>
            <c:v>Vacuum</c:v>
          </c:tx>
          <c:spPr>
            <a:solidFill>
              <a:schemeClr val="accent3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Yield'!$M$96:$X$96</c:f>
              <c:numCache>
                <c:formatCode>0.00</c:formatCode>
                <c:ptCount val="12"/>
                <c:pt idx="0">
                  <c:v>14.22758620689655</c:v>
                </c:pt>
                <c:pt idx="1">
                  <c:v>14.358620689655176</c:v>
                </c:pt>
                <c:pt idx="2">
                  <c:v>14.541379310344826</c:v>
                </c:pt>
                <c:pt idx="3">
                  <c:v>14.720689655172412</c:v>
                </c:pt>
                <c:pt idx="4">
                  <c:v>14.820689655172414</c:v>
                </c:pt>
                <c:pt idx="5">
                  <c:v>14.925862068965518</c:v>
                </c:pt>
                <c:pt idx="6">
                  <c:v>14.948620689655176</c:v>
                </c:pt>
                <c:pt idx="7">
                  <c:v>15.018448275862069</c:v>
                </c:pt>
                <c:pt idx="8">
                  <c:v>15.091034482758619</c:v>
                </c:pt>
                <c:pt idx="9">
                  <c:v>15.192758620689654</c:v>
                </c:pt>
                <c:pt idx="10">
                  <c:v>15.304137931034484</c:v>
                </c:pt>
                <c:pt idx="11">
                  <c:v>15.42413793103448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07-431A-A2B5-D67E99A58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0972272"/>
        <c:axId val="35311024"/>
      </c:barChart>
      <c:catAx>
        <c:axId val="409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auto val="1"/>
        <c:lblAlgn val="ctr"/>
        <c:lblOffset val="100"/>
        <c:noMultiLvlLbl val="0"/>
      </c:catAx>
      <c:valAx>
        <c:axId val="35311024"/>
        <c:scaling>
          <c:orientation val="minMax"/>
          <c:min val="1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Mean Diameter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between"/>
        <c:majorUnit val="0.25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427712160979878"/>
          <c:y val="7.4307742782152242E-2"/>
          <c:w val="0.13539326334208224"/>
          <c:h val="0.206188757655293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8895450568679"/>
          <c:y val="5.0925925925925923E-2"/>
          <c:w val="0.86440179352580926"/>
          <c:h val="0.84731481481481485"/>
        </c:manualLayout>
      </c:layout>
      <c:barChart>
        <c:barDir val="col"/>
        <c:grouping val="clustered"/>
        <c:varyColors val="0"/>
        <c:ser>
          <c:idx val="0"/>
          <c:order val="0"/>
          <c:tx>
            <c:v>Gravity</c:v>
          </c:tx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'Tree Growth and Yield'!$BC$93:$BM$93</c:f>
              <c:strCache>
                <c:ptCount val="11"/>
                <c:pt idx="0">
                  <c:v>2014/2</c:v>
                </c:pt>
                <c:pt idx="1">
                  <c:v>2015/1</c:v>
                </c:pt>
                <c:pt idx="2">
                  <c:v>2016/1</c:v>
                </c:pt>
                <c:pt idx="3">
                  <c:v>2017/1</c:v>
                </c:pt>
                <c:pt idx="4">
                  <c:v>2014/4</c:v>
                </c:pt>
                <c:pt idx="5">
                  <c:v>2015/3</c:v>
                </c:pt>
                <c:pt idx="6">
                  <c:v>2016/2</c:v>
                </c:pt>
                <c:pt idx="7">
                  <c:v>2017/1</c:v>
                </c:pt>
                <c:pt idx="8">
                  <c:v>2022/2</c:v>
                </c:pt>
                <c:pt idx="9">
                  <c:v>2023/1</c:v>
                </c:pt>
                <c:pt idx="10">
                  <c:v>2024 Open</c:v>
                </c:pt>
              </c:strCache>
            </c:strRef>
          </c:cat>
          <c:val>
            <c:numRef>
              <c:f>'Tree Growth and Yield'!$BC$95:$BM$95</c:f>
              <c:numCache>
                <c:formatCode>0.00</c:formatCode>
                <c:ptCount val="11"/>
                <c:pt idx="0">
                  <c:v>4.5483870967741939</c:v>
                </c:pt>
                <c:pt idx="1">
                  <c:v>2.3225806451612905</c:v>
                </c:pt>
                <c:pt idx="2">
                  <c:v>2.9666666666666668</c:v>
                </c:pt>
                <c:pt idx="3">
                  <c:v>1.3333333333333333</c:v>
                </c:pt>
                <c:pt idx="4">
                  <c:v>4.870967741935484</c:v>
                </c:pt>
                <c:pt idx="5">
                  <c:v>4.5862068965517242</c:v>
                </c:pt>
                <c:pt idx="6">
                  <c:v>4.645161290322581</c:v>
                </c:pt>
                <c:pt idx="7">
                  <c:v>1.3333333333333333</c:v>
                </c:pt>
                <c:pt idx="8">
                  <c:v>4.129032258064516</c:v>
                </c:pt>
                <c:pt idx="9">
                  <c:v>2.4516129032258065</c:v>
                </c:pt>
                <c:pt idx="10">
                  <c:v>1.8709677419354838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3-4B65-836A-AD4B2F450C41}"/>
            </c:ext>
          </c:extLst>
        </c:ser>
        <c:ser>
          <c:idx val="1"/>
          <c:order val="1"/>
          <c:tx>
            <c:v>Vacuum</c:v>
          </c:tx>
          <c:spPr>
            <a:solidFill>
              <a:schemeClr val="accent3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'Tree Growth and Yield'!$BC$93:$BM$93</c:f>
              <c:strCache>
                <c:ptCount val="11"/>
                <c:pt idx="0">
                  <c:v>2014/2</c:v>
                </c:pt>
                <c:pt idx="1">
                  <c:v>2015/1</c:v>
                </c:pt>
                <c:pt idx="2">
                  <c:v>2016/1</c:v>
                </c:pt>
                <c:pt idx="3">
                  <c:v>2017/1</c:v>
                </c:pt>
                <c:pt idx="4">
                  <c:v>2014/4</c:v>
                </c:pt>
                <c:pt idx="5">
                  <c:v>2015/3</c:v>
                </c:pt>
                <c:pt idx="6">
                  <c:v>2016/2</c:v>
                </c:pt>
                <c:pt idx="7">
                  <c:v>2017/1</c:v>
                </c:pt>
                <c:pt idx="8">
                  <c:v>2022/2</c:v>
                </c:pt>
                <c:pt idx="9">
                  <c:v>2023/1</c:v>
                </c:pt>
                <c:pt idx="10">
                  <c:v>2024 Open</c:v>
                </c:pt>
              </c:strCache>
            </c:strRef>
          </c:cat>
          <c:val>
            <c:numRef>
              <c:f>'Tree Growth and Yield'!$BC$96:$BM$96</c:f>
              <c:numCache>
                <c:formatCode>0.00</c:formatCode>
                <c:ptCount val="11"/>
                <c:pt idx="0">
                  <c:v>4.1034482758620694</c:v>
                </c:pt>
                <c:pt idx="1">
                  <c:v>2.3103448275862069</c:v>
                </c:pt>
                <c:pt idx="2">
                  <c:v>3.3103448275862069</c:v>
                </c:pt>
                <c:pt idx="3">
                  <c:v>1.7931034482758621</c:v>
                </c:pt>
                <c:pt idx="4">
                  <c:v>4.7857142857142856</c:v>
                </c:pt>
                <c:pt idx="5">
                  <c:v>4.8965517241379306</c:v>
                </c:pt>
                <c:pt idx="6">
                  <c:v>4.6206896551724137</c:v>
                </c:pt>
                <c:pt idx="7">
                  <c:v>1.7931034482758621</c:v>
                </c:pt>
                <c:pt idx="8">
                  <c:v>4.5517241379310347</c:v>
                </c:pt>
                <c:pt idx="9">
                  <c:v>2.2068965517241379</c:v>
                </c:pt>
                <c:pt idx="10">
                  <c:v>1.5172413793103448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3-4B65-836A-AD4B2F450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0972272"/>
        <c:axId val="35311024"/>
      </c:barChart>
      <c:catAx>
        <c:axId val="409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auto val="1"/>
        <c:lblAlgn val="ctr"/>
        <c:lblOffset val="100"/>
        <c:noMultiLvlLbl val="0"/>
      </c:catAx>
      <c:valAx>
        <c:axId val="3531102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Taphole Closure (1-5)</a:t>
                </a:r>
              </a:p>
            </c:rich>
          </c:tx>
          <c:layout>
            <c:manualLayout>
              <c:xMode val="edge"/>
              <c:yMode val="edge"/>
              <c:x val="1.8931102362204723E-2"/>
              <c:y val="0.21476851851851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between"/>
        <c:majorUnit val="1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205489938757655"/>
          <c:y val="6.9678113152522564E-2"/>
          <c:w val="0.14162191769903928"/>
          <c:h val="0.146003572470107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8968059409123"/>
          <c:y val="5.5555575757553717E-2"/>
          <c:w val="0.77551290463692035"/>
          <c:h val="0.84731481481481485"/>
        </c:manualLayout>
      </c:layout>
      <c:lineChart>
        <c:grouping val="standard"/>
        <c:varyColors val="0"/>
        <c:ser>
          <c:idx val="0"/>
          <c:order val="0"/>
          <c:tx>
            <c:v>Untapped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Yield'!$M$94:$X$94</c:f>
              <c:numCache>
                <c:formatCode>0.00</c:formatCode>
                <c:ptCount val="12"/>
                <c:pt idx="0">
                  <c:v>14.136666666666667</c:v>
                </c:pt>
                <c:pt idx="1">
                  <c:v>14.259999999999998</c:v>
                </c:pt>
                <c:pt idx="2">
                  <c:v>14.449999999999998</c:v>
                </c:pt>
                <c:pt idx="3">
                  <c:v>14.663333333333332</c:v>
                </c:pt>
                <c:pt idx="4">
                  <c:v>14.78</c:v>
                </c:pt>
                <c:pt idx="5">
                  <c:v>14.922500000000001</c:v>
                </c:pt>
                <c:pt idx="6">
                  <c:v>14.937333333333337</c:v>
                </c:pt>
                <c:pt idx="7">
                  <c:v>15.020999999999999</c:v>
                </c:pt>
                <c:pt idx="8">
                  <c:v>15.128833333333334</c:v>
                </c:pt>
                <c:pt idx="9">
                  <c:v>15.217666666666663</c:v>
                </c:pt>
                <c:pt idx="10">
                  <c:v>15.341000000000001</c:v>
                </c:pt>
                <c:pt idx="11">
                  <c:v>15.520000000000003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B-4BFC-A00D-F53D5C89E707}"/>
            </c:ext>
          </c:extLst>
        </c:ser>
        <c:ser>
          <c:idx val="1"/>
          <c:order val="1"/>
          <c:tx>
            <c:v>Gravity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Yield'!$M$95:$X$95</c:f>
              <c:numCache>
                <c:formatCode>0.00</c:formatCode>
                <c:ptCount val="12"/>
                <c:pt idx="0">
                  <c:v>14.138709677419355</c:v>
                </c:pt>
                <c:pt idx="1">
                  <c:v>14.27741935483871</c:v>
                </c:pt>
                <c:pt idx="2">
                  <c:v>14.448387096774194</c:v>
                </c:pt>
                <c:pt idx="3">
                  <c:v>14.664516129032258</c:v>
                </c:pt>
                <c:pt idx="4">
                  <c:v>14.777419354838708</c:v>
                </c:pt>
                <c:pt idx="5">
                  <c:v>14.908064516129036</c:v>
                </c:pt>
                <c:pt idx="6">
                  <c:v>14.935161290322585</c:v>
                </c:pt>
                <c:pt idx="7">
                  <c:v>15.029354838709681</c:v>
                </c:pt>
                <c:pt idx="8">
                  <c:v>15.123548387096774</c:v>
                </c:pt>
                <c:pt idx="9">
                  <c:v>15.247741935483871</c:v>
                </c:pt>
                <c:pt idx="10">
                  <c:v>15.363870967741933</c:v>
                </c:pt>
                <c:pt idx="11">
                  <c:v>15.54516129032258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B-4BFC-A00D-F53D5C89E707}"/>
            </c:ext>
          </c:extLst>
        </c:ser>
        <c:ser>
          <c:idx val="2"/>
          <c:order val="2"/>
          <c:tx>
            <c:v>Vacuum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Yield'!$M$96:$X$96</c:f>
              <c:numCache>
                <c:formatCode>0.00</c:formatCode>
                <c:ptCount val="12"/>
                <c:pt idx="0">
                  <c:v>14.22758620689655</c:v>
                </c:pt>
                <c:pt idx="1">
                  <c:v>14.358620689655176</c:v>
                </c:pt>
                <c:pt idx="2">
                  <c:v>14.541379310344826</c:v>
                </c:pt>
                <c:pt idx="3">
                  <c:v>14.720689655172412</c:v>
                </c:pt>
                <c:pt idx="4">
                  <c:v>14.820689655172414</c:v>
                </c:pt>
                <c:pt idx="5">
                  <c:v>14.925862068965518</c:v>
                </c:pt>
                <c:pt idx="6">
                  <c:v>14.948620689655176</c:v>
                </c:pt>
                <c:pt idx="7">
                  <c:v>15.018448275862069</c:v>
                </c:pt>
                <c:pt idx="8">
                  <c:v>15.091034482758619</c:v>
                </c:pt>
                <c:pt idx="9">
                  <c:v>15.192758620689654</c:v>
                </c:pt>
                <c:pt idx="10">
                  <c:v>15.304137931034484</c:v>
                </c:pt>
                <c:pt idx="11">
                  <c:v>15.42413793103448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2B-4BFC-A00D-F53D5C89E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72272"/>
        <c:axId val="35311024"/>
      </c:lineChart>
      <c:catAx>
        <c:axId val="409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auto val="1"/>
        <c:lblAlgn val="ctr"/>
        <c:lblOffset val="100"/>
        <c:noMultiLvlLbl val="0"/>
      </c:catAx>
      <c:valAx>
        <c:axId val="35311024"/>
        <c:scaling>
          <c:orientation val="minMax"/>
          <c:min val="1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Mean Diameter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between"/>
        <c:majorUnit val="0.25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427712160979878"/>
          <c:y val="7.4307742782152242E-2"/>
          <c:w val="0.17972244094488188"/>
          <c:h val="0.206188757655293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8968059409123"/>
          <c:y val="5.5555575757553717E-2"/>
          <c:w val="0.77551290463692035"/>
          <c:h val="0.84731481481481485"/>
        </c:manualLayout>
      </c:layout>
      <c:lineChart>
        <c:grouping val="standard"/>
        <c:varyColors val="0"/>
        <c:ser>
          <c:idx val="0"/>
          <c:order val="0"/>
          <c:tx>
            <c:v>Untapped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Yield'!$M$98:$X$98</c:f>
              <c:numCache>
                <c:formatCode>0%</c:formatCode>
                <c:ptCount val="12"/>
                <c:pt idx="0">
                  <c:v>1</c:v>
                </c:pt>
                <c:pt idx="1">
                  <c:v>1.0087243574628624</c:v>
                </c:pt>
                <c:pt idx="2">
                  <c:v>1.0221645838245694</c:v>
                </c:pt>
                <c:pt idx="3">
                  <c:v>1.0372553643008724</c:v>
                </c:pt>
                <c:pt idx="4">
                  <c:v>1.0455081348738504</c:v>
                </c:pt>
                <c:pt idx="5">
                  <c:v>1.0555883046451309</c:v>
                </c:pt>
                <c:pt idx="6">
                  <c:v>1.056637585475124</c:v>
                </c:pt>
                <c:pt idx="7">
                  <c:v>1.0625560009431738</c:v>
                </c:pt>
                <c:pt idx="8">
                  <c:v>1.070183918887055</c:v>
                </c:pt>
                <c:pt idx="9">
                  <c:v>1.076467814194765</c:v>
                </c:pt>
                <c:pt idx="10">
                  <c:v>1.085192171657628</c:v>
                </c:pt>
                <c:pt idx="11">
                  <c:v>1.097854279651026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3-4459-9F40-DCB2BE918593}"/>
            </c:ext>
          </c:extLst>
        </c:ser>
        <c:ser>
          <c:idx val="1"/>
          <c:order val="1"/>
          <c:tx>
            <c:v>Gravity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Yield'!$M$99:$X$99</c:f>
              <c:numCache>
                <c:formatCode>0%</c:formatCode>
                <c:ptCount val="12"/>
                <c:pt idx="0">
                  <c:v>1</c:v>
                </c:pt>
                <c:pt idx="1">
                  <c:v>1.0098106319872233</c:v>
                </c:pt>
                <c:pt idx="2">
                  <c:v>1.0219028062970568</c:v>
                </c:pt>
                <c:pt idx="3">
                  <c:v>1.0371891398585444</c:v>
                </c:pt>
                <c:pt idx="4">
                  <c:v>1.0451745379876796</c:v>
                </c:pt>
                <c:pt idx="5">
                  <c:v>1.0544147843942508</c:v>
                </c:pt>
                <c:pt idx="6">
                  <c:v>1.0563312799452433</c:v>
                </c:pt>
                <c:pt idx="7">
                  <c:v>1.0629933835272647</c:v>
                </c:pt>
                <c:pt idx="8">
                  <c:v>1.0696554871092858</c:v>
                </c:pt>
                <c:pt idx="9">
                  <c:v>1.0784394250513347</c:v>
                </c:pt>
                <c:pt idx="10">
                  <c:v>1.0866529774127309</c:v>
                </c:pt>
                <c:pt idx="11">
                  <c:v>1.0994752452657996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3-4459-9F40-DCB2BE918593}"/>
            </c:ext>
          </c:extLst>
        </c:ser>
        <c:ser>
          <c:idx val="2"/>
          <c:order val="2"/>
          <c:tx>
            <c:v>Vacuum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'Tree Growth and Yield'!$M$93:$X$93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'Tree Growth and Yield'!$M$100:$X$100</c:f>
              <c:numCache>
                <c:formatCode>0%</c:formatCode>
                <c:ptCount val="12"/>
                <c:pt idx="0">
                  <c:v>1</c:v>
                </c:pt>
                <c:pt idx="1">
                  <c:v>1.0092098885118763</c:v>
                </c:pt>
                <c:pt idx="2">
                  <c:v>1.0220552593310712</c:v>
                </c:pt>
                <c:pt idx="3">
                  <c:v>1.0346582646631119</c:v>
                </c:pt>
                <c:pt idx="4">
                  <c:v>1.0416868637905963</c:v>
                </c:pt>
                <c:pt idx="5">
                  <c:v>1.0490790111488126</c:v>
                </c:pt>
                <c:pt idx="6">
                  <c:v>1.0506786233640333</c:v>
                </c:pt>
                <c:pt idx="7">
                  <c:v>1.0555865244789142</c:v>
                </c:pt>
                <c:pt idx="8">
                  <c:v>1.0606883179835191</c:v>
                </c:pt>
                <c:pt idx="9">
                  <c:v>1.0678380998545807</c:v>
                </c:pt>
                <c:pt idx="10">
                  <c:v>1.0756665050896754</c:v>
                </c:pt>
                <c:pt idx="11">
                  <c:v>1.0841008240426562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23-4459-9F40-DCB2BE91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72272"/>
        <c:axId val="35311024"/>
      </c:lineChart>
      <c:catAx>
        <c:axId val="4097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auto val="1"/>
        <c:lblAlgn val="ctr"/>
        <c:lblOffset val="100"/>
        <c:noMultiLvlLbl val="0"/>
      </c:catAx>
      <c:valAx>
        <c:axId val="35311024"/>
        <c:scaling>
          <c:orientation val="minMax"/>
          <c:max val="1.12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Diameter Increase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between"/>
        <c:majorUnit val="2.0000000000000004E-2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4427712160979878"/>
          <c:y val="7.4307742782152242E-2"/>
          <c:w val="0.17972244094488188"/>
          <c:h val="0.206188757655293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88961099197318"/>
          <c:y val="5.0925763163379038E-2"/>
          <c:w val="0.80051290463692037"/>
          <c:h val="0.84731481481481485"/>
        </c:manualLayout>
      </c:layout>
      <c:scatterChart>
        <c:scatterStyle val="lineMarker"/>
        <c:varyColors val="0"/>
        <c:ser>
          <c:idx val="0"/>
          <c:order val="0"/>
          <c:tx>
            <c:v>Gravity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202537182852141E-3"/>
                  <c:y val="-3.11326188393117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'Tree Growth and Yield'!$BP$93:$BZ$93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xVal>
          <c:yVal>
            <c:numRef>
              <c:f>'Tree Growth and Yield'!$BP$95:$BZ$95</c:f>
              <c:numCache>
                <c:formatCode>0.00</c:formatCode>
                <c:ptCount val="11"/>
                <c:pt idx="0">
                  <c:v>2.2548387096774194</c:v>
                </c:pt>
                <c:pt idx="1">
                  <c:v>2.32258064516129</c:v>
                </c:pt>
                <c:pt idx="2">
                  <c:v>2.0482758620689654</c:v>
                </c:pt>
                <c:pt idx="3">
                  <c:v>2.3677419354838709</c:v>
                </c:pt>
                <c:pt idx="4">
                  <c:v>2.336666666666666</c:v>
                </c:pt>
                <c:pt idx="5">
                  <c:v>2.5096774193548388</c:v>
                </c:pt>
                <c:pt idx="6">
                  <c:v>1.9903225806451612</c:v>
                </c:pt>
                <c:pt idx="7">
                  <c:v>1.7774193548387098</c:v>
                </c:pt>
                <c:pt idx="8">
                  <c:v>1.9999999999999998</c:v>
                </c:pt>
                <c:pt idx="9">
                  <c:v>2.5258064516129037</c:v>
                </c:pt>
                <c:pt idx="10">
                  <c:v>2.1214288928584013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0-4D32-92BD-9C9921A60817}"/>
            </c:ext>
          </c:extLst>
        </c:ser>
        <c:ser>
          <c:idx val="1"/>
          <c:order val="1"/>
          <c:tx>
            <c:v>Vacuum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1942475940507438E-2"/>
                  <c:y val="6.62711431904345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'Tree Growth and Yield'!$BP$93:$BZ$93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xVal>
          <c:yVal>
            <c:numRef>
              <c:f>'Tree Growth and Yield'!$BP$96:$BZ$96</c:f>
              <c:numCache>
                <c:formatCode>0.00</c:formatCode>
                <c:ptCount val="11"/>
                <c:pt idx="0">
                  <c:v>2.1103448275862067</c:v>
                </c:pt>
                <c:pt idx="1">
                  <c:v>2.3607142857142853</c:v>
                </c:pt>
                <c:pt idx="2">
                  <c:v>1.7827586206896553</c:v>
                </c:pt>
                <c:pt idx="3">
                  <c:v>1.9693346914315195</c:v>
                </c:pt>
                <c:pt idx="4">
                  <c:v>1.9380500507519798</c:v>
                </c:pt>
                <c:pt idx="5">
                  <c:v>1.9833333333333329</c:v>
                </c:pt>
                <c:pt idx="6">
                  <c:v>1.8310344827586205</c:v>
                </c:pt>
                <c:pt idx="7">
                  <c:v>1.5275862068965516</c:v>
                </c:pt>
                <c:pt idx="8">
                  <c:v>1.8896551724137927</c:v>
                </c:pt>
                <c:pt idx="9">
                  <c:v>1.9503487247147013</c:v>
                </c:pt>
                <c:pt idx="10">
                  <c:v>1.882904030963559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C0-4D32-92BD-9C9921A60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2272"/>
        <c:axId val="35311024"/>
      </c:scatterChart>
      <c:valAx>
        <c:axId val="40972272"/>
        <c:scaling>
          <c:orientation val="minMax"/>
          <c:min val="201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1024"/>
        <c:crosses val="autoZero"/>
        <c:crossBetween val="midCat"/>
      </c:valAx>
      <c:valAx>
        <c:axId val="35311024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Mean Sap Sugar Content (Brix)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72272"/>
        <c:crosses val="autoZero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2205489938757655"/>
          <c:y val="0.73634477981918922"/>
          <c:w val="0.12053215223097113"/>
          <c:h val="0.137459171770195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Initial dbh (2013)</c:v>
          </c:tx>
          <c:invertIfNegative val="0"/>
          <c:errBars>
            <c:errBarType val="plus"/>
            <c:errValType val="cust"/>
            <c:noEndCap val="0"/>
            <c:plus>
              <c:numRef>
                <c:f>Charts!$J$2:$J$4</c:f>
                <c:numCache>
                  <c:formatCode>General</c:formatCode>
                  <c:ptCount val="3"/>
                  <c:pt idx="0">
                    <c:v>0.40441481299999998</c:v>
                  </c:pt>
                  <c:pt idx="1">
                    <c:v>0.40071649320000002</c:v>
                  </c:pt>
                  <c:pt idx="2">
                    <c:v>0.43489697980000003</c:v>
                  </c:pt>
                </c:numCache>
              </c:numRef>
            </c:plus>
            <c:minus>
              <c:numRef>
                <c:f>Charts!$J$2:$J$4</c:f>
                <c:numCache>
                  <c:formatCode>General</c:formatCode>
                  <c:ptCount val="3"/>
                  <c:pt idx="0">
                    <c:v>0.40441481299999998</c:v>
                  </c:pt>
                  <c:pt idx="1">
                    <c:v>0.40071649320000002</c:v>
                  </c:pt>
                  <c:pt idx="2">
                    <c:v>0.43489697980000003</c:v>
                  </c:pt>
                </c:numCache>
              </c:numRef>
            </c:minus>
          </c:errBars>
          <c:cat>
            <c:strRef>
              <c:f>Charts!$A$2:$A$4</c:f>
              <c:strCache>
                <c:ptCount val="3"/>
                <c:pt idx="0">
                  <c:v>Untapped</c:v>
                </c:pt>
                <c:pt idx="1">
                  <c:v>Gravity</c:v>
                </c:pt>
                <c:pt idx="2">
                  <c:v>Vacuum</c:v>
                </c:pt>
              </c:strCache>
            </c:strRef>
          </c:cat>
          <c:val>
            <c:numRef>
              <c:f>Charts!$C$2:$C$4</c:f>
              <c:numCache>
                <c:formatCode>0.0</c:formatCode>
                <c:ptCount val="3"/>
                <c:pt idx="0">
                  <c:v>14.136666667</c:v>
                </c:pt>
                <c:pt idx="1">
                  <c:v>14.138709677</c:v>
                </c:pt>
                <c:pt idx="2">
                  <c:v>14.227586207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2-441A-88A7-002C52CAC213}"/>
            </c:ext>
          </c:extLst>
        </c:ser>
        <c:ser>
          <c:idx val="1"/>
          <c:order val="1"/>
          <c:tx>
            <c:v>2014</c:v>
          </c:tx>
          <c:invertIfNegative val="0"/>
          <c:errBars>
            <c:errBarType val="plus"/>
            <c:errValType val="cust"/>
            <c:noEndCap val="0"/>
            <c:plus>
              <c:numRef>
                <c:f>Charts!$K$2:$K$4</c:f>
                <c:numCache>
                  <c:formatCode>General</c:formatCode>
                  <c:ptCount val="3"/>
                  <c:pt idx="0">
                    <c:v>0.4043612815</c:v>
                  </c:pt>
                  <c:pt idx="1">
                    <c:v>0.40779263329999998</c:v>
                  </c:pt>
                  <c:pt idx="2">
                    <c:v>0.43618693850000001</c:v>
                  </c:pt>
                </c:numCache>
              </c:numRef>
            </c:plus>
            <c:minus>
              <c:numRef>
                <c:f>Charts!$K$2:$K$4</c:f>
                <c:numCache>
                  <c:formatCode>General</c:formatCode>
                  <c:ptCount val="3"/>
                  <c:pt idx="0">
                    <c:v>0.4043612815</c:v>
                  </c:pt>
                  <c:pt idx="1">
                    <c:v>0.40779263329999998</c:v>
                  </c:pt>
                  <c:pt idx="2">
                    <c:v>0.43618693850000001</c:v>
                  </c:pt>
                </c:numCache>
              </c:numRef>
            </c:minus>
          </c:errBars>
          <c:val>
            <c:numRef>
              <c:f>Charts!$D$2:$D$4</c:f>
              <c:numCache>
                <c:formatCode>0.0</c:formatCode>
                <c:ptCount val="3"/>
                <c:pt idx="0">
                  <c:v>14.26</c:v>
                </c:pt>
                <c:pt idx="1">
                  <c:v>14.277419354999999</c:v>
                </c:pt>
                <c:pt idx="2">
                  <c:v>14.35862069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2-441A-88A7-002C52CAC213}"/>
            </c:ext>
          </c:extLst>
        </c:ser>
        <c:ser>
          <c:idx val="2"/>
          <c:order val="2"/>
          <c:tx>
            <c:v>2015</c:v>
          </c:tx>
          <c:invertIfNegative val="0"/>
          <c:errBars>
            <c:errBarType val="plus"/>
            <c:errValType val="cust"/>
            <c:noEndCap val="0"/>
            <c:plus>
              <c:numRef>
                <c:f>Charts!$L$2:$L$4</c:f>
                <c:numCache>
                  <c:formatCode>General</c:formatCode>
                  <c:ptCount val="3"/>
                  <c:pt idx="0">
                    <c:v>0.40961854980000001</c:v>
                  </c:pt>
                  <c:pt idx="1">
                    <c:v>0.4144661281</c:v>
                  </c:pt>
                  <c:pt idx="2">
                    <c:v>0.43539567080000002</c:v>
                  </c:pt>
                </c:numCache>
              </c:numRef>
            </c:plus>
            <c:minus>
              <c:numRef>
                <c:f>Charts!$L$2:$L$4</c:f>
                <c:numCache>
                  <c:formatCode>General</c:formatCode>
                  <c:ptCount val="3"/>
                  <c:pt idx="0">
                    <c:v>0.40961854980000001</c:v>
                  </c:pt>
                  <c:pt idx="1">
                    <c:v>0.4144661281</c:v>
                  </c:pt>
                  <c:pt idx="2">
                    <c:v>0.43539567080000002</c:v>
                  </c:pt>
                </c:numCache>
              </c:numRef>
            </c:minus>
          </c:errBars>
          <c:val>
            <c:numRef>
              <c:f>Charts!$E$2:$E$4</c:f>
              <c:numCache>
                <c:formatCode>0.0</c:formatCode>
                <c:ptCount val="3"/>
                <c:pt idx="0">
                  <c:v>14.45</c:v>
                </c:pt>
                <c:pt idx="1">
                  <c:v>14.448387096999999</c:v>
                </c:pt>
                <c:pt idx="2">
                  <c:v>14.54137931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2-441A-88A7-002C52CAC213}"/>
            </c:ext>
          </c:extLst>
        </c:ser>
        <c:ser>
          <c:idx val="3"/>
          <c:order val="3"/>
          <c:tx>
            <c:v>2016</c:v>
          </c:tx>
          <c:invertIfNegative val="0"/>
          <c:errBars>
            <c:errBarType val="plus"/>
            <c:errValType val="cust"/>
            <c:noEndCap val="0"/>
            <c:plus>
              <c:numRef>
                <c:f>Charts!$M$2:$M$4</c:f>
                <c:numCache>
                  <c:formatCode>General</c:formatCode>
                  <c:ptCount val="3"/>
                  <c:pt idx="0">
                    <c:v>0.41524077860000003</c:v>
                  </c:pt>
                  <c:pt idx="1">
                    <c:v>0.41704408850000002</c:v>
                  </c:pt>
                  <c:pt idx="2">
                    <c:v>0.4364935097</c:v>
                  </c:pt>
                </c:numCache>
              </c:numRef>
            </c:plus>
            <c:minus>
              <c:numRef>
                <c:f>Charts!$M$2:$M$4</c:f>
                <c:numCache>
                  <c:formatCode>General</c:formatCode>
                  <c:ptCount val="3"/>
                  <c:pt idx="0">
                    <c:v>0.41524077860000003</c:v>
                  </c:pt>
                  <c:pt idx="1">
                    <c:v>0.41704408850000002</c:v>
                  </c:pt>
                  <c:pt idx="2">
                    <c:v>0.4364935097</c:v>
                  </c:pt>
                </c:numCache>
              </c:numRef>
            </c:minus>
          </c:errBars>
          <c:val>
            <c:numRef>
              <c:f>Charts!$F$2:$F$4</c:f>
              <c:numCache>
                <c:formatCode>0.0</c:formatCode>
                <c:ptCount val="3"/>
                <c:pt idx="0">
                  <c:v>14.663333333000001</c:v>
                </c:pt>
                <c:pt idx="1">
                  <c:v>14.664516129000001</c:v>
                </c:pt>
                <c:pt idx="2">
                  <c:v>14.720689654999999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72-441A-88A7-002C52CAC213}"/>
            </c:ext>
          </c:extLst>
        </c:ser>
        <c:ser>
          <c:idx val="4"/>
          <c:order val="4"/>
          <c:tx>
            <c:v>2017</c:v>
          </c:tx>
          <c:invertIfNegative val="0"/>
          <c:errBars>
            <c:errBarType val="plus"/>
            <c:errValType val="cust"/>
            <c:noEndCap val="0"/>
            <c:plus>
              <c:numRef>
                <c:f>Charts!$N$2:$N$4</c:f>
                <c:numCache>
                  <c:formatCode>General</c:formatCode>
                  <c:ptCount val="3"/>
                  <c:pt idx="0">
                    <c:v>0.42095676459999998</c:v>
                  </c:pt>
                  <c:pt idx="1">
                    <c:v>0.41984917100000002</c:v>
                  </c:pt>
                  <c:pt idx="2">
                    <c:v>0.43337884630000001</c:v>
                  </c:pt>
                </c:numCache>
              </c:numRef>
            </c:plus>
            <c:minus>
              <c:numRef>
                <c:f>Charts!$N$2:$N$4</c:f>
                <c:numCache>
                  <c:formatCode>General</c:formatCode>
                  <c:ptCount val="3"/>
                  <c:pt idx="0">
                    <c:v>0.42095676459999998</c:v>
                  </c:pt>
                  <c:pt idx="1">
                    <c:v>0.41984917100000002</c:v>
                  </c:pt>
                  <c:pt idx="2">
                    <c:v>0.43337884630000001</c:v>
                  </c:pt>
                </c:numCache>
              </c:numRef>
            </c:minus>
          </c:errBars>
          <c:val>
            <c:numRef>
              <c:f>Charts!$G$2:$G$4</c:f>
              <c:numCache>
                <c:formatCode>0.0</c:formatCode>
                <c:ptCount val="3"/>
                <c:pt idx="0">
                  <c:v>14.78</c:v>
                </c:pt>
                <c:pt idx="1">
                  <c:v>14.777419354999999</c:v>
                </c:pt>
                <c:pt idx="2">
                  <c:v>14.820689655000001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72-441A-88A7-002C52CAC213}"/>
            </c:ext>
          </c:extLst>
        </c:ser>
        <c:ser>
          <c:idx val="5"/>
          <c:order val="5"/>
          <c:tx>
            <c:v>2018</c:v>
          </c:tx>
          <c:invertIfNegative val="0"/>
          <c:errBars>
            <c:errBarType val="plus"/>
            <c:errValType val="cust"/>
            <c:noEndCap val="0"/>
            <c:plus>
              <c:numRef>
                <c:f>Charts!$O$2:$O$4</c:f>
                <c:numCache>
                  <c:formatCode>General</c:formatCode>
                  <c:ptCount val="3"/>
                  <c:pt idx="0">
                    <c:v>0.42762329900000001</c:v>
                  </c:pt>
                  <c:pt idx="1">
                    <c:v>0.42336871440000001</c:v>
                  </c:pt>
                  <c:pt idx="2">
                    <c:v>0.4343195017</c:v>
                  </c:pt>
                </c:numCache>
              </c:numRef>
            </c:plus>
            <c:minus>
              <c:numRef>
                <c:f>Charts!$O$2:$O$4</c:f>
                <c:numCache>
                  <c:formatCode>General</c:formatCode>
                  <c:ptCount val="3"/>
                  <c:pt idx="0">
                    <c:v>0.42762329900000001</c:v>
                  </c:pt>
                  <c:pt idx="1">
                    <c:v>0.42336871440000001</c:v>
                  </c:pt>
                  <c:pt idx="2">
                    <c:v>0.4343195017</c:v>
                  </c:pt>
                </c:numCache>
              </c:numRef>
            </c:minus>
          </c:errBars>
          <c:val>
            <c:numRef>
              <c:f>Charts!$H$2:$H$4</c:f>
              <c:numCache>
                <c:formatCode>0.0</c:formatCode>
                <c:ptCount val="3"/>
                <c:pt idx="0">
                  <c:v>14.936666667000001</c:v>
                </c:pt>
                <c:pt idx="1">
                  <c:v>14.922580645</c:v>
                </c:pt>
                <c:pt idx="2">
                  <c:v>14.94137931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72-441A-88A7-002C52CAC213}"/>
            </c:ext>
          </c:extLst>
        </c:ser>
        <c:ser>
          <c:idx val="6"/>
          <c:order val="6"/>
          <c:tx>
            <c:v>2019</c:v>
          </c:tx>
          <c:invertIfNegative val="0"/>
          <c:errBars>
            <c:errBarType val="plus"/>
            <c:errValType val="cust"/>
            <c:noEndCap val="0"/>
            <c:plus>
              <c:numRef>
                <c:f>Charts!$P$2:$P$4</c:f>
                <c:numCache>
                  <c:formatCode>General</c:formatCode>
                  <c:ptCount val="3"/>
                  <c:pt idx="0">
                    <c:v>0.42853048370000002</c:v>
                  </c:pt>
                  <c:pt idx="1">
                    <c:v>0.42494272119999998</c:v>
                  </c:pt>
                  <c:pt idx="2">
                    <c:v>0.43362878389999998</c:v>
                  </c:pt>
                </c:numCache>
              </c:numRef>
            </c:plus>
            <c:minus>
              <c:numRef>
                <c:f>Charts!$P$2:$P$4</c:f>
                <c:numCache>
                  <c:formatCode>General</c:formatCode>
                  <c:ptCount val="3"/>
                  <c:pt idx="0">
                    <c:v>0.42853048370000002</c:v>
                  </c:pt>
                  <c:pt idx="1">
                    <c:v>0.42494272119999998</c:v>
                  </c:pt>
                  <c:pt idx="2">
                    <c:v>0.43362878389999998</c:v>
                  </c:pt>
                </c:numCache>
              </c:numRef>
            </c:minus>
          </c:errBars>
          <c:val>
            <c:numRef>
              <c:f>Charts!$I$2:$I$4</c:f>
              <c:numCache>
                <c:formatCode>0.0</c:formatCode>
                <c:ptCount val="3"/>
                <c:pt idx="0">
                  <c:v>14.937333333</c:v>
                </c:pt>
                <c:pt idx="1">
                  <c:v>14.93516129</c:v>
                </c:pt>
                <c:pt idx="2">
                  <c:v>14.94862069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72-441A-88A7-002C52CAC213}"/>
            </c:ext>
          </c:extLst>
        </c:ser>
        <c:ser>
          <c:idx val="7"/>
          <c:order val="7"/>
          <c:tx>
            <c:v>2020</c:v>
          </c:tx>
          <c:invertIfNegative val="0"/>
          <c:errBars>
            <c:errBarType val="plus"/>
            <c:errValType val="cust"/>
            <c:noEndCap val="0"/>
            <c:plus>
              <c:numRef>
                <c:f>Charts!$R$2:$R$4</c:f>
                <c:numCache>
                  <c:formatCode>General</c:formatCode>
                  <c:ptCount val="3"/>
                  <c:pt idx="0">
                    <c:v>0.430056826</c:v>
                  </c:pt>
                  <c:pt idx="1">
                    <c:v>0.42816310210000003</c:v>
                  </c:pt>
                  <c:pt idx="2">
                    <c:v>0.43200358789999999</c:v>
                  </c:pt>
                </c:numCache>
              </c:numRef>
            </c:plus>
            <c:minus>
              <c:numRef>
                <c:f>Charts!$R$2:$R$4</c:f>
                <c:numCache>
                  <c:formatCode>General</c:formatCode>
                  <c:ptCount val="3"/>
                  <c:pt idx="0">
                    <c:v>0.430056826</c:v>
                  </c:pt>
                  <c:pt idx="1">
                    <c:v>0.42816310210000003</c:v>
                  </c:pt>
                  <c:pt idx="2">
                    <c:v>0.43200358789999999</c:v>
                  </c:pt>
                </c:numCache>
              </c:numRef>
            </c:minus>
          </c:errBars>
          <c:val>
            <c:numRef>
              <c:f>Charts!$Q$2:$Q$4</c:f>
              <c:numCache>
                <c:formatCode>0.00</c:formatCode>
                <c:ptCount val="3"/>
                <c:pt idx="0">
                  <c:v>15.021000000000001</c:v>
                </c:pt>
                <c:pt idx="1">
                  <c:v>15.029354839</c:v>
                </c:pt>
                <c:pt idx="2">
                  <c:v>15.018448276000001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72-441A-88A7-002C52CAC213}"/>
            </c:ext>
          </c:extLst>
        </c:ser>
        <c:ser>
          <c:idx val="8"/>
          <c:order val="8"/>
          <c:tx>
            <c:v>2021</c:v>
          </c:tx>
          <c:invertIfNegative val="0"/>
          <c:errBars>
            <c:errBarType val="plus"/>
            <c:errValType val="cust"/>
            <c:noEndCap val="0"/>
            <c:plus>
              <c:numRef>
                <c:f>Charts!$T$2:$T$4</c:f>
                <c:numCache>
                  <c:formatCode>General</c:formatCode>
                  <c:ptCount val="3"/>
                  <c:pt idx="0">
                    <c:v>0.43429290418835309</c:v>
                  </c:pt>
                  <c:pt idx="1">
                    <c:v>0.42999013451726192</c:v>
                  </c:pt>
                  <c:pt idx="2">
                    <c:v>0.43191928890131515</c:v>
                  </c:pt>
                </c:numCache>
              </c:numRef>
            </c:plus>
            <c:minus>
              <c:numRef>
                <c:f>Charts!$T$2:$T$4</c:f>
                <c:numCache>
                  <c:formatCode>General</c:formatCode>
                  <c:ptCount val="3"/>
                  <c:pt idx="0">
                    <c:v>0.43429290418835309</c:v>
                  </c:pt>
                  <c:pt idx="1">
                    <c:v>0.42999013451726192</c:v>
                  </c:pt>
                  <c:pt idx="2">
                    <c:v>0.43191928890131515</c:v>
                  </c:pt>
                </c:numCache>
              </c:numRef>
            </c:minus>
          </c:errBars>
          <c:val>
            <c:numRef>
              <c:f>Charts!$S$2:$S$4</c:f>
              <c:numCache>
                <c:formatCode>0.00</c:formatCode>
                <c:ptCount val="3"/>
                <c:pt idx="0">
                  <c:v>15.128833333333334</c:v>
                </c:pt>
                <c:pt idx="1">
                  <c:v>15.123548387096774</c:v>
                </c:pt>
                <c:pt idx="2">
                  <c:v>15.091034482758623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0-476A-B039-743263661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037568"/>
        <c:axId val="251088896"/>
      </c:barChart>
      <c:catAx>
        <c:axId val="251037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1088896"/>
        <c:crosses val="autoZero"/>
        <c:auto val="1"/>
        <c:lblAlgn val="ctr"/>
        <c:lblOffset val="100"/>
        <c:noMultiLvlLbl val="0"/>
      </c:catAx>
      <c:valAx>
        <c:axId val="25108889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DBH (inches)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251037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>
      <a:solidFill>
        <a:sysClr val="windowText" lastClr="000000"/>
      </a:solidFill>
    </a:ln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3B2-4556-8EDB-73F73CC550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3B2-4556-8EDB-73F73CC550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Charts!$V$2:$V$4</c:f>
                <c:numCache>
                  <c:formatCode>General</c:formatCode>
                  <c:ptCount val="3"/>
                  <c:pt idx="0">
                    <c:v>1.1015332044315866</c:v>
                  </c:pt>
                  <c:pt idx="1">
                    <c:v>0.96290300857073319</c:v>
                  </c:pt>
                  <c:pt idx="2">
                    <c:v>1.1133465265452123</c:v>
                  </c:pt>
                </c:numCache>
              </c:numRef>
            </c:plus>
            <c:minus>
              <c:numRef>
                <c:f>Charts!$V$2:$V$4</c:f>
                <c:numCache>
                  <c:formatCode>General</c:formatCode>
                  <c:ptCount val="3"/>
                  <c:pt idx="0">
                    <c:v>1.1015332044315866</c:v>
                  </c:pt>
                  <c:pt idx="1">
                    <c:v>0.96290300857073319</c:v>
                  </c:pt>
                  <c:pt idx="2">
                    <c:v>1.1133465265452123</c:v>
                  </c:pt>
                </c:numCache>
              </c:numRef>
            </c:minus>
          </c:errBars>
          <c:cat>
            <c:strRef>
              <c:f>Charts!$A$2:$A$4</c:f>
              <c:strCache>
                <c:ptCount val="3"/>
                <c:pt idx="0">
                  <c:v>Untapped</c:v>
                </c:pt>
                <c:pt idx="1">
                  <c:v>Gravity</c:v>
                </c:pt>
                <c:pt idx="2">
                  <c:v>Vacuum</c:v>
                </c:pt>
              </c:strCache>
            </c:strRef>
          </c:cat>
          <c:val>
            <c:numRef>
              <c:f>Charts!$U$2:$U$4</c:f>
              <c:numCache>
                <c:formatCode>0.0</c:formatCode>
                <c:ptCount val="3"/>
                <c:pt idx="0">
                  <c:v>14.636490119140442</c:v>
                </c:pt>
                <c:pt idx="1">
                  <c:v>14.533274190465285</c:v>
                </c:pt>
                <c:pt idx="2">
                  <c:v>13.011724146711122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B2-4556-8EDB-73F73CC55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14"/>
        <c:axId val="251719680"/>
        <c:axId val="251721216"/>
      </c:barChart>
      <c:catAx>
        <c:axId val="25171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1721216"/>
        <c:crosses val="autoZero"/>
        <c:auto val="1"/>
        <c:lblAlgn val="ctr"/>
        <c:lblOffset val="100"/>
        <c:noMultiLvlLbl val="0"/>
      </c:catAx>
      <c:valAx>
        <c:axId val="25172121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Growth</a:t>
                </a:r>
                <a:r>
                  <a:rPr lang="en-US" baseline="0"/>
                  <a:t> (basal area) </a:t>
                </a:r>
                <a:r>
                  <a:rPr lang="en-US"/>
                  <a:t>2013 - 2021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251719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tx1"/>
      </a:solidFill>
    </a:ln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C56-4699-B755-7F6BFCBB88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C56-4699-B755-7F6BFCBB88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Charts!$D$27:$D$29</c:f>
                <c:numCache>
                  <c:formatCode>General</c:formatCode>
                  <c:ptCount val="3"/>
                  <c:pt idx="0">
                    <c:v>0.51475898633651462</c:v>
                  </c:pt>
                  <c:pt idx="1">
                    <c:v>0.44982647843735135</c:v>
                  </c:pt>
                  <c:pt idx="2">
                    <c:v>0.52249077859872994</c:v>
                  </c:pt>
                </c:numCache>
              </c:numRef>
            </c:plus>
            <c:minus>
              <c:numRef>
                <c:f>Charts!$D$27:$D$29</c:f>
                <c:numCache>
                  <c:formatCode>General</c:formatCode>
                  <c:ptCount val="3"/>
                  <c:pt idx="0">
                    <c:v>0.51475898633651462</c:v>
                  </c:pt>
                  <c:pt idx="1">
                    <c:v>0.44982647843735135</c:v>
                  </c:pt>
                  <c:pt idx="2">
                    <c:v>0.52249077859872994</c:v>
                  </c:pt>
                </c:numCache>
              </c:numRef>
            </c:minus>
          </c:errBars>
          <c:cat>
            <c:strRef>
              <c:f>Charts!$A$2:$A$4</c:f>
              <c:strCache>
                <c:ptCount val="3"/>
                <c:pt idx="0">
                  <c:v>Untapped</c:v>
                </c:pt>
                <c:pt idx="1">
                  <c:v>Gravity</c:v>
                </c:pt>
                <c:pt idx="2">
                  <c:v>Vacuum</c:v>
                </c:pt>
              </c:strCache>
            </c:strRef>
          </c:cat>
          <c:val>
            <c:numRef>
              <c:f>Charts!$C$27:$C$29</c:f>
              <c:numCache>
                <c:formatCode>0.0</c:formatCode>
                <c:ptCount val="3"/>
                <c:pt idx="0">
                  <c:v>7.0325403057763181</c:v>
                </c:pt>
                <c:pt idx="1">
                  <c:v>6.9918553125677301</c:v>
                </c:pt>
                <c:pt idx="2">
                  <c:v>6.2710144370840784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56-4699-B755-7F6BFCBB8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14"/>
        <c:axId val="328428928"/>
        <c:axId val="328444928"/>
      </c:barChart>
      <c:catAx>
        <c:axId val="328428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8444928"/>
        <c:crosses val="autoZero"/>
        <c:auto val="1"/>
        <c:lblAlgn val="ctr"/>
        <c:lblOffset val="100"/>
        <c:noMultiLvlLbl val="0"/>
      </c:catAx>
      <c:valAx>
        <c:axId val="32844492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DBH</a:t>
                </a:r>
                <a:r>
                  <a:rPr lang="en-US" baseline="0"/>
                  <a:t> Change </a:t>
                </a:r>
                <a:r>
                  <a:rPr lang="en-US"/>
                  <a:t>2013 - 2021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3284289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Untapped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Charts!$B$13:$B$21</c:f>
              <c:numCache>
                <c:formatCode>0.0</c:formatCode>
                <c:ptCount val="9"/>
                <c:pt idx="0">
                  <c:v>14.136666667</c:v>
                </c:pt>
                <c:pt idx="1">
                  <c:v>14.26</c:v>
                </c:pt>
                <c:pt idx="2">
                  <c:v>14.45</c:v>
                </c:pt>
                <c:pt idx="3">
                  <c:v>14.663333333000001</c:v>
                </c:pt>
                <c:pt idx="4">
                  <c:v>14.78</c:v>
                </c:pt>
                <c:pt idx="5">
                  <c:v>14.936666667000001</c:v>
                </c:pt>
                <c:pt idx="6">
                  <c:v>14.937333333</c:v>
                </c:pt>
                <c:pt idx="7">
                  <c:v>15.021000000000001</c:v>
                </c:pt>
                <c:pt idx="8" formatCode="0.00">
                  <c:v>15.128833333333334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6A-4BD2-8805-3F7B5C695781}"/>
            </c:ext>
          </c:extLst>
        </c:ser>
        <c:ser>
          <c:idx val="1"/>
          <c:order val="1"/>
          <c:tx>
            <c:strRef>
              <c:f>Charts!$C$12</c:f>
              <c:strCache>
                <c:ptCount val="1"/>
                <c:pt idx="0">
                  <c:v>Gravity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Charts!$C$13:$C$21</c:f>
              <c:numCache>
                <c:formatCode>0.0</c:formatCode>
                <c:ptCount val="9"/>
                <c:pt idx="0">
                  <c:v>14.138709677</c:v>
                </c:pt>
                <c:pt idx="1">
                  <c:v>14.277419354999999</c:v>
                </c:pt>
                <c:pt idx="2">
                  <c:v>14.448387096999999</c:v>
                </c:pt>
                <c:pt idx="3">
                  <c:v>14.664516129000001</c:v>
                </c:pt>
                <c:pt idx="4">
                  <c:v>14.777419354999999</c:v>
                </c:pt>
                <c:pt idx="5">
                  <c:v>14.922580645</c:v>
                </c:pt>
                <c:pt idx="6">
                  <c:v>14.93516129</c:v>
                </c:pt>
                <c:pt idx="7">
                  <c:v>15.029354839</c:v>
                </c:pt>
                <c:pt idx="8" formatCode="0.00">
                  <c:v>15.123548387096774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6A-4BD2-8805-3F7B5C695781}"/>
            </c:ext>
          </c:extLst>
        </c:ser>
        <c:ser>
          <c:idx val="2"/>
          <c:order val="2"/>
          <c:tx>
            <c:strRef>
              <c:f>Charts!$D$12</c:f>
              <c:strCache>
                <c:ptCount val="1"/>
                <c:pt idx="0">
                  <c:v>Vacuum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Charts!$D$13:$D$21</c:f>
              <c:numCache>
                <c:formatCode>0.0</c:formatCode>
                <c:ptCount val="9"/>
                <c:pt idx="0">
                  <c:v>14.227586207</c:v>
                </c:pt>
                <c:pt idx="1">
                  <c:v>14.35862069</c:v>
                </c:pt>
                <c:pt idx="2">
                  <c:v>14.54137931</c:v>
                </c:pt>
                <c:pt idx="3">
                  <c:v>14.720689654999999</c:v>
                </c:pt>
                <c:pt idx="4">
                  <c:v>14.820689655000001</c:v>
                </c:pt>
                <c:pt idx="5">
                  <c:v>14.94137931</c:v>
                </c:pt>
                <c:pt idx="6">
                  <c:v>14.94862069</c:v>
                </c:pt>
                <c:pt idx="7">
                  <c:v>15.018448276000001</c:v>
                </c:pt>
                <c:pt idx="8" formatCode="0.00">
                  <c:v>15.091034482758623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6A-4BD2-8805-3F7B5C695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904895"/>
        <c:axId val="2053527103"/>
      </c:scatterChart>
      <c:valAx>
        <c:axId val="19769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27103"/>
        <c:crosses val="autoZero"/>
        <c:crossBetween val="midCat"/>
      </c:valAx>
      <c:valAx>
        <c:axId val="205352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Mean Diameter (in.)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0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1E5-4D7A-9C5F-64AC6341D44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1E5-4D7A-9C5F-64AC6341D4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Charts!$C$40:$C$42</c:f>
                <c:numCache>
                  <c:formatCode>General</c:formatCode>
                  <c:ptCount val="3"/>
                  <c:pt idx="1">
                    <c:v>2.3540398871615648E-2</c:v>
                  </c:pt>
                  <c:pt idx="2">
                    <c:v>3.2765644458629124E-2</c:v>
                  </c:pt>
                </c:numCache>
              </c:numRef>
            </c:plus>
            <c:minus>
              <c:numRef>
                <c:f>Charts!$C$40:$C$42</c:f>
                <c:numCache>
                  <c:formatCode>General</c:formatCode>
                  <c:ptCount val="3"/>
                  <c:pt idx="1">
                    <c:v>2.3540398871615648E-2</c:v>
                  </c:pt>
                  <c:pt idx="2">
                    <c:v>3.2765644458629124E-2</c:v>
                  </c:pt>
                </c:numCache>
              </c:numRef>
            </c:minus>
          </c:errBars>
          <c:cat>
            <c:strRef>
              <c:f>Charts!$A$2:$A$4</c:f>
              <c:strCache>
                <c:ptCount val="3"/>
                <c:pt idx="0">
                  <c:v>Untapped</c:v>
                </c:pt>
                <c:pt idx="1">
                  <c:v>Gravity</c:v>
                </c:pt>
                <c:pt idx="2">
                  <c:v>Vacuum</c:v>
                </c:pt>
              </c:strCache>
            </c:strRef>
          </c:cat>
          <c:val>
            <c:numRef>
              <c:f>Charts!$B$40:$B$42</c:f>
              <c:numCache>
                <c:formatCode>0.00</c:formatCode>
                <c:ptCount val="3"/>
                <c:pt idx="1">
                  <c:v>0.27172940830996606</c:v>
                </c:pt>
                <c:pt idx="2">
                  <c:v>0.66259687585182514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E5-4D7A-9C5F-64AC6341D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14"/>
        <c:axId val="328428928"/>
        <c:axId val="328444928"/>
      </c:barChart>
      <c:catAx>
        <c:axId val="328428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8444928"/>
        <c:crosses val="autoZero"/>
        <c:auto val="1"/>
        <c:lblAlgn val="ctr"/>
        <c:lblOffset val="100"/>
        <c:noMultiLvlLbl val="0"/>
      </c:catAx>
      <c:valAx>
        <c:axId val="32844492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Yield 2021 (gal syrup/tap)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84289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7C3-4F67-B8E2-86CE9A4EC5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7C3-4F67-B8E2-86CE9A4EC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Charts!$E$40:$E$42</c:f>
                <c:numCache>
                  <c:formatCode>General</c:formatCode>
                  <c:ptCount val="3"/>
                  <c:pt idx="1">
                    <c:v>2.4352789507807917E-2</c:v>
                  </c:pt>
                  <c:pt idx="2">
                    <c:v>3.436460745252997E-2</c:v>
                  </c:pt>
                </c:numCache>
              </c:numRef>
            </c:plus>
            <c:minus>
              <c:numRef>
                <c:f>Charts!$E$40:$E$42</c:f>
                <c:numCache>
                  <c:formatCode>General</c:formatCode>
                  <c:ptCount val="3"/>
                  <c:pt idx="1">
                    <c:v>2.4352789507807917E-2</c:v>
                  </c:pt>
                  <c:pt idx="2">
                    <c:v>3.436460745252997E-2</c:v>
                  </c:pt>
                </c:numCache>
              </c:numRef>
            </c:minus>
          </c:errBars>
          <c:cat>
            <c:strRef>
              <c:f>Charts!$A$2:$A$4</c:f>
              <c:strCache>
                <c:ptCount val="3"/>
                <c:pt idx="0">
                  <c:v>Untapped</c:v>
                </c:pt>
                <c:pt idx="1">
                  <c:v>Gravity</c:v>
                </c:pt>
                <c:pt idx="2">
                  <c:v>Vacuum</c:v>
                </c:pt>
              </c:strCache>
            </c:strRef>
          </c:cat>
          <c:val>
            <c:numRef>
              <c:f>Charts!$D$40:$D$42</c:f>
              <c:numCache>
                <c:formatCode>0.00</c:formatCode>
                <c:ptCount val="3"/>
                <c:pt idx="1">
                  <c:v>0.39651537303843687</c:v>
                </c:pt>
                <c:pt idx="2">
                  <c:v>0.7945296469361125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C3-4F67-B8E2-86CE9A4EC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14"/>
        <c:axId val="328428928"/>
        <c:axId val="328444928"/>
      </c:barChart>
      <c:catAx>
        <c:axId val="328428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8444928"/>
        <c:crosses val="autoZero"/>
        <c:auto val="1"/>
        <c:lblAlgn val="ctr"/>
        <c:lblOffset val="100"/>
        <c:noMultiLvlLbl val="0"/>
      </c:catAx>
      <c:valAx>
        <c:axId val="32844492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Yield 2014-21 (gal syrup/tap)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84289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Untapped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Charts!$B$55:$B$62</c:f>
              <c:numCache>
                <c:formatCode>0.0</c:formatCode>
                <c:ptCount val="8"/>
                <c:pt idx="0">
                  <c:v>1.7883779482475695</c:v>
                </c:pt>
                <c:pt idx="1">
                  <c:v>2.7031575106950863</c:v>
                </c:pt>
                <c:pt idx="2">
                  <c:v>2.9750366617939688</c:v>
                </c:pt>
                <c:pt idx="3">
                  <c:v>1.5785777172285884</c:v>
                </c:pt>
                <c:pt idx="4">
                  <c:v>1.9140811877572808</c:v>
                </c:pt>
                <c:pt idx="5">
                  <c:v>0.19025622106155166</c:v>
                </c:pt>
                <c:pt idx="6">
                  <c:v>1.1346485706698801</c:v>
                </c:pt>
                <c:pt idx="7">
                  <c:v>1.4283269388353554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79-4F5C-BC5D-1E1AE2F24CA5}"/>
            </c:ext>
          </c:extLst>
        </c:ser>
        <c:ser>
          <c:idx val="1"/>
          <c:order val="1"/>
          <c:tx>
            <c:strRef>
              <c:f>Charts!$C$12</c:f>
              <c:strCache>
                <c:ptCount val="1"/>
                <c:pt idx="0">
                  <c:v>Gravity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Charts!$C$55:$C$62</c:f>
              <c:numCache>
                <c:formatCode>0.0</c:formatCode>
                <c:ptCount val="8"/>
                <c:pt idx="0">
                  <c:v>1.9489820068140813</c:v>
                </c:pt>
                <c:pt idx="1">
                  <c:v>2.4081913811126476</c:v>
                </c:pt>
                <c:pt idx="2">
                  <c:v>3.0604099814818322</c:v>
                </c:pt>
                <c:pt idx="3">
                  <c:v>1.5615315988025074</c:v>
                </c:pt>
                <c:pt idx="4">
                  <c:v>1.7886572663672107</c:v>
                </c:pt>
                <c:pt idx="5">
                  <c:v>0.35686170470829975</c:v>
                </c:pt>
                <c:pt idx="6">
                  <c:v>1.256432936741364</c:v>
                </c:pt>
                <c:pt idx="7">
                  <c:v>1.267865554447835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79-4F5C-BC5D-1E1AE2F24CA5}"/>
            </c:ext>
          </c:extLst>
        </c:ser>
        <c:ser>
          <c:idx val="2"/>
          <c:order val="2"/>
          <c:tx>
            <c:strRef>
              <c:f>Charts!$D$12</c:f>
              <c:strCache>
                <c:ptCount val="1"/>
                <c:pt idx="0">
                  <c:v>Vacuum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Charts!$D$55:$D$62</c:f>
              <c:numCache>
                <c:formatCode>0.0</c:formatCode>
                <c:ptCount val="8"/>
                <c:pt idx="0">
                  <c:v>1.9120987927623456</c:v>
                </c:pt>
                <c:pt idx="1">
                  <c:v>2.6368933635438303</c:v>
                </c:pt>
                <c:pt idx="2">
                  <c:v>2.528631339056687</c:v>
                </c:pt>
                <c:pt idx="3">
                  <c:v>1.4302190228863736</c:v>
                </c:pt>
                <c:pt idx="4">
                  <c:v>1.4631805646702927</c:v>
                </c:pt>
                <c:pt idx="5">
                  <c:v>0.31220531714418231</c:v>
                </c:pt>
                <c:pt idx="6">
                  <c:v>0.97519704620221959</c:v>
                </c:pt>
                <c:pt idx="7">
                  <c:v>0.99578220439305787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79-4F5C-BC5D-1E1AE2F24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904895"/>
        <c:axId val="2053527103"/>
      </c:scatterChart>
      <c:valAx>
        <c:axId val="19769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27103"/>
        <c:crosses val="autoZero"/>
        <c:crossBetween val="midCat"/>
      </c:valAx>
      <c:valAx>
        <c:axId val="205352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Annual</a:t>
                </a:r>
                <a:r>
                  <a:rPr lang="en-US" b="1" baseline="0">
                    <a:solidFill>
                      <a:schemeClr val="tx1"/>
                    </a:solidFill>
                  </a:rPr>
                  <a:t> % BAI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0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Charts!$C$12</c:f>
              <c:strCache>
                <c:ptCount val="1"/>
                <c:pt idx="0">
                  <c:v>Gravity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Charts!$F$55:$F$62</c:f>
              <c:numCache>
                <c:formatCode>0.0</c:formatCode>
                <c:ptCount val="8"/>
                <c:pt idx="0">
                  <c:v>0.16060405856651183</c:v>
                </c:pt>
                <c:pt idx="1">
                  <c:v>-0.29496612958243862</c:v>
                </c:pt>
                <c:pt idx="2">
                  <c:v>8.5373319687863436E-2</c:v>
                </c:pt>
                <c:pt idx="3">
                  <c:v>-1.7046118426081058E-2</c:v>
                </c:pt>
                <c:pt idx="4">
                  <c:v>-0.12542392139007008</c:v>
                </c:pt>
                <c:pt idx="5">
                  <c:v>0.1666054836467481</c:v>
                </c:pt>
                <c:pt idx="6">
                  <c:v>0.12178436607148391</c:v>
                </c:pt>
                <c:pt idx="7">
                  <c:v>-0.16046138438752044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23-4199-92F4-0BB27054ED77}"/>
            </c:ext>
          </c:extLst>
        </c:ser>
        <c:ser>
          <c:idx val="2"/>
          <c:order val="1"/>
          <c:tx>
            <c:strRef>
              <c:f>Charts!$D$12</c:f>
              <c:strCache>
                <c:ptCount val="1"/>
                <c:pt idx="0">
                  <c:v>Vacuum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Charts!$G$55:$G$62</c:f>
              <c:numCache>
                <c:formatCode>0.0</c:formatCode>
                <c:ptCount val="8"/>
                <c:pt idx="0">
                  <c:v>0.12372084451477616</c:v>
                </c:pt>
                <c:pt idx="1">
                  <c:v>-6.6264147151255948E-2</c:v>
                </c:pt>
                <c:pt idx="2">
                  <c:v>-0.44640532273728173</c:v>
                </c:pt>
                <c:pt idx="3">
                  <c:v>-0.14835869434221483</c:v>
                </c:pt>
                <c:pt idx="4">
                  <c:v>-0.45090062308698808</c:v>
                </c:pt>
                <c:pt idx="5">
                  <c:v>0.12194909608263066</c:v>
                </c:pt>
                <c:pt idx="6">
                  <c:v>-0.15945152446766053</c:v>
                </c:pt>
                <c:pt idx="7">
                  <c:v>-0.43254473444229757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3-4199-92F4-0BB27054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904895"/>
        <c:axId val="2053527103"/>
      </c:scatterChart>
      <c:valAx>
        <c:axId val="19769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27103"/>
        <c:crosses val="autoZero"/>
        <c:crossBetween val="midCat"/>
      </c:valAx>
      <c:valAx>
        <c:axId val="205352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Annual</a:t>
                </a:r>
                <a:r>
                  <a:rPr lang="en-US" b="1" baseline="0">
                    <a:solidFill>
                      <a:schemeClr val="tx1"/>
                    </a:solidFill>
                  </a:rPr>
                  <a:t> % BAI - Difference from Untapped Control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0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strRef>
              <c:f>Charts!$D$12</c:f>
              <c:strCache>
                <c:ptCount val="1"/>
                <c:pt idx="0">
                  <c:v>Vacuum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Charts!$A$13:$A$21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xVal>
          <c:yVal>
            <c:numRef>
              <c:f>Charts!$I$55:$I$62</c:f>
              <c:numCache>
                <c:formatCode>0.0</c:formatCode>
                <c:ptCount val="8"/>
                <c:pt idx="0">
                  <c:v>-3.6883214051735669E-2</c:v>
                </c:pt>
                <c:pt idx="1">
                  <c:v>0.22870198243118267</c:v>
                </c:pt>
                <c:pt idx="2">
                  <c:v>-0.53177864242514516</c:v>
                </c:pt>
                <c:pt idx="3">
                  <c:v>-0.13131257591613377</c:v>
                </c:pt>
                <c:pt idx="4">
                  <c:v>-0.325476701696918</c:v>
                </c:pt>
                <c:pt idx="5">
                  <c:v>-4.4656387564117439E-2</c:v>
                </c:pt>
                <c:pt idx="6">
                  <c:v>-0.28123589053914444</c:v>
                </c:pt>
                <c:pt idx="7">
                  <c:v>-0.27208335005477713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CA-4E7C-8FF2-E5C3BA0F5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904895"/>
        <c:axId val="2053527103"/>
      </c:scatterChart>
      <c:valAx>
        <c:axId val="19769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27103"/>
        <c:crosses val="autoZero"/>
        <c:crossBetween val="midCat"/>
      </c:valAx>
      <c:valAx>
        <c:axId val="205352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Annual</a:t>
                </a:r>
                <a:r>
                  <a:rPr lang="en-US" b="1" baseline="0">
                    <a:solidFill>
                      <a:schemeClr val="tx1"/>
                    </a:solidFill>
                  </a:rPr>
                  <a:t> % BAI - Vacuum Treatment Difference from Gravity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90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102</xdr:row>
      <xdr:rowOff>0</xdr:rowOff>
    </xdr:from>
    <xdr:to>
      <xdr:col>11</xdr:col>
      <xdr:colOff>530225</xdr:colOff>
      <xdr:row>117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35BC6FF-F605-4A0B-B72A-23579A720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67</xdr:col>
      <xdr:colOff>0</xdr:colOff>
      <xdr:row>102</xdr:row>
      <xdr:rowOff>0</xdr:rowOff>
    </xdr:from>
    <xdr:to>
      <xdr:col>76</xdr:col>
      <xdr:colOff>257175</xdr:colOff>
      <xdr:row>117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3B3584-0E6A-491F-91D9-3ED6A56CF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83</xdr:col>
      <xdr:colOff>8659</xdr:colOff>
      <xdr:row>102</xdr:row>
      <xdr:rowOff>0</xdr:rowOff>
    </xdr:from>
    <xdr:to>
      <xdr:col>96</xdr:col>
      <xdr:colOff>225137</xdr:colOff>
      <xdr:row>117</xdr:row>
      <xdr:rowOff>28575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81636FC-A168-457A-A156-63FE31B06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98</xdr:col>
      <xdr:colOff>0</xdr:colOff>
      <xdr:row>102</xdr:row>
      <xdr:rowOff>0</xdr:rowOff>
    </xdr:from>
    <xdr:to>
      <xdr:col>106</xdr:col>
      <xdr:colOff>454025</xdr:colOff>
      <xdr:row>117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7536B76-BCA8-4AE1-A48F-18C5654B5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102</xdr:row>
      <xdr:rowOff>0</xdr:rowOff>
    </xdr:from>
    <xdr:to>
      <xdr:col>25</xdr:col>
      <xdr:colOff>200025</xdr:colOff>
      <xdr:row>117</xdr:row>
      <xdr:rowOff>28575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B671699-D00B-4E31-9EDB-7A4BC41D6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0</xdr:colOff>
      <xdr:row>102</xdr:row>
      <xdr:rowOff>0</xdr:rowOff>
    </xdr:from>
    <xdr:to>
      <xdr:col>64</xdr:col>
      <xdr:colOff>0</xdr:colOff>
      <xdr:row>117</xdr:row>
      <xdr:rowOff>28575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16F30FC-9124-4D80-90A9-D66E56FFA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118</xdr:row>
      <xdr:rowOff>0</xdr:rowOff>
    </xdr:from>
    <xdr:to>
      <xdr:col>25</xdr:col>
      <xdr:colOff>200025</xdr:colOff>
      <xdr:row>133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97EC5-97D0-4C8C-8467-F572CB0F8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118</xdr:row>
      <xdr:rowOff>0</xdr:rowOff>
    </xdr:from>
    <xdr:to>
      <xdr:col>36</xdr:col>
      <xdr:colOff>228600</xdr:colOff>
      <xdr:row>133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2F4D1C-B755-4CB1-8FE4-00324E6A1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67</xdr:col>
      <xdr:colOff>0</xdr:colOff>
      <xdr:row>118</xdr:row>
      <xdr:rowOff>0</xdr:rowOff>
    </xdr:from>
    <xdr:to>
      <xdr:col>76</xdr:col>
      <xdr:colOff>257175</xdr:colOff>
      <xdr:row>133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A38037-8440-48A0-AB1A-2E69716C4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0.25029</cdr:x>
      <cdr:y>0.07121</cdr:y>
    </cdr:from>
    <cdr:to>
      <cdr:x>0.9084</cdr:x>
      <cdr:y>0.19793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5EC8E3-A9D7-BA9F-430D-CC84DC78E31C}"/>
            </a:ext>
          </a:extLst>
        </cdr:cNvPr>
        <cdr:cNvSpPr txBox="1"/>
      </cdr:nvSpPr>
      <cdr:spPr>
        <a:xfrm xmlns:a="http://schemas.openxmlformats.org/drawingml/2006/main">
          <a:off x="1238249" y="196273"/>
          <a:ext cx="3255819" cy="34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Average Gravity = 0.41 gpt   Average Vacuum = 0.76 gpt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0.81736</cdr:x>
      <cdr:y>0.06597</cdr:y>
    </cdr:from>
    <cdr:to>
      <cdr:x>0.975</cdr:x>
      <cdr:y>0.19792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682BAA-5C79-9199-D8A0-FABAF2B8FF5D}"/>
            </a:ext>
          </a:extLst>
        </cdr:cNvPr>
        <cdr:cNvSpPr txBox="1"/>
      </cdr:nvSpPr>
      <cdr:spPr>
        <a:xfrm xmlns:a="http://schemas.openxmlformats.org/drawingml/2006/main">
          <a:off x="3736974" y="180975"/>
          <a:ext cx="72072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/>
            <a:t>1 = Open</a:t>
          </a:r>
        </a:p>
        <a:p xmlns:a="http://schemas.openxmlformats.org/drawingml/2006/main">
          <a:r>
            <a:rPr lang="en-US" sz="800"/>
            <a:t>5 = Closed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</xdr:colOff>
      <xdr:row>6</xdr:row>
      <xdr:rowOff>77268</xdr:rowOff>
    </xdr:from>
    <xdr:to>
      <xdr:col>15</xdr:col>
      <xdr:colOff>566771</xdr:colOff>
      <xdr:row>21</xdr:row>
      <xdr:rowOff>94681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D01A5-B712-4614-86F3-50F297C31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42148</xdr:colOff>
      <xdr:row>5</xdr:row>
      <xdr:rowOff>79818</xdr:rowOff>
    </xdr:from>
    <xdr:to>
      <xdr:col>23</xdr:col>
      <xdr:colOff>579784</xdr:colOff>
      <xdr:row>21</xdr:row>
      <xdr:rowOff>49696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018A0-3946-4EA3-962D-C636A9ABE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17118</xdr:colOff>
      <xdr:row>22</xdr:row>
      <xdr:rowOff>10123</xdr:rowOff>
    </xdr:from>
    <xdr:to>
      <xdr:col>15</xdr:col>
      <xdr:colOff>516146</xdr:colOff>
      <xdr:row>34</xdr:row>
      <xdr:rowOff>59036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758554-7CDD-4D96-A074-9E1D4CFD6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42789</xdr:colOff>
      <xdr:row>21</xdr:row>
      <xdr:rowOff>75645</xdr:rowOff>
    </xdr:from>
    <xdr:to>
      <xdr:col>23</xdr:col>
      <xdr:colOff>476247</xdr:colOff>
      <xdr:row>35</xdr:row>
      <xdr:rowOff>43343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DFA650-608A-4616-A264-1C4DF727A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49696</xdr:colOff>
      <xdr:row>35</xdr:row>
      <xdr:rowOff>57979</xdr:rowOff>
    </xdr:from>
    <xdr:to>
      <xdr:col>15</xdr:col>
      <xdr:colOff>548724</xdr:colOff>
      <xdr:row>46</xdr:row>
      <xdr:rowOff>164870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74CEC6-2179-45A9-BA4D-288A4AD6C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33131</xdr:colOff>
      <xdr:row>36</xdr:row>
      <xdr:rowOff>0</xdr:rowOff>
    </xdr:from>
    <xdr:to>
      <xdr:col>23</xdr:col>
      <xdr:colOff>416203</xdr:colOff>
      <xdr:row>47</xdr:row>
      <xdr:rowOff>106891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41B420-3A5B-4020-BECF-595AD46E0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50</xdr:row>
      <xdr:rowOff>0</xdr:rowOff>
    </xdr:from>
    <xdr:to>
      <xdr:col>17</xdr:col>
      <xdr:colOff>300936</xdr:colOff>
      <xdr:row>66</xdr:row>
      <xdr:rowOff>33958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99D9DA-D96F-45C7-B17C-7E0598817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67</xdr:row>
      <xdr:rowOff>0</xdr:rowOff>
    </xdr:from>
    <xdr:to>
      <xdr:col>17</xdr:col>
      <xdr:colOff>300936</xdr:colOff>
      <xdr:row>83</xdr:row>
      <xdr:rowOff>58806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D2947DA-1AE1-4359-9262-8EB937483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530087</xdr:colOff>
      <xdr:row>49</xdr:row>
      <xdr:rowOff>165652</xdr:rowOff>
    </xdr:from>
    <xdr:to>
      <xdr:col>25</xdr:col>
      <xdr:colOff>276088</xdr:colOff>
      <xdr:row>66</xdr:row>
      <xdr:rowOff>25675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4D69CF-A555-4F43-8AD9-2745B1690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AustinOld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ustinOld" id="{F0716298-9E1C-424D-AA88-ABCBA020E45D}" vid="{1AAA02DB-5BBC-498A-88CA-44128739E5D9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38"/>
  <sheetViews>
    <sheetView tabSelected="1" zoomScaleNormal="100" workbookViewId="0">
      <pane xSplit="4" ySplit="1" topLeftCell="AH2" activePane="bottomRight" state="frozen"/>
      <selection pane="topRight" activeCell="E1" sqref="E1"/>
      <selection pane="bottomLeft" activeCell="A2" sqref="A2"/>
      <selection pane="bottomRight" activeCell="BY32" sqref="BY32"/>
    </sheetView>
  </sheetViews>
  <sheetFormatPr baseColWidth="10" defaultColWidth="9" defaultRowHeight="14.25" customHeight="1" x14ac:dyDescent="0.15"/>
  <cols>
    <col min="1" max="2" width="8.33203125" style="19" customWidth="1"/>
    <col min="3" max="3" width="10" style="19" customWidth="1"/>
    <col min="4" max="5" width="6.1640625" style="19" customWidth="1"/>
    <col min="6" max="6" width="6.5" style="19" bestFit="1" customWidth="1"/>
    <col min="7" max="7" width="7.83203125" style="19" customWidth="1"/>
    <col min="8" max="8" width="5.6640625" style="19" customWidth="1"/>
    <col min="9" max="9" width="5.33203125" style="19" customWidth="1"/>
    <col min="10" max="10" width="6" style="19" customWidth="1"/>
    <col min="11" max="11" width="5.5" style="19" customWidth="1"/>
    <col min="12" max="12" width="8.6640625" style="19" customWidth="1"/>
    <col min="13" max="13" width="6.1640625" style="19" customWidth="1"/>
    <col min="14" max="15" width="5.1640625" style="19" customWidth="1"/>
    <col min="16" max="16" width="5.1640625" style="21" customWidth="1"/>
    <col min="17" max="25" width="5.1640625" style="24" customWidth="1"/>
    <col min="26" max="31" width="7" style="24" customWidth="1"/>
    <col min="32" max="32" width="2" style="24" customWidth="1"/>
    <col min="33" max="33" width="5" style="24" customWidth="1"/>
    <col min="34" max="34" width="5.83203125" style="24" customWidth="1"/>
    <col min="35" max="35" width="6.33203125" style="24" customWidth="1"/>
    <col min="36" max="36" width="7.83203125" style="35" customWidth="1"/>
    <col min="37" max="37" width="6.83203125" style="35" customWidth="1"/>
    <col min="38" max="38" width="5.33203125" style="35" customWidth="1"/>
    <col min="39" max="40" width="8.5" style="37" customWidth="1"/>
    <col min="41" max="41" width="6.33203125" style="35" customWidth="1"/>
    <col min="42" max="45" width="5.5" style="24" customWidth="1"/>
    <col min="46" max="46" width="8.6640625" style="24" customWidth="1"/>
    <col min="47" max="47" width="4.33203125" style="24" customWidth="1"/>
    <col min="48" max="49" width="6.83203125" style="35" customWidth="1"/>
    <col min="50" max="50" width="5.33203125" style="35" customWidth="1"/>
    <col min="51" max="52" width="8.5" style="37" customWidth="1"/>
    <col min="53" max="53" width="6.33203125" style="35" customWidth="1"/>
    <col min="54" max="54" width="2" style="24" customWidth="1"/>
    <col min="55" max="57" width="6.33203125" style="22" customWidth="1"/>
    <col min="58" max="62" width="6.33203125" style="19" customWidth="1"/>
    <col min="63" max="63" width="6.83203125" customWidth="1"/>
    <col min="64" max="64" width="6.33203125" style="19" customWidth="1"/>
    <col min="65" max="65" width="7" style="19" customWidth="1"/>
    <col min="66" max="66" width="7" style="301" customWidth="1"/>
    <col min="67" max="67" width="2.83203125" customWidth="1"/>
    <col min="68" max="78" width="6.33203125" customWidth="1"/>
    <col min="79" max="79" width="6.33203125" style="167" customWidth="1"/>
    <col min="80" max="80" width="2.83203125" style="19" customWidth="1"/>
    <col min="81" max="81" width="12.33203125" style="19" customWidth="1"/>
    <col min="82" max="82" width="8.5" style="19" customWidth="1"/>
    <col min="83" max="83" width="6.6640625" style="19" customWidth="1"/>
    <col min="84" max="91" width="5.6640625" style="19" customWidth="1"/>
    <col min="92" max="92" width="5.6640625" customWidth="1"/>
    <col min="93" max="94" width="5.6640625" style="19" customWidth="1"/>
    <col min="95" max="95" width="5.6640625" style="301" customWidth="1"/>
    <col min="96" max="96" width="5.6640625" style="19" customWidth="1"/>
    <col min="97" max="97" width="7.1640625" style="19" customWidth="1"/>
    <col min="98" max="98" width="4.83203125" style="19" customWidth="1"/>
    <col min="99" max="104" width="7.1640625" style="19" customWidth="1"/>
    <col min="105" max="16384" width="9" style="19"/>
  </cols>
  <sheetData>
    <row r="1" spans="1:107" ht="91" x14ac:dyDescent="0.15">
      <c r="A1" s="57" t="s">
        <v>0</v>
      </c>
      <c r="B1" s="76" t="s">
        <v>1</v>
      </c>
      <c r="C1" s="76" t="s">
        <v>2</v>
      </c>
      <c r="D1" s="69" t="s">
        <v>3</v>
      </c>
      <c r="E1" s="135" t="s">
        <v>4</v>
      </c>
      <c r="F1" s="66" t="s">
        <v>5</v>
      </c>
      <c r="G1" s="66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71" t="s">
        <v>11</v>
      </c>
      <c r="M1" s="70" t="s">
        <v>12</v>
      </c>
      <c r="N1" s="59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  <c r="W1" s="73" t="s">
        <v>22</v>
      </c>
      <c r="X1" s="73" t="s">
        <v>23</v>
      </c>
      <c r="Y1" s="279" t="s">
        <v>24</v>
      </c>
      <c r="Z1" s="176" t="s">
        <v>25</v>
      </c>
      <c r="AA1" s="176" t="s">
        <v>26</v>
      </c>
      <c r="AB1" s="176" t="s">
        <v>27</v>
      </c>
      <c r="AC1" s="176" t="s">
        <v>28</v>
      </c>
      <c r="AD1" s="176" t="s">
        <v>29</v>
      </c>
      <c r="AE1" s="176" t="s">
        <v>30</v>
      </c>
      <c r="AF1" s="74"/>
      <c r="AG1" s="72" t="s">
        <v>31</v>
      </c>
      <c r="AH1" s="168" t="s">
        <v>32</v>
      </c>
      <c r="AI1" s="169" t="s">
        <v>33</v>
      </c>
      <c r="AJ1" s="169" t="s">
        <v>34</v>
      </c>
      <c r="AK1" s="169" t="s">
        <v>35</v>
      </c>
      <c r="AL1" s="169" t="s">
        <v>36</v>
      </c>
      <c r="AM1" s="170" t="s">
        <v>37</v>
      </c>
      <c r="AN1" s="170" t="s">
        <v>38</v>
      </c>
      <c r="AO1" s="169" t="s">
        <v>39</v>
      </c>
      <c r="AP1" s="169" t="s">
        <v>40</v>
      </c>
      <c r="AQ1" s="169" t="s">
        <v>41</v>
      </c>
      <c r="AR1" s="169" t="s">
        <v>42</v>
      </c>
      <c r="AS1" s="169" t="s">
        <v>43</v>
      </c>
      <c r="AT1" s="169" t="s">
        <v>44</v>
      </c>
      <c r="AU1" s="171" t="s">
        <v>45</v>
      </c>
      <c r="AV1" s="172" t="s">
        <v>46</v>
      </c>
      <c r="AW1" s="172" t="s">
        <v>46</v>
      </c>
      <c r="AX1" s="172" t="s">
        <v>47</v>
      </c>
      <c r="AY1" s="173" t="s">
        <v>48</v>
      </c>
      <c r="AZ1" s="173" t="s">
        <v>49</v>
      </c>
      <c r="BA1" s="172" t="s">
        <v>50</v>
      </c>
      <c r="BB1" s="74"/>
      <c r="BC1" s="75" t="s">
        <v>51</v>
      </c>
      <c r="BD1" s="61" t="s">
        <v>52</v>
      </c>
      <c r="BE1" s="61" t="s">
        <v>53</v>
      </c>
      <c r="BF1" s="61" t="s">
        <v>54</v>
      </c>
      <c r="BG1" s="61" t="s">
        <v>55</v>
      </c>
      <c r="BH1" s="61" t="s">
        <v>56</v>
      </c>
      <c r="BI1" s="61" t="s">
        <v>57</v>
      </c>
      <c r="BJ1" s="112" t="s">
        <v>54</v>
      </c>
      <c r="BK1" s="77" t="s">
        <v>58</v>
      </c>
      <c r="BL1" s="77" t="s">
        <v>59</v>
      </c>
      <c r="BM1" s="276" t="s">
        <v>60</v>
      </c>
      <c r="BN1" s="302" t="s">
        <v>61</v>
      </c>
      <c r="BO1" s="187"/>
      <c r="BP1" s="93" t="s">
        <v>62</v>
      </c>
      <c r="BQ1" s="93" t="s">
        <v>63</v>
      </c>
      <c r="BR1" s="93" t="s">
        <v>64</v>
      </c>
      <c r="BS1" s="93" t="s">
        <v>65</v>
      </c>
      <c r="BT1" s="93" t="s">
        <v>66</v>
      </c>
      <c r="BU1" s="93" t="s">
        <v>67</v>
      </c>
      <c r="BV1" s="93" t="s">
        <v>68</v>
      </c>
      <c r="BW1" s="93" t="s">
        <v>69</v>
      </c>
      <c r="BX1" s="93" t="s">
        <v>70</v>
      </c>
      <c r="BY1" s="92" t="s">
        <v>71</v>
      </c>
      <c r="BZ1" s="266" t="s">
        <v>72</v>
      </c>
      <c r="CA1" s="288" t="s">
        <v>73</v>
      </c>
      <c r="CB1" s="267"/>
      <c r="CC1" s="62" t="s">
        <v>74</v>
      </c>
      <c r="CD1" s="188" t="s">
        <v>75</v>
      </c>
      <c r="CE1" s="63" t="s">
        <v>76</v>
      </c>
      <c r="CF1" s="64" t="s">
        <v>77</v>
      </c>
      <c r="CG1" s="64" t="s">
        <v>78</v>
      </c>
      <c r="CH1" s="64" t="s">
        <v>79</v>
      </c>
      <c r="CI1" s="64" t="s">
        <v>80</v>
      </c>
      <c r="CJ1" s="64" t="s">
        <v>81</v>
      </c>
      <c r="CK1" s="64" t="s">
        <v>82</v>
      </c>
      <c r="CL1" s="64" t="s">
        <v>83</v>
      </c>
      <c r="CM1" s="64" t="s">
        <v>84</v>
      </c>
      <c r="CN1" s="64" t="s">
        <v>85</v>
      </c>
      <c r="CO1" s="64" t="s">
        <v>86</v>
      </c>
      <c r="CP1" s="64" t="s">
        <v>87</v>
      </c>
      <c r="CQ1" s="296" t="s">
        <v>88</v>
      </c>
      <c r="CR1" s="64" t="s">
        <v>89</v>
      </c>
      <c r="CS1" s="64" t="s">
        <v>90</v>
      </c>
      <c r="CT1" s="189"/>
      <c r="CU1" s="78" t="s">
        <v>91</v>
      </c>
      <c r="CV1" s="65" t="s">
        <v>92</v>
      </c>
      <c r="CW1" s="65" t="s">
        <v>93</v>
      </c>
      <c r="CX1" s="65" t="s">
        <v>94</v>
      </c>
      <c r="CY1" s="79" t="s">
        <v>95</v>
      </c>
      <c r="CZ1" s="182" t="s">
        <v>96</v>
      </c>
      <c r="DA1" s="30"/>
      <c r="DB1" s="31" t="s">
        <v>97</v>
      </c>
      <c r="DC1" s="31" t="s">
        <v>98</v>
      </c>
    </row>
    <row r="2" spans="1:107" ht="14" x14ac:dyDescent="0.15">
      <c r="A2" s="190">
        <v>1</v>
      </c>
      <c r="B2" s="191" t="s">
        <v>99</v>
      </c>
      <c r="C2" s="190" t="s">
        <v>100</v>
      </c>
      <c r="D2" s="192">
        <v>805</v>
      </c>
      <c r="E2" s="82">
        <v>12.5</v>
      </c>
      <c r="F2" s="67" t="s">
        <v>101</v>
      </c>
      <c r="G2" s="67">
        <v>2</v>
      </c>
      <c r="H2" s="193">
        <v>80</v>
      </c>
      <c r="I2" s="193">
        <v>40</v>
      </c>
      <c r="J2" s="193">
        <v>25</v>
      </c>
      <c r="K2" s="193">
        <v>18</v>
      </c>
      <c r="L2" s="194">
        <f>(((J2/2)*(K2/2))*PI())*((I2/10)*H2)</f>
        <v>113097.33552923254</v>
      </c>
      <c r="M2" s="82">
        <v>12.5</v>
      </c>
      <c r="N2" s="82">
        <v>12.6</v>
      </c>
      <c r="O2" s="82">
        <v>12.8</v>
      </c>
      <c r="P2" s="195">
        <v>13</v>
      </c>
      <c r="Q2" s="195">
        <v>13.1</v>
      </c>
      <c r="R2" s="195">
        <v>13.2</v>
      </c>
      <c r="S2" s="82">
        <v>13.25</v>
      </c>
      <c r="T2" s="83">
        <v>13.265000000000001</v>
      </c>
      <c r="U2" s="83">
        <v>13.5</v>
      </c>
      <c r="V2" s="83">
        <v>13.43</v>
      </c>
      <c r="W2" s="83">
        <v>13.53</v>
      </c>
      <c r="X2" s="83">
        <v>13.7</v>
      </c>
      <c r="Y2" s="280">
        <v>13.8</v>
      </c>
      <c r="Z2" s="177">
        <f>X2-M2</f>
        <v>1.1999999999999993</v>
      </c>
      <c r="AA2" s="178">
        <f t="shared" ref="AA2:AA33" si="0">Z2/M2</f>
        <v>9.5999999999999946E-2</v>
      </c>
      <c r="AB2" s="177">
        <f>Z2/2</f>
        <v>0.59999999999999964</v>
      </c>
      <c r="AC2" s="178">
        <f>AA2</f>
        <v>9.5999999999999946E-2</v>
      </c>
      <c r="AD2" s="179">
        <f>((X2^2*0.005454))-((M2^2*0.005454))</f>
        <v>0.1714737599999997</v>
      </c>
      <c r="AE2" s="178">
        <f>AD2/((M2^2)*0.0054)</f>
        <v>0.20322815999999963</v>
      </c>
      <c r="AF2"/>
      <c r="AG2"/>
      <c r="AH2" s="196">
        <v>1</v>
      </c>
      <c r="AI2" s="196">
        <v>1</v>
      </c>
      <c r="AJ2" s="196" t="s">
        <v>102</v>
      </c>
      <c r="AK2" s="174">
        <v>1</v>
      </c>
      <c r="AL2" s="196">
        <v>55</v>
      </c>
      <c r="AM2" s="196" t="s">
        <v>103</v>
      </c>
      <c r="AN2" s="196">
        <f>(5+0)/2</f>
        <v>2.5</v>
      </c>
      <c r="AO2" s="197">
        <v>10</v>
      </c>
      <c r="AP2" s="197">
        <v>80</v>
      </c>
      <c r="AQ2" s="197">
        <v>55</v>
      </c>
      <c r="AR2" s="197">
        <v>27</v>
      </c>
      <c r="AS2" s="197">
        <v>15</v>
      </c>
      <c r="AT2" s="198">
        <f>(((AR2/2)*(AS2/2))*PI())*((AQ2/10)*AP2)</f>
        <v>139957.95271742527</v>
      </c>
      <c r="AU2" s="197"/>
      <c r="AV2" s="174" t="s">
        <v>101</v>
      </c>
      <c r="AW2" s="174">
        <v>2</v>
      </c>
      <c r="AX2" s="196">
        <v>40</v>
      </c>
      <c r="AY2" s="196" t="s">
        <v>103</v>
      </c>
      <c r="AZ2" s="196">
        <f>(5+0)/2</f>
        <v>2.5</v>
      </c>
      <c r="BA2" s="197">
        <v>15</v>
      </c>
      <c r="BB2" s="199"/>
      <c r="BC2" s="53"/>
      <c r="BD2" s="53"/>
      <c r="BE2" s="53"/>
      <c r="BF2" s="115"/>
      <c r="BG2" s="115"/>
      <c r="BH2" s="115"/>
      <c r="BI2" s="115"/>
      <c r="BJ2" s="115"/>
      <c r="BK2" s="54"/>
      <c r="BL2" s="271"/>
      <c r="BM2" s="268"/>
      <c r="BN2" s="303"/>
      <c r="BP2" s="96" t="s">
        <v>343</v>
      </c>
      <c r="BQ2" s="96" t="s">
        <v>343</v>
      </c>
      <c r="BR2" s="96" t="s">
        <v>343</v>
      </c>
      <c r="BS2" s="96" t="s">
        <v>343</v>
      </c>
      <c r="BT2" s="96" t="s">
        <v>343</v>
      </c>
      <c r="BU2" s="96" t="s">
        <v>343</v>
      </c>
      <c r="BV2" s="96" t="s">
        <v>343</v>
      </c>
      <c r="BW2" s="96" t="s">
        <v>343</v>
      </c>
      <c r="BX2" s="96" t="s">
        <v>343</v>
      </c>
      <c r="BY2" s="96" t="s">
        <v>343</v>
      </c>
      <c r="BZ2" s="96" t="s">
        <v>343</v>
      </c>
      <c r="CA2" s="96" t="s">
        <v>343</v>
      </c>
      <c r="CB2" s="30"/>
      <c r="CC2" s="30"/>
      <c r="CD2"/>
      <c r="CE2"/>
      <c r="CF2" s="55"/>
      <c r="CG2" s="55"/>
      <c r="CH2" s="55"/>
      <c r="CI2" s="55"/>
      <c r="CJ2" s="55"/>
      <c r="CK2" s="55"/>
      <c r="CL2" s="55"/>
      <c r="CM2" s="55"/>
      <c r="CN2" s="55"/>
      <c r="CO2" s="116"/>
      <c r="CP2" s="116"/>
      <c r="CQ2" s="297" t="s">
        <v>104</v>
      </c>
      <c r="CR2" s="116"/>
      <c r="CS2" s="116">
        <v>0</v>
      </c>
      <c r="CT2" s="30"/>
      <c r="CU2" s="56"/>
      <c r="CV2" s="56"/>
      <c r="CW2" s="56"/>
      <c r="CX2" s="56"/>
      <c r="CY2" s="56"/>
      <c r="CZ2" s="183"/>
      <c r="DA2" s="30"/>
      <c r="DB2" s="30"/>
      <c r="DC2" s="30"/>
    </row>
    <row r="3" spans="1:107" ht="14" x14ac:dyDescent="0.15">
      <c r="A3" s="200">
        <v>1</v>
      </c>
      <c r="B3" s="107" t="s">
        <v>99</v>
      </c>
      <c r="C3" s="200" t="s">
        <v>105</v>
      </c>
      <c r="D3" s="201">
        <v>807</v>
      </c>
      <c r="E3" s="84">
        <v>12.1</v>
      </c>
      <c r="F3" s="68" t="s">
        <v>101</v>
      </c>
      <c r="G3" s="68">
        <v>2</v>
      </c>
      <c r="H3" s="202">
        <v>75</v>
      </c>
      <c r="I3" s="202">
        <v>45</v>
      </c>
      <c r="J3" s="202">
        <v>28</v>
      </c>
      <c r="K3" s="202">
        <v>28</v>
      </c>
      <c r="L3" s="203">
        <f t="shared" ref="L3:L33" si="1">(((J3/2)*(K3/2))*PI())*((I3/10)*H3)</f>
        <v>207816.35403496481</v>
      </c>
      <c r="M3" s="84">
        <v>12.1</v>
      </c>
      <c r="N3" s="84">
        <v>12.2</v>
      </c>
      <c r="O3" s="84">
        <v>12.4</v>
      </c>
      <c r="P3" s="204">
        <v>12.6</v>
      </c>
      <c r="Q3" s="204">
        <v>12.7</v>
      </c>
      <c r="R3" s="204">
        <v>12.8</v>
      </c>
      <c r="S3" s="84">
        <v>12.87</v>
      </c>
      <c r="T3" s="85">
        <v>12.93</v>
      </c>
      <c r="U3" s="85">
        <v>13</v>
      </c>
      <c r="V3" s="85">
        <v>13.09</v>
      </c>
      <c r="W3" s="85">
        <v>13.2</v>
      </c>
      <c r="X3" s="83">
        <v>13.3</v>
      </c>
      <c r="Y3" s="281">
        <v>13.5</v>
      </c>
      <c r="Z3" s="177">
        <f t="shared" ref="Z3:Z66" si="2">X3-M3</f>
        <v>1.2000000000000011</v>
      </c>
      <c r="AA3" s="178">
        <f t="shared" si="0"/>
        <v>9.917355371900835E-2</v>
      </c>
      <c r="AB3" s="177">
        <f t="shared" ref="AB3:AB66" si="3">Z3/2</f>
        <v>0.60000000000000053</v>
      </c>
      <c r="AC3" s="178">
        <f t="shared" ref="AC3:AC66" si="4">AA3</f>
        <v>9.917355371900835E-2</v>
      </c>
      <c r="AD3" s="179">
        <f t="shared" ref="AD3:AD66" si="5">((X3^2*0.005454))-((M3^2*0.005454))</f>
        <v>0.16623792000000004</v>
      </c>
      <c r="AE3" s="178">
        <f t="shared" ref="AE3:AE66" si="6">AD3/((M3^2)*0.0054)</f>
        <v>0.21026432620722632</v>
      </c>
      <c r="AF3"/>
      <c r="AG3"/>
      <c r="AH3" s="175">
        <v>2</v>
      </c>
      <c r="AI3" s="175">
        <v>1</v>
      </c>
      <c r="AJ3" s="175" t="s">
        <v>101</v>
      </c>
      <c r="AK3" s="174">
        <v>2</v>
      </c>
      <c r="AL3" s="175">
        <v>75</v>
      </c>
      <c r="AM3" s="175" t="s">
        <v>103</v>
      </c>
      <c r="AN3" s="196">
        <f t="shared" ref="AN3:AN66" si="7">(5+0)/2</f>
        <v>2.5</v>
      </c>
      <c r="AO3" s="205">
        <v>30</v>
      </c>
      <c r="AP3" s="205">
        <v>85</v>
      </c>
      <c r="AQ3" s="205">
        <v>45</v>
      </c>
      <c r="AR3" s="205">
        <v>31</v>
      </c>
      <c r="AS3" s="205">
        <v>31</v>
      </c>
      <c r="AT3" s="206">
        <f t="shared" ref="AT3:AT66" si="8">(((AR3/2)*(AS3/2))*PI())*((AQ3/10)*AP3)</f>
        <v>288698.62039704254</v>
      </c>
      <c r="AU3" s="205"/>
      <c r="AV3" s="174" t="s">
        <v>101</v>
      </c>
      <c r="AW3" s="174">
        <v>2</v>
      </c>
      <c r="AX3" s="175">
        <v>30</v>
      </c>
      <c r="AY3" s="175" t="s">
        <v>103</v>
      </c>
      <c r="AZ3" s="196">
        <f t="shared" ref="AZ3:AZ66" si="9">(5+0)/2</f>
        <v>2.5</v>
      </c>
      <c r="BA3" s="205">
        <v>15</v>
      </c>
      <c r="BB3" s="199"/>
      <c r="BC3" s="207"/>
      <c r="BD3" s="207"/>
      <c r="BE3" s="207"/>
      <c r="BF3" s="97"/>
      <c r="BG3" s="97"/>
      <c r="BH3" s="97"/>
      <c r="BI3" s="97"/>
      <c r="BJ3" s="97"/>
      <c r="BK3" s="28"/>
      <c r="BL3" s="272"/>
      <c r="BM3" s="268"/>
      <c r="BN3" s="303"/>
      <c r="BP3" s="96" t="s">
        <v>343</v>
      </c>
      <c r="BQ3" s="96" t="s">
        <v>343</v>
      </c>
      <c r="BR3" s="96" t="s">
        <v>343</v>
      </c>
      <c r="BS3" s="96" t="s">
        <v>343</v>
      </c>
      <c r="BT3" s="96" t="s">
        <v>343</v>
      </c>
      <c r="BU3" s="96" t="s">
        <v>343</v>
      </c>
      <c r="BV3" s="96" t="s">
        <v>343</v>
      </c>
      <c r="BW3" s="96" t="s">
        <v>343</v>
      </c>
      <c r="BX3" s="96" t="s">
        <v>343</v>
      </c>
      <c r="BY3" s="96" t="s">
        <v>343</v>
      </c>
      <c r="BZ3" s="96" t="s">
        <v>343</v>
      </c>
      <c r="CA3" s="96" t="s">
        <v>343</v>
      </c>
      <c r="CB3" s="30"/>
      <c r="CC3" s="30"/>
      <c r="CD3" s="30"/>
      <c r="CE3" s="30"/>
      <c r="CF3" s="98"/>
      <c r="CG3" s="98"/>
      <c r="CH3" s="98"/>
      <c r="CI3" s="98"/>
      <c r="CJ3" s="98"/>
      <c r="CK3" s="98"/>
      <c r="CL3" s="98"/>
      <c r="CM3" s="98"/>
      <c r="CN3" s="32"/>
      <c r="CO3" s="98"/>
      <c r="CP3" s="116"/>
      <c r="CQ3" s="297" t="s">
        <v>104</v>
      </c>
      <c r="CR3" s="116"/>
      <c r="CS3" s="116">
        <v>0</v>
      </c>
      <c r="CT3" s="30"/>
      <c r="CU3" s="48"/>
      <c r="CV3" s="48"/>
      <c r="CW3" s="48"/>
      <c r="CX3" s="48"/>
      <c r="CY3" s="48"/>
      <c r="CZ3" s="184"/>
      <c r="DA3" s="30"/>
      <c r="DB3" s="30"/>
      <c r="DC3" s="30"/>
    </row>
    <row r="4" spans="1:107" ht="14" x14ac:dyDescent="0.15">
      <c r="A4" s="200">
        <v>1</v>
      </c>
      <c r="B4" s="107" t="s">
        <v>99</v>
      </c>
      <c r="C4" s="200" t="s">
        <v>106</v>
      </c>
      <c r="D4" s="201">
        <v>813</v>
      </c>
      <c r="E4" s="84">
        <v>10.1</v>
      </c>
      <c r="F4" s="68" t="s">
        <v>101</v>
      </c>
      <c r="G4" s="68">
        <v>2</v>
      </c>
      <c r="H4" s="202">
        <v>80</v>
      </c>
      <c r="I4" s="202">
        <v>30</v>
      </c>
      <c r="J4" s="202">
        <v>18</v>
      </c>
      <c r="K4" s="202">
        <v>11</v>
      </c>
      <c r="L4" s="203">
        <f t="shared" si="1"/>
        <v>37322.120724646746</v>
      </c>
      <c r="M4" s="84">
        <v>10.1</v>
      </c>
      <c r="N4" s="84">
        <v>10.1</v>
      </c>
      <c r="O4" s="84">
        <v>10.3</v>
      </c>
      <c r="P4" s="204">
        <v>10.4</v>
      </c>
      <c r="Q4" s="204">
        <v>10.5</v>
      </c>
      <c r="R4" s="204">
        <v>10.6</v>
      </c>
      <c r="S4" s="84">
        <v>10.6</v>
      </c>
      <c r="T4" s="85">
        <v>10.67</v>
      </c>
      <c r="U4" s="85">
        <v>10.73</v>
      </c>
      <c r="V4" s="85">
        <v>10.8</v>
      </c>
      <c r="W4" s="85">
        <v>10.87</v>
      </c>
      <c r="X4" s="83">
        <v>11</v>
      </c>
      <c r="Y4" s="281">
        <v>11</v>
      </c>
      <c r="Z4" s="177">
        <f t="shared" si="2"/>
        <v>0.90000000000000036</v>
      </c>
      <c r="AA4" s="178">
        <f t="shared" si="0"/>
        <v>8.9108910891089146E-2</v>
      </c>
      <c r="AB4" s="177">
        <f t="shared" si="3"/>
        <v>0.45000000000000018</v>
      </c>
      <c r="AC4" s="178">
        <f t="shared" si="4"/>
        <v>8.9108910891089146E-2</v>
      </c>
      <c r="AD4" s="179">
        <f t="shared" si="5"/>
        <v>0.10357145999999995</v>
      </c>
      <c r="AE4" s="178">
        <f t="shared" si="6"/>
        <v>0.18801980198019794</v>
      </c>
      <c r="AF4"/>
      <c r="AG4"/>
      <c r="AH4" s="175">
        <v>1</v>
      </c>
      <c r="AI4" s="175">
        <v>1</v>
      </c>
      <c r="AJ4" s="175" t="s">
        <v>101</v>
      </c>
      <c r="AK4" s="174">
        <v>2</v>
      </c>
      <c r="AL4" s="175">
        <v>40</v>
      </c>
      <c r="AM4" s="175" t="s">
        <v>103</v>
      </c>
      <c r="AN4" s="196">
        <f t="shared" si="7"/>
        <v>2.5</v>
      </c>
      <c r="AO4" s="205">
        <v>5</v>
      </c>
      <c r="AP4" s="205">
        <v>85</v>
      </c>
      <c r="AQ4" s="205">
        <v>25</v>
      </c>
      <c r="AR4" s="205">
        <v>25</v>
      </c>
      <c r="AS4" s="205">
        <v>16</v>
      </c>
      <c r="AT4" s="206">
        <f t="shared" si="8"/>
        <v>66758.8438887831</v>
      </c>
      <c r="AU4" s="205"/>
      <c r="AV4" s="174" t="s">
        <v>101</v>
      </c>
      <c r="AW4" s="174">
        <v>2</v>
      </c>
      <c r="AX4" s="175">
        <v>30</v>
      </c>
      <c r="AY4" s="175" t="s">
        <v>103</v>
      </c>
      <c r="AZ4" s="196">
        <f t="shared" si="9"/>
        <v>2.5</v>
      </c>
      <c r="BA4" s="205">
        <v>10</v>
      </c>
      <c r="BB4" s="199"/>
      <c r="BC4" s="207"/>
      <c r="BD4" s="207"/>
      <c r="BE4" s="207"/>
      <c r="BF4" s="97"/>
      <c r="BG4" s="97"/>
      <c r="BH4" s="97"/>
      <c r="BI4" s="97"/>
      <c r="BJ4" s="97"/>
      <c r="BK4" s="28"/>
      <c r="BL4" s="272"/>
      <c r="BM4" s="268"/>
      <c r="BN4" s="303"/>
      <c r="BP4" s="96" t="s">
        <v>343</v>
      </c>
      <c r="BQ4" s="96" t="s">
        <v>343</v>
      </c>
      <c r="BR4" s="96" t="s">
        <v>343</v>
      </c>
      <c r="BS4" s="96" t="s">
        <v>343</v>
      </c>
      <c r="BT4" s="96" t="s">
        <v>343</v>
      </c>
      <c r="BU4" s="96" t="s">
        <v>343</v>
      </c>
      <c r="BV4" s="96" t="s">
        <v>343</v>
      </c>
      <c r="BW4" s="96" t="s">
        <v>343</v>
      </c>
      <c r="BX4" s="96" t="s">
        <v>343</v>
      </c>
      <c r="BY4" s="96" t="s">
        <v>343</v>
      </c>
      <c r="BZ4" s="96" t="s">
        <v>343</v>
      </c>
      <c r="CA4" s="96" t="s">
        <v>343</v>
      </c>
      <c r="CB4" s="30"/>
      <c r="CC4" s="30"/>
      <c r="CD4" s="30"/>
      <c r="CE4" s="30"/>
      <c r="CF4" s="98"/>
      <c r="CG4" s="98"/>
      <c r="CH4" s="98"/>
      <c r="CI4" s="98"/>
      <c r="CJ4" s="98"/>
      <c r="CK4" s="98"/>
      <c r="CL4" s="98"/>
      <c r="CM4" s="98"/>
      <c r="CN4" s="32"/>
      <c r="CO4" s="98"/>
      <c r="CP4" s="116"/>
      <c r="CQ4" s="297" t="s">
        <v>104</v>
      </c>
      <c r="CR4" s="116"/>
      <c r="CS4" s="116">
        <v>0</v>
      </c>
      <c r="CT4" s="30"/>
      <c r="CU4" s="48"/>
      <c r="CV4" s="48"/>
      <c r="CW4" s="48"/>
      <c r="CX4" s="48"/>
      <c r="CY4" s="48"/>
      <c r="CZ4" s="184"/>
      <c r="DA4" s="30"/>
      <c r="DB4" s="30"/>
      <c r="DC4" s="30"/>
    </row>
    <row r="5" spans="1:107" ht="14" x14ac:dyDescent="0.15">
      <c r="A5" s="200">
        <v>1</v>
      </c>
      <c r="B5" s="107" t="s">
        <v>99</v>
      </c>
      <c r="C5" s="200" t="s">
        <v>107</v>
      </c>
      <c r="D5" s="201">
        <v>814</v>
      </c>
      <c r="E5" s="84">
        <v>15.2</v>
      </c>
      <c r="F5" s="68" t="s">
        <v>101</v>
      </c>
      <c r="G5" s="68">
        <v>2</v>
      </c>
      <c r="H5" s="202">
        <v>88</v>
      </c>
      <c r="I5" s="202">
        <v>40</v>
      </c>
      <c r="J5" s="202">
        <v>30</v>
      </c>
      <c r="K5" s="202">
        <v>18</v>
      </c>
      <c r="L5" s="203">
        <f t="shared" si="1"/>
        <v>149288.48289858695</v>
      </c>
      <c r="M5" s="84">
        <v>15.2</v>
      </c>
      <c r="N5" s="84">
        <v>15.4</v>
      </c>
      <c r="O5" s="84">
        <v>15.7</v>
      </c>
      <c r="P5" s="84">
        <v>16</v>
      </c>
      <c r="Q5" s="204">
        <v>16.2</v>
      </c>
      <c r="R5" s="204">
        <v>16.399999999999999</v>
      </c>
      <c r="S5" s="84">
        <v>16.43</v>
      </c>
      <c r="T5" s="85">
        <v>16.59</v>
      </c>
      <c r="U5" s="85">
        <v>16.78</v>
      </c>
      <c r="V5" s="85">
        <v>16.93</v>
      </c>
      <c r="W5" s="85">
        <v>17.170000000000002</v>
      </c>
      <c r="X5" s="83">
        <v>17.5</v>
      </c>
      <c r="Y5" s="281">
        <v>17.7</v>
      </c>
      <c r="Z5" s="177">
        <f t="shared" si="2"/>
        <v>2.3000000000000007</v>
      </c>
      <c r="AA5" s="178">
        <f t="shared" si="0"/>
        <v>0.15131578947368426</v>
      </c>
      <c r="AB5" s="177">
        <f t="shared" si="3"/>
        <v>1.1500000000000004</v>
      </c>
      <c r="AC5" s="178">
        <f t="shared" si="4"/>
        <v>0.15131578947368426</v>
      </c>
      <c r="AD5" s="179">
        <f t="shared" si="5"/>
        <v>0.41019534000000002</v>
      </c>
      <c r="AE5" s="178">
        <f t="shared" si="6"/>
        <v>0.32878332756232687</v>
      </c>
      <c r="AF5"/>
      <c r="AG5"/>
      <c r="AH5" s="175">
        <v>1</v>
      </c>
      <c r="AI5" s="175">
        <v>1</v>
      </c>
      <c r="AJ5" s="175" t="s">
        <v>102</v>
      </c>
      <c r="AK5" s="174">
        <v>1</v>
      </c>
      <c r="AL5" s="175">
        <v>40</v>
      </c>
      <c r="AM5" s="175" t="s">
        <v>103</v>
      </c>
      <c r="AN5" s="196">
        <f t="shared" si="7"/>
        <v>2.5</v>
      </c>
      <c r="AO5" s="205">
        <v>15</v>
      </c>
      <c r="AP5" s="205">
        <v>85</v>
      </c>
      <c r="AQ5" s="205">
        <v>45</v>
      </c>
      <c r="AR5" s="205">
        <v>46</v>
      </c>
      <c r="AS5" s="205">
        <v>27</v>
      </c>
      <c r="AT5" s="206">
        <f t="shared" si="8"/>
        <v>373115.17849440878</v>
      </c>
      <c r="AU5" s="205"/>
      <c r="AV5" s="174" t="s">
        <v>102</v>
      </c>
      <c r="AW5" s="174">
        <v>1</v>
      </c>
      <c r="AX5" s="175">
        <v>40</v>
      </c>
      <c r="AY5" s="175" t="s">
        <v>103</v>
      </c>
      <c r="AZ5" s="196">
        <f t="shared" si="9"/>
        <v>2.5</v>
      </c>
      <c r="BA5" s="205">
        <v>10</v>
      </c>
      <c r="BB5" s="199"/>
      <c r="BC5" s="207"/>
      <c r="BD5" s="207"/>
      <c r="BE5" s="207"/>
      <c r="BF5" s="208"/>
      <c r="BG5" s="208"/>
      <c r="BH5" s="208"/>
      <c r="BI5" s="208"/>
      <c r="BJ5" s="208"/>
      <c r="BK5" s="28"/>
      <c r="BL5" s="273"/>
      <c r="BM5" s="269"/>
      <c r="BN5" s="304"/>
      <c r="BP5" s="96" t="s">
        <v>343</v>
      </c>
      <c r="BQ5" s="96" t="s">
        <v>343</v>
      </c>
      <c r="BR5" s="96" t="s">
        <v>343</v>
      </c>
      <c r="BS5" s="96" t="s">
        <v>343</v>
      </c>
      <c r="BT5" s="96" t="s">
        <v>343</v>
      </c>
      <c r="BU5" s="96" t="s">
        <v>343</v>
      </c>
      <c r="BV5" s="96" t="s">
        <v>343</v>
      </c>
      <c r="BW5" s="96" t="s">
        <v>343</v>
      </c>
      <c r="BX5" s="96" t="s">
        <v>343</v>
      </c>
      <c r="BY5" s="96" t="s">
        <v>343</v>
      </c>
      <c r="BZ5" s="96" t="s">
        <v>343</v>
      </c>
      <c r="CA5" s="96" t="s">
        <v>343</v>
      </c>
      <c r="CB5" s="31"/>
      <c r="CC5" s="31"/>
      <c r="CD5" s="31"/>
      <c r="CE5" s="31"/>
      <c r="CF5" s="209"/>
      <c r="CG5" s="209"/>
      <c r="CH5" s="209"/>
      <c r="CI5" s="98"/>
      <c r="CJ5" s="98"/>
      <c r="CK5" s="98"/>
      <c r="CL5" s="98"/>
      <c r="CM5" s="98"/>
      <c r="CN5" s="32"/>
      <c r="CO5" s="98"/>
      <c r="CP5" s="116"/>
      <c r="CQ5" s="297" t="s">
        <v>104</v>
      </c>
      <c r="CR5" s="116"/>
      <c r="CS5" s="116">
        <v>0</v>
      </c>
      <c r="CT5" s="30"/>
      <c r="CU5" s="48"/>
      <c r="CV5" s="48"/>
      <c r="CW5" s="48"/>
      <c r="CX5" s="48"/>
      <c r="CY5" s="48"/>
      <c r="CZ5" s="184"/>
      <c r="DA5" s="30"/>
      <c r="DB5" s="30"/>
      <c r="DC5" s="30"/>
    </row>
    <row r="6" spans="1:107" ht="14" x14ac:dyDescent="0.15">
      <c r="A6" s="200">
        <v>1</v>
      </c>
      <c r="B6" s="107" t="s">
        <v>99</v>
      </c>
      <c r="C6" s="200" t="s">
        <v>108</v>
      </c>
      <c r="D6" s="201">
        <v>820</v>
      </c>
      <c r="E6" s="84">
        <v>13.3</v>
      </c>
      <c r="F6" s="68" t="s">
        <v>101</v>
      </c>
      <c r="G6" s="68">
        <v>2</v>
      </c>
      <c r="H6" s="202">
        <v>72</v>
      </c>
      <c r="I6" s="202">
        <v>75</v>
      </c>
      <c r="J6" s="202">
        <v>19</v>
      </c>
      <c r="K6" s="202">
        <v>17</v>
      </c>
      <c r="L6" s="203">
        <f t="shared" si="1"/>
        <v>136989.14765978293</v>
      </c>
      <c r="M6" s="84">
        <v>13.3</v>
      </c>
      <c r="N6" s="84">
        <v>13.3</v>
      </c>
      <c r="O6" s="84">
        <v>13.5</v>
      </c>
      <c r="P6" s="204">
        <v>13.6</v>
      </c>
      <c r="Q6" s="204">
        <v>13.7</v>
      </c>
      <c r="R6" s="204">
        <v>13.775</v>
      </c>
      <c r="S6" s="84">
        <v>13.75</v>
      </c>
      <c r="T6" s="85">
        <v>13.75</v>
      </c>
      <c r="U6" s="85">
        <v>13.79</v>
      </c>
      <c r="V6" s="85">
        <v>13.87</v>
      </c>
      <c r="W6" s="85">
        <v>13.93</v>
      </c>
      <c r="X6" s="83">
        <v>14</v>
      </c>
      <c r="Y6" s="281">
        <v>14</v>
      </c>
      <c r="Z6" s="177">
        <f t="shared" si="2"/>
        <v>0.69999999999999929</v>
      </c>
      <c r="AA6" s="178">
        <f t="shared" si="0"/>
        <v>5.2631578947368363E-2</v>
      </c>
      <c r="AB6" s="177">
        <f t="shared" si="3"/>
        <v>0.34999999999999964</v>
      </c>
      <c r="AC6" s="178">
        <f t="shared" si="4"/>
        <v>5.2631578947368363E-2</v>
      </c>
      <c r="AD6" s="179">
        <f t="shared" si="5"/>
        <v>0.10422593999999996</v>
      </c>
      <c r="AE6" s="178">
        <f t="shared" si="6"/>
        <v>0.10911357340720217</v>
      </c>
      <c r="AF6"/>
      <c r="AG6"/>
      <c r="AH6" s="175">
        <v>1</v>
      </c>
      <c r="AI6" s="175">
        <v>1</v>
      </c>
      <c r="AJ6" s="175" t="s">
        <v>101</v>
      </c>
      <c r="AK6" s="174">
        <v>2</v>
      </c>
      <c r="AL6" s="175">
        <v>40</v>
      </c>
      <c r="AM6" s="175" t="s">
        <v>103</v>
      </c>
      <c r="AN6" s="196">
        <f t="shared" si="7"/>
        <v>2.5</v>
      </c>
      <c r="AO6" s="205">
        <v>15</v>
      </c>
      <c r="AP6" s="205">
        <v>75</v>
      </c>
      <c r="AQ6" s="205">
        <v>40</v>
      </c>
      <c r="AR6" s="205">
        <v>27</v>
      </c>
      <c r="AS6" s="205">
        <v>22</v>
      </c>
      <c r="AT6" s="206">
        <f t="shared" si="8"/>
        <v>139957.95271742527</v>
      </c>
      <c r="AU6" s="205"/>
      <c r="AV6" s="174" t="s">
        <v>101</v>
      </c>
      <c r="AW6" s="174">
        <v>2</v>
      </c>
      <c r="AX6" s="175">
        <v>35</v>
      </c>
      <c r="AY6" s="175" t="s">
        <v>103</v>
      </c>
      <c r="AZ6" s="196">
        <f t="shared" si="9"/>
        <v>2.5</v>
      </c>
      <c r="BA6" s="205">
        <v>20</v>
      </c>
      <c r="BB6" s="199"/>
      <c r="BC6" s="207"/>
      <c r="BD6" s="207"/>
      <c r="BE6" s="207"/>
      <c r="BF6" s="208"/>
      <c r="BG6" s="208"/>
      <c r="BH6" s="208"/>
      <c r="BI6" s="208"/>
      <c r="BJ6" s="208"/>
      <c r="BK6" s="28"/>
      <c r="BL6" s="273"/>
      <c r="BM6" s="269"/>
      <c r="BN6" s="304"/>
      <c r="BP6" s="96" t="s">
        <v>343</v>
      </c>
      <c r="BQ6" s="96" t="s">
        <v>343</v>
      </c>
      <c r="BR6" s="96" t="s">
        <v>343</v>
      </c>
      <c r="BS6" s="96" t="s">
        <v>343</v>
      </c>
      <c r="BT6" s="96" t="s">
        <v>343</v>
      </c>
      <c r="BU6" s="96" t="s">
        <v>343</v>
      </c>
      <c r="BV6" s="96" t="s">
        <v>343</v>
      </c>
      <c r="BW6" s="96" t="s">
        <v>343</v>
      </c>
      <c r="BX6" s="96" t="s">
        <v>343</v>
      </c>
      <c r="BY6" s="96" t="s">
        <v>343</v>
      </c>
      <c r="BZ6" s="96" t="s">
        <v>343</v>
      </c>
      <c r="CA6" s="96" t="s">
        <v>343</v>
      </c>
      <c r="CB6" s="31"/>
      <c r="CC6" s="31"/>
      <c r="CD6" s="31"/>
      <c r="CE6" s="31"/>
      <c r="CF6" s="209"/>
      <c r="CG6" s="209"/>
      <c r="CH6" s="209"/>
      <c r="CI6" s="98"/>
      <c r="CJ6" s="98"/>
      <c r="CK6" s="98"/>
      <c r="CL6" s="98"/>
      <c r="CM6" s="98"/>
      <c r="CN6" s="32"/>
      <c r="CO6" s="98"/>
      <c r="CP6" s="116"/>
      <c r="CQ6" s="297" t="s">
        <v>104</v>
      </c>
      <c r="CR6" s="116"/>
      <c r="CS6" s="116">
        <v>0</v>
      </c>
      <c r="CT6" s="30"/>
      <c r="CU6" s="48"/>
      <c r="CV6" s="48"/>
      <c r="CW6" s="48"/>
      <c r="CX6" s="48"/>
      <c r="CY6" s="48"/>
      <c r="CZ6" s="184"/>
      <c r="DA6" s="30"/>
      <c r="DB6" s="30"/>
      <c r="DC6" s="30"/>
    </row>
    <row r="7" spans="1:107" ht="14" x14ac:dyDescent="0.15">
      <c r="A7" s="200">
        <v>1</v>
      </c>
      <c r="B7" s="107" t="s">
        <v>99</v>
      </c>
      <c r="C7" s="200" t="s">
        <v>109</v>
      </c>
      <c r="D7" s="201">
        <v>821</v>
      </c>
      <c r="E7" s="84">
        <v>13.4</v>
      </c>
      <c r="F7" s="68" t="s">
        <v>101</v>
      </c>
      <c r="G7" s="68">
        <v>2</v>
      </c>
      <c r="H7" s="202">
        <v>80</v>
      </c>
      <c r="I7" s="202">
        <v>55</v>
      </c>
      <c r="J7" s="202">
        <v>28</v>
      </c>
      <c r="K7" s="202">
        <v>20</v>
      </c>
      <c r="L7" s="203">
        <f t="shared" si="1"/>
        <v>193522.10746113124</v>
      </c>
      <c r="M7" s="84">
        <v>13.4</v>
      </c>
      <c r="N7" s="84">
        <v>13.5</v>
      </c>
      <c r="O7" s="84">
        <v>13.6</v>
      </c>
      <c r="P7" s="204">
        <v>13.7</v>
      </c>
      <c r="Q7" s="204">
        <v>13.8</v>
      </c>
      <c r="R7" s="204">
        <v>13.9</v>
      </c>
      <c r="S7" s="84">
        <v>13.92</v>
      </c>
      <c r="T7" s="85">
        <v>13.93</v>
      </c>
      <c r="U7" s="85">
        <v>13.975</v>
      </c>
      <c r="V7" s="85">
        <v>14</v>
      </c>
      <c r="W7" s="85">
        <v>14.07</v>
      </c>
      <c r="X7" s="83">
        <v>14.2</v>
      </c>
      <c r="Y7" s="281">
        <v>14.3</v>
      </c>
      <c r="Z7" s="177">
        <f t="shared" si="2"/>
        <v>0.79999999999999893</v>
      </c>
      <c r="AA7" s="178">
        <f t="shared" si="0"/>
        <v>5.9701492537313348E-2</v>
      </c>
      <c r="AB7" s="177">
        <f t="shared" si="3"/>
        <v>0.39999999999999947</v>
      </c>
      <c r="AC7" s="178">
        <f t="shared" si="4"/>
        <v>5.9701492537313348E-2</v>
      </c>
      <c r="AD7" s="179">
        <f t="shared" si="5"/>
        <v>0.12042431999999981</v>
      </c>
      <c r="AE7" s="178">
        <f t="shared" si="6"/>
        <v>0.12419692581866765</v>
      </c>
      <c r="AF7"/>
      <c r="AG7"/>
      <c r="AH7" s="175">
        <v>2</v>
      </c>
      <c r="AI7" s="175">
        <v>1</v>
      </c>
      <c r="AJ7" s="175" t="s">
        <v>101</v>
      </c>
      <c r="AK7" s="174">
        <v>2</v>
      </c>
      <c r="AL7" s="175">
        <v>35</v>
      </c>
      <c r="AM7" s="175" t="s">
        <v>103</v>
      </c>
      <c r="AN7" s="196">
        <f t="shared" si="7"/>
        <v>2.5</v>
      </c>
      <c r="AO7" s="205">
        <v>10</v>
      </c>
      <c r="AP7" s="205">
        <v>80</v>
      </c>
      <c r="AQ7" s="205">
        <v>40</v>
      </c>
      <c r="AR7" s="205">
        <v>39</v>
      </c>
      <c r="AS7" s="205">
        <v>23</v>
      </c>
      <c r="AT7" s="206">
        <f t="shared" si="8"/>
        <v>225440.68882160354</v>
      </c>
      <c r="AU7" s="205"/>
      <c r="AV7" s="174" t="s">
        <v>110</v>
      </c>
      <c r="AW7" s="174">
        <v>2.5</v>
      </c>
      <c r="AX7" s="175">
        <v>35</v>
      </c>
      <c r="AY7" s="175" t="s">
        <v>103</v>
      </c>
      <c r="AZ7" s="196">
        <f t="shared" si="9"/>
        <v>2.5</v>
      </c>
      <c r="BA7" s="205">
        <v>25</v>
      </c>
      <c r="BB7" s="199"/>
      <c r="BC7" s="207"/>
      <c r="BD7" s="207"/>
      <c r="BE7" s="207"/>
      <c r="BF7" s="210"/>
      <c r="BG7" s="210"/>
      <c r="BH7" s="210"/>
      <c r="BI7" s="210"/>
      <c r="BJ7" s="210"/>
      <c r="BK7" s="28"/>
      <c r="BL7" s="274"/>
      <c r="BM7" s="270"/>
      <c r="BN7" s="303"/>
      <c r="BP7" s="96" t="s">
        <v>343</v>
      </c>
      <c r="BQ7" s="96" t="s">
        <v>343</v>
      </c>
      <c r="BR7" s="96" t="s">
        <v>343</v>
      </c>
      <c r="BS7" s="96" t="s">
        <v>343</v>
      </c>
      <c r="BT7" s="96" t="s">
        <v>343</v>
      </c>
      <c r="BU7" s="96" t="s">
        <v>343</v>
      </c>
      <c r="BV7" s="96" t="s">
        <v>343</v>
      </c>
      <c r="BW7" s="96" t="s">
        <v>343</v>
      </c>
      <c r="BX7" s="96" t="s">
        <v>343</v>
      </c>
      <c r="BY7" s="96" t="s">
        <v>343</v>
      </c>
      <c r="BZ7" s="96" t="s">
        <v>343</v>
      </c>
      <c r="CA7" s="96" t="s">
        <v>343</v>
      </c>
      <c r="CB7" s="211"/>
      <c r="CC7" s="211"/>
      <c r="CD7" s="211"/>
      <c r="CE7" s="211"/>
      <c r="CF7" s="98"/>
      <c r="CG7" s="98"/>
      <c r="CH7" s="98"/>
      <c r="CI7" s="98"/>
      <c r="CJ7" s="98"/>
      <c r="CK7" s="98"/>
      <c r="CL7" s="98"/>
      <c r="CM7" s="98"/>
      <c r="CN7" s="32"/>
      <c r="CO7" s="98"/>
      <c r="CP7" s="116"/>
      <c r="CQ7" s="297" t="s">
        <v>104</v>
      </c>
      <c r="CR7" s="116"/>
      <c r="CS7" s="116">
        <v>0</v>
      </c>
      <c r="CT7" s="30"/>
      <c r="CU7" s="48"/>
      <c r="CV7" s="48"/>
      <c r="CW7" s="48"/>
      <c r="CX7" s="48"/>
      <c r="CY7" s="48"/>
      <c r="CZ7" s="184"/>
      <c r="DA7" s="30"/>
      <c r="DB7" s="30"/>
      <c r="DC7" s="30"/>
    </row>
    <row r="8" spans="1:107" ht="14" x14ac:dyDescent="0.15">
      <c r="A8" s="200">
        <v>1</v>
      </c>
      <c r="B8" s="107" t="s">
        <v>99</v>
      </c>
      <c r="C8" s="200" t="s">
        <v>111</v>
      </c>
      <c r="D8" s="201">
        <v>824</v>
      </c>
      <c r="E8" s="84">
        <v>11.4</v>
      </c>
      <c r="F8" s="68" t="s">
        <v>101</v>
      </c>
      <c r="G8" s="68">
        <v>2</v>
      </c>
      <c r="H8" s="202">
        <v>72</v>
      </c>
      <c r="I8" s="202">
        <v>40</v>
      </c>
      <c r="J8" s="202">
        <v>17</v>
      </c>
      <c r="K8" s="202">
        <v>13</v>
      </c>
      <c r="L8" s="203">
        <f t="shared" si="1"/>
        <v>49989.022303920792</v>
      </c>
      <c r="M8" s="84">
        <v>11.4</v>
      </c>
      <c r="N8" s="84">
        <v>11.6</v>
      </c>
      <c r="O8" s="84">
        <v>11.9</v>
      </c>
      <c r="P8" s="204">
        <v>12</v>
      </c>
      <c r="Q8" s="204">
        <v>12.1</v>
      </c>
      <c r="R8" s="204">
        <v>12.2</v>
      </c>
      <c r="S8" s="84">
        <v>12.25</v>
      </c>
      <c r="T8" s="85">
        <v>12.32</v>
      </c>
      <c r="U8" s="85">
        <v>12.38</v>
      </c>
      <c r="V8" s="85">
        <v>12.48</v>
      </c>
      <c r="W8" s="85">
        <v>12.55</v>
      </c>
      <c r="X8" s="83">
        <v>12.7</v>
      </c>
      <c r="Y8" s="281">
        <v>12.9</v>
      </c>
      <c r="Z8" s="177">
        <f t="shared" si="2"/>
        <v>1.2999999999999989</v>
      </c>
      <c r="AA8" s="178">
        <f t="shared" si="0"/>
        <v>0.11403508771929814</v>
      </c>
      <c r="AB8" s="177">
        <f t="shared" si="3"/>
        <v>0.64999999999999947</v>
      </c>
      <c r="AC8" s="178">
        <f t="shared" si="4"/>
        <v>0.11403508771929814</v>
      </c>
      <c r="AD8" s="179">
        <f t="shared" si="5"/>
        <v>0.17087381999999984</v>
      </c>
      <c r="AE8" s="178">
        <f t="shared" si="6"/>
        <v>0.24348491843644174</v>
      </c>
      <c r="AF8"/>
      <c r="AG8"/>
      <c r="AH8" s="175">
        <v>1</v>
      </c>
      <c r="AI8" s="175">
        <v>1</v>
      </c>
      <c r="AJ8" s="175" t="s">
        <v>101</v>
      </c>
      <c r="AK8" s="174">
        <v>2</v>
      </c>
      <c r="AL8" s="175">
        <v>40</v>
      </c>
      <c r="AM8" s="175" t="s">
        <v>103</v>
      </c>
      <c r="AN8" s="196">
        <f t="shared" si="7"/>
        <v>2.5</v>
      </c>
      <c r="AO8" s="205">
        <v>15</v>
      </c>
      <c r="AP8" s="205">
        <v>80</v>
      </c>
      <c r="AQ8" s="205">
        <v>35</v>
      </c>
      <c r="AR8" s="205">
        <v>33</v>
      </c>
      <c r="AS8" s="205">
        <v>27</v>
      </c>
      <c r="AT8" s="206">
        <f t="shared" si="8"/>
        <v>195941.13380439542</v>
      </c>
      <c r="AU8" s="205"/>
      <c r="AV8" s="174" t="s">
        <v>112</v>
      </c>
      <c r="AW8" s="174">
        <v>3</v>
      </c>
      <c r="AX8" s="175">
        <v>40</v>
      </c>
      <c r="AY8" s="175" t="s">
        <v>103</v>
      </c>
      <c r="AZ8" s="196">
        <f t="shared" si="9"/>
        <v>2.5</v>
      </c>
      <c r="BA8" s="205">
        <v>20</v>
      </c>
      <c r="BB8" s="199"/>
      <c r="BC8" s="207"/>
      <c r="BD8" s="207"/>
      <c r="BE8" s="207"/>
      <c r="BF8" s="210"/>
      <c r="BG8" s="210"/>
      <c r="BH8" s="210"/>
      <c r="BI8" s="210"/>
      <c r="BJ8" s="210"/>
      <c r="BK8" s="28"/>
      <c r="BL8" s="274"/>
      <c r="BM8" s="270"/>
      <c r="BN8" s="303"/>
      <c r="BP8" s="96" t="s">
        <v>343</v>
      </c>
      <c r="BQ8" s="96" t="s">
        <v>343</v>
      </c>
      <c r="BR8" s="96" t="s">
        <v>343</v>
      </c>
      <c r="BS8" s="96" t="s">
        <v>343</v>
      </c>
      <c r="BT8" s="96" t="s">
        <v>343</v>
      </c>
      <c r="BU8" s="96" t="s">
        <v>343</v>
      </c>
      <c r="BV8" s="96" t="s">
        <v>343</v>
      </c>
      <c r="BW8" s="96" t="s">
        <v>343</v>
      </c>
      <c r="BX8" s="96" t="s">
        <v>343</v>
      </c>
      <c r="BY8" s="96" t="s">
        <v>343</v>
      </c>
      <c r="BZ8" s="96" t="s">
        <v>343</v>
      </c>
      <c r="CA8" s="96" t="s">
        <v>343</v>
      </c>
      <c r="CB8" s="211"/>
      <c r="CC8" s="211"/>
      <c r="CD8" s="211"/>
      <c r="CE8" s="211"/>
      <c r="CF8" s="98"/>
      <c r="CG8" s="98"/>
      <c r="CH8" s="98"/>
      <c r="CI8" s="98"/>
      <c r="CJ8" s="98"/>
      <c r="CK8" s="98"/>
      <c r="CL8" s="98"/>
      <c r="CM8" s="98"/>
      <c r="CN8" s="32"/>
      <c r="CO8" s="98"/>
      <c r="CP8" s="116"/>
      <c r="CQ8" s="297" t="s">
        <v>104</v>
      </c>
      <c r="CR8" s="116"/>
      <c r="CS8" s="116">
        <v>0</v>
      </c>
      <c r="CT8" s="30"/>
      <c r="CU8" s="48"/>
      <c r="CV8" s="48"/>
      <c r="CW8" s="48"/>
      <c r="CX8" s="48"/>
      <c r="CY8" s="48"/>
      <c r="CZ8" s="184"/>
      <c r="DA8" s="30"/>
      <c r="DB8" s="30"/>
      <c r="DC8" s="30"/>
    </row>
    <row r="9" spans="1:107" ht="14" x14ac:dyDescent="0.15">
      <c r="A9" s="200">
        <v>1</v>
      </c>
      <c r="B9" s="107" t="s">
        <v>99</v>
      </c>
      <c r="C9" s="200" t="s">
        <v>113</v>
      </c>
      <c r="D9" s="201">
        <v>827</v>
      </c>
      <c r="E9" s="84">
        <v>13.8</v>
      </c>
      <c r="F9" s="68" t="s">
        <v>101</v>
      </c>
      <c r="G9" s="68">
        <v>2</v>
      </c>
      <c r="H9" s="202">
        <v>76</v>
      </c>
      <c r="I9" s="202">
        <v>65</v>
      </c>
      <c r="J9" s="202">
        <v>27</v>
      </c>
      <c r="K9" s="202">
        <v>17</v>
      </c>
      <c r="L9" s="203">
        <f t="shared" si="1"/>
        <v>178085.8919577178</v>
      </c>
      <c r="M9" s="84">
        <v>13.8</v>
      </c>
      <c r="N9" s="84">
        <v>13.9</v>
      </c>
      <c r="O9" s="84">
        <v>14.2</v>
      </c>
      <c r="P9" s="204">
        <v>14.5</v>
      </c>
      <c r="Q9" s="204">
        <v>14.7</v>
      </c>
      <c r="R9" s="204">
        <v>14.9</v>
      </c>
      <c r="S9" s="84">
        <v>14.9</v>
      </c>
      <c r="T9" s="85">
        <v>15</v>
      </c>
      <c r="U9" s="85">
        <v>15.4</v>
      </c>
      <c r="V9" s="85">
        <v>15.19</v>
      </c>
      <c r="W9" s="85">
        <v>15.3</v>
      </c>
      <c r="X9" s="83">
        <v>15.5</v>
      </c>
      <c r="Y9" s="281">
        <v>15.7</v>
      </c>
      <c r="Z9" s="177">
        <f t="shared" si="2"/>
        <v>1.6999999999999993</v>
      </c>
      <c r="AA9" s="178">
        <f t="shared" si="0"/>
        <v>0.12318840579710139</v>
      </c>
      <c r="AB9" s="177">
        <f t="shared" si="3"/>
        <v>0.84999999999999964</v>
      </c>
      <c r="AC9" s="178">
        <f t="shared" si="4"/>
        <v>0.12318840579710139</v>
      </c>
      <c r="AD9" s="179">
        <f t="shared" si="5"/>
        <v>0.27166373999999993</v>
      </c>
      <c r="AE9" s="178">
        <f t="shared" si="6"/>
        <v>0.26416771686620449</v>
      </c>
      <c r="AF9"/>
      <c r="AG9"/>
      <c r="AH9" s="175">
        <v>1</v>
      </c>
      <c r="AI9" s="175">
        <v>1</v>
      </c>
      <c r="AJ9" s="175" t="s">
        <v>101</v>
      </c>
      <c r="AK9" s="174">
        <v>2</v>
      </c>
      <c r="AL9" s="175">
        <v>50</v>
      </c>
      <c r="AM9" s="175" t="s">
        <v>103</v>
      </c>
      <c r="AN9" s="196">
        <f t="shared" si="7"/>
        <v>2.5</v>
      </c>
      <c r="AO9" s="205">
        <v>10</v>
      </c>
      <c r="AP9" s="205">
        <v>85</v>
      </c>
      <c r="AQ9" s="205">
        <v>50</v>
      </c>
      <c r="AR9" s="205">
        <v>35</v>
      </c>
      <c r="AS9" s="205">
        <v>27</v>
      </c>
      <c r="AT9" s="206">
        <f t="shared" si="8"/>
        <v>315435.53737450013</v>
      </c>
      <c r="AU9" s="205"/>
      <c r="AV9" s="174" t="s">
        <v>101</v>
      </c>
      <c r="AW9" s="174">
        <v>2</v>
      </c>
      <c r="AX9" s="175">
        <v>30</v>
      </c>
      <c r="AY9" s="175" t="s">
        <v>103</v>
      </c>
      <c r="AZ9" s="196">
        <f t="shared" si="9"/>
        <v>2.5</v>
      </c>
      <c r="BA9" s="205">
        <v>10</v>
      </c>
      <c r="BB9" s="199"/>
      <c r="BC9" s="207"/>
      <c r="BD9" s="207"/>
      <c r="BE9" s="207"/>
      <c r="BF9" s="210"/>
      <c r="BG9" s="210"/>
      <c r="BH9" s="210"/>
      <c r="BI9" s="210"/>
      <c r="BJ9" s="210"/>
      <c r="BK9" s="28"/>
      <c r="BL9" s="274"/>
      <c r="BM9" s="270"/>
      <c r="BN9" s="303"/>
      <c r="BP9" s="96" t="s">
        <v>343</v>
      </c>
      <c r="BQ9" s="96" t="s">
        <v>343</v>
      </c>
      <c r="BR9" s="96" t="s">
        <v>343</v>
      </c>
      <c r="BS9" s="96" t="s">
        <v>343</v>
      </c>
      <c r="BT9" s="96" t="s">
        <v>343</v>
      </c>
      <c r="BU9" s="96" t="s">
        <v>343</v>
      </c>
      <c r="BV9" s="96" t="s">
        <v>343</v>
      </c>
      <c r="BW9" s="96" t="s">
        <v>343</v>
      </c>
      <c r="BX9" s="96" t="s">
        <v>343</v>
      </c>
      <c r="BY9" s="96" t="s">
        <v>343</v>
      </c>
      <c r="BZ9" s="96" t="s">
        <v>343</v>
      </c>
      <c r="CA9" s="96" t="s">
        <v>343</v>
      </c>
      <c r="CB9" s="211"/>
      <c r="CC9" s="211"/>
      <c r="CD9" s="211"/>
      <c r="CE9" s="211"/>
      <c r="CF9" s="98"/>
      <c r="CG9" s="98"/>
      <c r="CH9" s="98"/>
      <c r="CI9" s="98"/>
      <c r="CJ9" s="98"/>
      <c r="CK9" s="98"/>
      <c r="CL9" s="98"/>
      <c r="CM9" s="98"/>
      <c r="CN9" s="32"/>
      <c r="CO9" s="98"/>
      <c r="CP9" s="116"/>
      <c r="CQ9" s="297" t="s">
        <v>104</v>
      </c>
      <c r="CR9" s="116"/>
      <c r="CS9" s="116">
        <v>0</v>
      </c>
      <c r="CT9" s="30"/>
      <c r="CU9" s="48"/>
      <c r="CV9" s="48"/>
      <c r="CW9" s="48"/>
      <c r="CX9" s="48"/>
      <c r="CY9" s="48"/>
      <c r="CZ9" s="184"/>
      <c r="DA9" s="30"/>
      <c r="DB9" s="30"/>
      <c r="DC9" s="30"/>
    </row>
    <row r="10" spans="1:107" ht="14" x14ac:dyDescent="0.15">
      <c r="A10" s="200">
        <v>1</v>
      </c>
      <c r="B10" s="107" t="s">
        <v>99</v>
      </c>
      <c r="C10" s="200" t="s">
        <v>114</v>
      </c>
      <c r="D10" s="201">
        <v>830</v>
      </c>
      <c r="E10" s="84">
        <v>15.1</v>
      </c>
      <c r="F10" s="68" t="s">
        <v>101</v>
      </c>
      <c r="G10" s="68">
        <v>2</v>
      </c>
      <c r="H10" s="202">
        <v>80</v>
      </c>
      <c r="I10" s="202">
        <v>60</v>
      </c>
      <c r="J10" s="202">
        <v>20</v>
      </c>
      <c r="K10" s="202">
        <v>19</v>
      </c>
      <c r="L10" s="203">
        <f t="shared" si="1"/>
        <v>143256.62500369456</v>
      </c>
      <c r="M10" s="84">
        <v>15.1</v>
      </c>
      <c r="N10" s="84">
        <v>15.4</v>
      </c>
      <c r="O10" s="84">
        <v>15.7</v>
      </c>
      <c r="P10" s="204">
        <v>16</v>
      </c>
      <c r="Q10" s="204">
        <v>16.100000000000001</v>
      </c>
      <c r="R10" s="204">
        <v>16.3</v>
      </c>
      <c r="S10" s="84">
        <v>16.45</v>
      </c>
      <c r="T10" s="85">
        <v>16.66</v>
      </c>
      <c r="U10" s="85">
        <v>16.8</v>
      </c>
      <c r="V10" s="85">
        <v>16.91</v>
      </c>
      <c r="W10" s="85">
        <v>17.09</v>
      </c>
      <c r="X10" s="83">
        <v>17.399999999999999</v>
      </c>
      <c r="Y10" s="281">
        <v>17.600000000000001</v>
      </c>
      <c r="Z10" s="177">
        <f t="shared" si="2"/>
        <v>2.2999999999999989</v>
      </c>
      <c r="AA10" s="178">
        <f t="shared" si="0"/>
        <v>0.15231788079470193</v>
      </c>
      <c r="AB10" s="177">
        <f t="shared" si="3"/>
        <v>1.1499999999999995</v>
      </c>
      <c r="AC10" s="178">
        <f t="shared" si="4"/>
        <v>0.15231788079470193</v>
      </c>
      <c r="AD10" s="179">
        <f t="shared" si="5"/>
        <v>0.40768649999999984</v>
      </c>
      <c r="AE10" s="178">
        <f t="shared" si="6"/>
        <v>0.3311148633831848</v>
      </c>
      <c r="AF10"/>
      <c r="AG10"/>
      <c r="AH10" s="175">
        <v>1</v>
      </c>
      <c r="AI10" s="175">
        <v>1</v>
      </c>
      <c r="AJ10" s="175" t="s">
        <v>101</v>
      </c>
      <c r="AK10" s="174">
        <v>2</v>
      </c>
      <c r="AL10" s="175">
        <v>35</v>
      </c>
      <c r="AM10" s="175" t="s">
        <v>103</v>
      </c>
      <c r="AN10" s="196">
        <f t="shared" si="7"/>
        <v>2.5</v>
      </c>
      <c r="AO10" s="205">
        <v>10</v>
      </c>
      <c r="AP10" s="205">
        <v>80</v>
      </c>
      <c r="AQ10" s="205">
        <v>50</v>
      </c>
      <c r="AR10" s="205">
        <v>32</v>
      </c>
      <c r="AS10" s="205">
        <v>30</v>
      </c>
      <c r="AT10" s="206">
        <f t="shared" si="8"/>
        <v>301592.89474462013</v>
      </c>
      <c r="AU10" s="205"/>
      <c r="AV10" s="174" t="s">
        <v>101</v>
      </c>
      <c r="AW10" s="174">
        <v>2</v>
      </c>
      <c r="AX10" s="175">
        <v>35</v>
      </c>
      <c r="AY10" s="175" t="s">
        <v>103</v>
      </c>
      <c r="AZ10" s="196">
        <f t="shared" si="9"/>
        <v>2.5</v>
      </c>
      <c r="BA10" s="205">
        <v>10</v>
      </c>
      <c r="BB10" s="199"/>
      <c r="BC10" s="207"/>
      <c r="BD10" s="207"/>
      <c r="BE10" s="207"/>
      <c r="BF10" s="97"/>
      <c r="BG10" s="97"/>
      <c r="BH10" s="97"/>
      <c r="BI10" s="97"/>
      <c r="BJ10" s="97"/>
      <c r="BK10" s="28"/>
      <c r="BL10" s="272"/>
      <c r="BM10" s="268"/>
      <c r="BN10" s="303"/>
      <c r="BP10" s="96" t="s">
        <v>343</v>
      </c>
      <c r="BQ10" s="96" t="s">
        <v>343</v>
      </c>
      <c r="BR10" s="96" t="s">
        <v>343</v>
      </c>
      <c r="BS10" s="96" t="s">
        <v>343</v>
      </c>
      <c r="BT10" s="96" t="s">
        <v>343</v>
      </c>
      <c r="BU10" s="96" t="s">
        <v>343</v>
      </c>
      <c r="BV10" s="96" t="s">
        <v>343</v>
      </c>
      <c r="BW10" s="96" t="s">
        <v>343</v>
      </c>
      <c r="BX10" s="96" t="s">
        <v>343</v>
      </c>
      <c r="BY10" s="96" t="s">
        <v>343</v>
      </c>
      <c r="BZ10" s="96" t="s">
        <v>343</v>
      </c>
      <c r="CA10" s="96" t="s">
        <v>343</v>
      </c>
      <c r="CB10" s="30"/>
      <c r="CC10" s="30"/>
      <c r="CD10" s="30"/>
      <c r="CE10" s="30"/>
      <c r="CF10" s="98"/>
      <c r="CG10" s="98"/>
      <c r="CH10" s="98"/>
      <c r="CI10" s="98"/>
      <c r="CJ10" s="98"/>
      <c r="CK10" s="98"/>
      <c r="CL10" s="98"/>
      <c r="CM10" s="98"/>
      <c r="CN10" s="32"/>
      <c r="CO10" s="98"/>
      <c r="CP10" s="116"/>
      <c r="CQ10" s="297" t="s">
        <v>104</v>
      </c>
      <c r="CR10" s="116"/>
      <c r="CS10" s="116">
        <v>0</v>
      </c>
      <c r="CT10" s="30"/>
      <c r="CU10" s="48"/>
      <c r="CV10" s="48"/>
      <c r="CW10" s="48"/>
      <c r="CX10" s="48"/>
      <c r="CY10" s="48"/>
      <c r="CZ10" s="184"/>
      <c r="DA10" s="30"/>
      <c r="DB10" s="30"/>
      <c r="DC10" s="30"/>
    </row>
    <row r="11" spans="1:107" ht="14" x14ac:dyDescent="0.15">
      <c r="A11" s="200">
        <v>1</v>
      </c>
      <c r="B11" s="107" t="s">
        <v>99</v>
      </c>
      <c r="C11" s="200" t="s">
        <v>115</v>
      </c>
      <c r="D11" s="201">
        <v>831</v>
      </c>
      <c r="E11" s="84">
        <v>15.5</v>
      </c>
      <c r="F11" s="68" t="s">
        <v>101</v>
      </c>
      <c r="G11" s="68">
        <v>2</v>
      </c>
      <c r="H11" s="202">
        <v>80</v>
      </c>
      <c r="I11" s="202">
        <v>60</v>
      </c>
      <c r="J11" s="202">
        <v>19</v>
      </c>
      <c r="K11" s="202">
        <v>12</v>
      </c>
      <c r="L11" s="203">
        <f t="shared" si="1"/>
        <v>85953.975002216728</v>
      </c>
      <c r="M11" s="84">
        <v>15.5</v>
      </c>
      <c r="N11" s="84">
        <v>15.6</v>
      </c>
      <c r="O11" s="84">
        <v>15.8</v>
      </c>
      <c r="P11" s="204">
        <v>16</v>
      </c>
      <c r="Q11" s="204">
        <v>16.100000000000001</v>
      </c>
      <c r="R11" s="204">
        <v>16.2</v>
      </c>
      <c r="S11" s="84">
        <v>16.25</v>
      </c>
      <c r="T11" s="85">
        <v>16.350000000000001</v>
      </c>
      <c r="U11" s="85">
        <v>16.440000000000001</v>
      </c>
      <c r="V11" s="85">
        <v>16.559999999999999</v>
      </c>
      <c r="W11" s="85">
        <v>16.66</v>
      </c>
      <c r="X11" s="83">
        <v>16.8</v>
      </c>
      <c r="Y11" s="281">
        <v>17</v>
      </c>
      <c r="Z11" s="177">
        <f t="shared" si="2"/>
        <v>1.3000000000000007</v>
      </c>
      <c r="AA11" s="178">
        <f t="shared" si="0"/>
        <v>8.3870967741935532E-2</v>
      </c>
      <c r="AB11" s="177">
        <f t="shared" si="3"/>
        <v>0.65000000000000036</v>
      </c>
      <c r="AC11" s="178">
        <f t="shared" si="4"/>
        <v>8.3870967741935532E-2</v>
      </c>
      <c r="AD11" s="179">
        <f t="shared" si="5"/>
        <v>0.22901346</v>
      </c>
      <c r="AE11" s="178">
        <f t="shared" si="6"/>
        <v>0.17652403746097814</v>
      </c>
      <c r="AF11"/>
      <c r="AG11"/>
      <c r="AH11" s="175">
        <v>2</v>
      </c>
      <c r="AI11" s="175">
        <v>1</v>
      </c>
      <c r="AJ11" s="175" t="s">
        <v>102</v>
      </c>
      <c r="AK11" s="174">
        <v>1</v>
      </c>
      <c r="AL11" s="175">
        <v>45</v>
      </c>
      <c r="AM11" s="175" t="s">
        <v>103</v>
      </c>
      <c r="AN11" s="196">
        <f t="shared" si="7"/>
        <v>2.5</v>
      </c>
      <c r="AO11" s="205">
        <v>15</v>
      </c>
      <c r="AP11" s="205">
        <v>85</v>
      </c>
      <c r="AQ11" s="205">
        <v>50</v>
      </c>
      <c r="AR11" s="205">
        <v>34</v>
      </c>
      <c r="AS11" s="205">
        <v>28</v>
      </c>
      <c r="AT11" s="206">
        <f t="shared" si="8"/>
        <v>317772.09691060754</v>
      </c>
      <c r="AU11" s="205"/>
      <c r="AV11" s="174" t="s">
        <v>101</v>
      </c>
      <c r="AW11" s="174">
        <v>2</v>
      </c>
      <c r="AX11" s="175">
        <v>40</v>
      </c>
      <c r="AY11" s="175" t="s">
        <v>103</v>
      </c>
      <c r="AZ11" s="196">
        <f t="shared" si="9"/>
        <v>2.5</v>
      </c>
      <c r="BA11" s="205">
        <v>10</v>
      </c>
      <c r="BB11" s="199"/>
      <c r="BC11" s="207"/>
      <c r="BD11" s="207"/>
      <c r="BE11" s="207"/>
      <c r="BF11" s="97"/>
      <c r="BG11" s="97"/>
      <c r="BH11" s="97"/>
      <c r="BI11" s="97"/>
      <c r="BJ11" s="97"/>
      <c r="BK11" s="28"/>
      <c r="BL11" s="272"/>
      <c r="BM11" s="268"/>
      <c r="BN11" s="303"/>
      <c r="BP11" s="96" t="s">
        <v>343</v>
      </c>
      <c r="BQ11" s="96" t="s">
        <v>343</v>
      </c>
      <c r="BR11" s="96" t="s">
        <v>343</v>
      </c>
      <c r="BS11" s="96" t="s">
        <v>343</v>
      </c>
      <c r="BT11" s="96" t="s">
        <v>343</v>
      </c>
      <c r="BU11" s="96" t="s">
        <v>343</v>
      </c>
      <c r="BV11" s="96" t="s">
        <v>343</v>
      </c>
      <c r="BW11" s="96" t="s">
        <v>343</v>
      </c>
      <c r="BX11" s="96" t="s">
        <v>343</v>
      </c>
      <c r="BY11" s="96" t="s">
        <v>343</v>
      </c>
      <c r="BZ11" s="96" t="s">
        <v>343</v>
      </c>
      <c r="CA11" s="96" t="s">
        <v>343</v>
      </c>
      <c r="CB11" s="30"/>
      <c r="CC11" s="30"/>
      <c r="CD11" s="30"/>
      <c r="CE11" s="30"/>
      <c r="CF11" s="98"/>
      <c r="CG11" s="98"/>
      <c r="CH11" s="98"/>
      <c r="CI11" s="98"/>
      <c r="CJ11" s="98"/>
      <c r="CK11" s="98"/>
      <c r="CL11" s="98"/>
      <c r="CM11" s="98"/>
      <c r="CN11" s="32"/>
      <c r="CO11" s="98"/>
      <c r="CP11" s="116"/>
      <c r="CQ11" s="297" t="s">
        <v>104</v>
      </c>
      <c r="CR11" s="116"/>
      <c r="CS11" s="116">
        <v>0</v>
      </c>
      <c r="CT11" s="30"/>
      <c r="CU11" s="48"/>
      <c r="CV11" s="48"/>
      <c r="CW11" s="48"/>
      <c r="CX11" s="48"/>
      <c r="CY11" s="48"/>
      <c r="CZ11" s="184"/>
      <c r="DA11" s="30"/>
      <c r="DB11" s="30"/>
      <c r="DC11" s="30"/>
    </row>
    <row r="12" spans="1:107" ht="14" x14ac:dyDescent="0.15">
      <c r="A12" s="200">
        <v>1</v>
      </c>
      <c r="B12" s="107" t="s">
        <v>99</v>
      </c>
      <c r="C12" s="200" t="s">
        <v>116</v>
      </c>
      <c r="D12" s="201">
        <v>837</v>
      </c>
      <c r="E12" s="84">
        <v>16.100000000000001</v>
      </c>
      <c r="F12" s="68" t="s">
        <v>101</v>
      </c>
      <c r="G12" s="68">
        <v>2</v>
      </c>
      <c r="H12" s="202">
        <v>80</v>
      </c>
      <c r="I12" s="202">
        <v>55</v>
      </c>
      <c r="J12" s="202">
        <v>23</v>
      </c>
      <c r="K12" s="202">
        <v>15</v>
      </c>
      <c r="L12" s="203">
        <f t="shared" si="1"/>
        <v>119223.44120373265</v>
      </c>
      <c r="M12" s="84">
        <v>16.100000000000001</v>
      </c>
      <c r="N12" s="84">
        <v>16.2</v>
      </c>
      <c r="O12" s="84">
        <v>16.399999999999999</v>
      </c>
      <c r="P12" s="204">
        <v>16.7</v>
      </c>
      <c r="Q12" s="204">
        <v>17</v>
      </c>
      <c r="R12" s="204">
        <v>17.2</v>
      </c>
      <c r="S12" s="84">
        <v>17.25</v>
      </c>
      <c r="T12" s="85">
        <v>17.34</v>
      </c>
      <c r="U12" s="85">
        <v>17.46</v>
      </c>
      <c r="V12" s="85">
        <v>17.64</v>
      </c>
      <c r="W12" s="85">
        <v>17.86</v>
      </c>
      <c r="X12" s="83">
        <v>18.2</v>
      </c>
      <c r="Y12" s="281">
        <v>18.399999999999999</v>
      </c>
      <c r="Z12" s="177">
        <f t="shared" si="2"/>
        <v>2.0999999999999979</v>
      </c>
      <c r="AA12" s="178">
        <f t="shared" si="0"/>
        <v>0.13043478260869551</v>
      </c>
      <c r="AB12" s="177">
        <f t="shared" si="3"/>
        <v>1.0499999999999989</v>
      </c>
      <c r="AC12" s="178">
        <f t="shared" si="4"/>
        <v>0.13043478260869551</v>
      </c>
      <c r="AD12" s="179">
        <f t="shared" si="5"/>
        <v>0.39285161999999962</v>
      </c>
      <c r="AE12" s="178">
        <f t="shared" si="6"/>
        <v>0.28066162570888437</v>
      </c>
      <c r="AF12"/>
      <c r="AG12"/>
      <c r="AH12" s="175">
        <v>2</v>
      </c>
      <c r="AI12" s="175">
        <v>1</v>
      </c>
      <c r="AJ12" s="175" t="s">
        <v>101</v>
      </c>
      <c r="AK12" s="174">
        <v>2</v>
      </c>
      <c r="AL12" s="175">
        <v>65</v>
      </c>
      <c r="AM12" s="175" t="s">
        <v>103</v>
      </c>
      <c r="AN12" s="196">
        <f t="shared" si="7"/>
        <v>2.5</v>
      </c>
      <c r="AO12" s="205">
        <v>5</v>
      </c>
      <c r="AP12" s="205">
        <v>85</v>
      </c>
      <c r="AQ12" s="205">
        <v>65</v>
      </c>
      <c r="AR12" s="205">
        <v>30</v>
      </c>
      <c r="AS12" s="205">
        <v>25</v>
      </c>
      <c r="AT12" s="206">
        <f t="shared" si="8"/>
        <v>325449.36395781761</v>
      </c>
      <c r="AU12" s="205"/>
      <c r="AV12" s="174" t="s">
        <v>101</v>
      </c>
      <c r="AW12" s="174">
        <v>2</v>
      </c>
      <c r="AX12" s="175">
        <v>50</v>
      </c>
      <c r="AY12" s="175" t="s">
        <v>103</v>
      </c>
      <c r="AZ12" s="196">
        <f t="shared" si="9"/>
        <v>2.5</v>
      </c>
      <c r="BA12" s="205">
        <v>10</v>
      </c>
      <c r="BB12" s="199"/>
      <c r="BC12" s="207"/>
      <c r="BD12" s="207"/>
      <c r="BE12" s="207"/>
      <c r="BF12" s="97"/>
      <c r="BG12" s="97"/>
      <c r="BH12" s="97"/>
      <c r="BI12" s="97"/>
      <c r="BJ12" s="97"/>
      <c r="BK12" s="28"/>
      <c r="BL12" s="272"/>
      <c r="BM12" s="268"/>
      <c r="BN12" s="303"/>
      <c r="BP12" s="96" t="s">
        <v>343</v>
      </c>
      <c r="BQ12" s="96" t="s">
        <v>343</v>
      </c>
      <c r="BR12" s="96" t="s">
        <v>343</v>
      </c>
      <c r="BS12" s="96" t="s">
        <v>343</v>
      </c>
      <c r="BT12" s="96" t="s">
        <v>343</v>
      </c>
      <c r="BU12" s="96" t="s">
        <v>343</v>
      </c>
      <c r="BV12" s="96" t="s">
        <v>343</v>
      </c>
      <c r="BW12" s="96" t="s">
        <v>343</v>
      </c>
      <c r="BX12" s="96" t="s">
        <v>343</v>
      </c>
      <c r="BY12" s="96" t="s">
        <v>343</v>
      </c>
      <c r="BZ12" s="96" t="s">
        <v>343</v>
      </c>
      <c r="CA12" s="96" t="s">
        <v>343</v>
      </c>
      <c r="CB12" s="30"/>
      <c r="CC12" s="30"/>
      <c r="CD12" s="30"/>
      <c r="CE12" s="30"/>
      <c r="CF12" s="98"/>
      <c r="CG12" s="98"/>
      <c r="CH12" s="98"/>
      <c r="CI12" s="98"/>
      <c r="CJ12" s="98"/>
      <c r="CK12" s="98"/>
      <c r="CL12" s="98"/>
      <c r="CM12" s="98"/>
      <c r="CN12" s="32"/>
      <c r="CO12" s="98"/>
      <c r="CP12" s="116"/>
      <c r="CQ12" s="297" t="s">
        <v>104</v>
      </c>
      <c r="CR12" s="116"/>
      <c r="CS12" s="116">
        <v>0</v>
      </c>
      <c r="CT12" s="30"/>
      <c r="CU12" s="48"/>
      <c r="CV12" s="48"/>
      <c r="CW12" s="48"/>
      <c r="CX12" s="48"/>
      <c r="CY12" s="48"/>
      <c r="CZ12" s="184"/>
      <c r="DA12" s="30"/>
      <c r="DB12" s="30"/>
      <c r="DC12" s="30"/>
    </row>
    <row r="13" spans="1:107" ht="14" x14ac:dyDescent="0.15">
      <c r="A13" s="200">
        <v>1</v>
      </c>
      <c r="B13" s="107" t="s">
        <v>99</v>
      </c>
      <c r="C13" s="200" t="s">
        <v>117</v>
      </c>
      <c r="D13" s="201">
        <v>838</v>
      </c>
      <c r="E13" s="84">
        <v>11.8</v>
      </c>
      <c r="F13" s="68" t="s">
        <v>101</v>
      </c>
      <c r="G13" s="68">
        <v>2</v>
      </c>
      <c r="H13" s="202">
        <v>78</v>
      </c>
      <c r="I13" s="202">
        <v>55</v>
      </c>
      <c r="J13" s="202">
        <v>34</v>
      </c>
      <c r="K13" s="202">
        <v>15</v>
      </c>
      <c r="L13" s="203">
        <f t="shared" si="1"/>
        <v>171837.26416972771</v>
      </c>
      <c r="M13" s="84">
        <v>11.8</v>
      </c>
      <c r="N13" s="84">
        <v>12</v>
      </c>
      <c r="O13" s="84">
        <v>12.2</v>
      </c>
      <c r="P13" s="84">
        <v>12.4</v>
      </c>
      <c r="Q13" s="204">
        <v>12.5</v>
      </c>
      <c r="R13" s="204">
        <v>12.6</v>
      </c>
      <c r="S13" s="84">
        <v>12.6</v>
      </c>
      <c r="T13" s="85">
        <v>12.7</v>
      </c>
      <c r="U13" s="85">
        <v>12.74</v>
      </c>
      <c r="V13" s="85">
        <v>12.86</v>
      </c>
      <c r="W13" s="85">
        <v>12.97</v>
      </c>
      <c r="X13" s="83">
        <v>13.1</v>
      </c>
      <c r="Y13" s="281">
        <v>13.3</v>
      </c>
      <c r="Z13" s="177">
        <f t="shared" si="2"/>
        <v>1.2999999999999989</v>
      </c>
      <c r="AA13" s="178">
        <f t="shared" si="0"/>
        <v>0.11016949152542363</v>
      </c>
      <c r="AB13" s="177">
        <f t="shared" si="3"/>
        <v>0.64999999999999947</v>
      </c>
      <c r="AC13" s="178">
        <f t="shared" si="4"/>
        <v>0.11016949152542363</v>
      </c>
      <c r="AD13" s="179">
        <f t="shared" si="5"/>
        <v>0.17654597999999988</v>
      </c>
      <c r="AE13" s="178">
        <f t="shared" si="6"/>
        <v>0.23480106291295585</v>
      </c>
      <c r="AF13"/>
      <c r="AG13"/>
      <c r="AH13" s="175">
        <v>2</v>
      </c>
      <c r="AI13" s="175">
        <v>1</v>
      </c>
      <c r="AJ13" s="175" t="s">
        <v>112</v>
      </c>
      <c r="AK13" s="174">
        <v>3</v>
      </c>
      <c r="AL13" s="175">
        <v>60</v>
      </c>
      <c r="AM13" s="175" t="s">
        <v>103</v>
      </c>
      <c r="AN13" s="196">
        <f t="shared" si="7"/>
        <v>2.5</v>
      </c>
      <c r="AO13" s="205">
        <v>15</v>
      </c>
      <c r="AP13" s="205">
        <v>80</v>
      </c>
      <c r="AQ13" s="205">
        <v>50</v>
      </c>
      <c r="AR13" s="205">
        <v>45</v>
      </c>
      <c r="AS13" s="205">
        <v>22</v>
      </c>
      <c r="AT13" s="206">
        <f t="shared" si="8"/>
        <v>311017.67270538956</v>
      </c>
      <c r="AU13" s="205"/>
      <c r="AV13" s="174" t="s">
        <v>101</v>
      </c>
      <c r="AW13" s="174">
        <v>2</v>
      </c>
      <c r="AX13" s="175">
        <v>40</v>
      </c>
      <c r="AY13" s="175" t="s">
        <v>103</v>
      </c>
      <c r="AZ13" s="196">
        <f t="shared" si="9"/>
        <v>2.5</v>
      </c>
      <c r="BA13" s="205">
        <v>15</v>
      </c>
      <c r="BB13" s="199"/>
      <c r="BC13" s="207"/>
      <c r="BD13" s="207"/>
      <c r="BE13" s="207"/>
      <c r="BF13" s="97"/>
      <c r="BG13" s="97"/>
      <c r="BH13" s="97"/>
      <c r="BI13" s="97"/>
      <c r="BJ13" s="97"/>
      <c r="BK13" s="28"/>
      <c r="BL13" s="272"/>
      <c r="BM13" s="268"/>
      <c r="BN13" s="303"/>
      <c r="BP13" s="96" t="s">
        <v>343</v>
      </c>
      <c r="BQ13" s="96" t="s">
        <v>343</v>
      </c>
      <c r="BR13" s="96" t="s">
        <v>343</v>
      </c>
      <c r="BS13" s="96" t="s">
        <v>343</v>
      </c>
      <c r="BT13" s="96" t="s">
        <v>343</v>
      </c>
      <c r="BU13" s="96" t="s">
        <v>343</v>
      </c>
      <c r="BV13" s="96" t="s">
        <v>343</v>
      </c>
      <c r="BW13" s="96" t="s">
        <v>343</v>
      </c>
      <c r="BX13" s="96" t="s">
        <v>343</v>
      </c>
      <c r="BY13" s="96" t="s">
        <v>343</v>
      </c>
      <c r="BZ13" s="96" t="s">
        <v>343</v>
      </c>
      <c r="CA13" s="96" t="s">
        <v>343</v>
      </c>
      <c r="CB13" s="30"/>
      <c r="CC13" s="30"/>
      <c r="CD13" s="30"/>
      <c r="CE13" s="30"/>
      <c r="CF13" s="98"/>
      <c r="CG13" s="98"/>
      <c r="CH13" s="98"/>
      <c r="CI13" s="98"/>
      <c r="CJ13" s="98"/>
      <c r="CK13" s="98"/>
      <c r="CL13" s="98"/>
      <c r="CM13" s="98"/>
      <c r="CN13" s="32"/>
      <c r="CO13" s="98"/>
      <c r="CP13" s="116"/>
      <c r="CQ13" s="297" t="s">
        <v>104</v>
      </c>
      <c r="CR13" s="116"/>
      <c r="CS13" s="116">
        <v>0</v>
      </c>
      <c r="CT13" s="30"/>
      <c r="CU13" s="48"/>
      <c r="CV13" s="48"/>
      <c r="CW13" s="48"/>
      <c r="CX13" s="48"/>
      <c r="CY13" s="48"/>
      <c r="CZ13" s="184"/>
      <c r="DA13" s="30"/>
      <c r="DB13" s="30"/>
      <c r="DC13" s="30"/>
    </row>
    <row r="14" spans="1:107" ht="14" x14ac:dyDescent="0.15">
      <c r="A14" s="200">
        <v>1</v>
      </c>
      <c r="B14" s="107" t="s">
        <v>99</v>
      </c>
      <c r="C14" s="200" t="s">
        <v>118</v>
      </c>
      <c r="D14" s="201">
        <v>842</v>
      </c>
      <c r="E14" s="84">
        <v>14.6</v>
      </c>
      <c r="F14" s="68" t="s">
        <v>101</v>
      </c>
      <c r="G14" s="68">
        <v>2</v>
      </c>
      <c r="H14" s="202">
        <v>80</v>
      </c>
      <c r="I14" s="202">
        <v>60</v>
      </c>
      <c r="J14" s="202">
        <v>22</v>
      </c>
      <c r="K14" s="202">
        <v>20</v>
      </c>
      <c r="L14" s="203">
        <f t="shared" si="1"/>
        <v>165876.09210954109</v>
      </c>
      <c r="M14" s="84">
        <v>14.6</v>
      </c>
      <c r="N14" s="84">
        <v>14.8</v>
      </c>
      <c r="O14" s="84">
        <v>15</v>
      </c>
      <c r="P14" s="204">
        <v>15.3</v>
      </c>
      <c r="Q14" s="204">
        <v>15.4</v>
      </c>
      <c r="R14" s="204">
        <v>15.6</v>
      </c>
      <c r="S14" s="84">
        <v>15.6</v>
      </c>
      <c r="T14" s="85">
        <v>15.8</v>
      </c>
      <c r="U14" s="85">
        <v>15.97</v>
      </c>
      <c r="V14" s="85">
        <v>16.12</v>
      </c>
      <c r="W14" s="85">
        <v>16.239999999999998</v>
      </c>
      <c r="X14" s="83">
        <v>16.399999999999999</v>
      </c>
      <c r="Y14" s="281">
        <v>16.600000000000001</v>
      </c>
      <c r="Z14" s="177">
        <f t="shared" si="2"/>
        <v>1.7999999999999989</v>
      </c>
      <c r="AA14" s="178">
        <f t="shared" si="0"/>
        <v>0.12328767123287664</v>
      </c>
      <c r="AB14" s="177">
        <f t="shared" si="3"/>
        <v>0.89999999999999947</v>
      </c>
      <c r="AC14" s="178">
        <f t="shared" si="4"/>
        <v>0.12328767123287664</v>
      </c>
      <c r="AD14" s="179">
        <f t="shared" si="5"/>
        <v>0.30433319999999986</v>
      </c>
      <c r="AE14" s="178">
        <f t="shared" si="6"/>
        <v>0.26439294426721699</v>
      </c>
      <c r="AF14"/>
      <c r="AG14"/>
      <c r="AH14" s="175">
        <v>2</v>
      </c>
      <c r="AI14" s="175">
        <v>1</v>
      </c>
      <c r="AJ14" s="175" t="s">
        <v>102</v>
      </c>
      <c r="AK14" s="174">
        <v>1</v>
      </c>
      <c r="AL14" s="175">
        <v>55</v>
      </c>
      <c r="AM14" s="175" t="s">
        <v>103</v>
      </c>
      <c r="AN14" s="196">
        <f t="shared" si="7"/>
        <v>2.5</v>
      </c>
      <c r="AO14" s="205">
        <v>5</v>
      </c>
      <c r="AP14" s="205">
        <v>90</v>
      </c>
      <c r="AQ14" s="205">
        <v>45</v>
      </c>
      <c r="AR14" s="205">
        <v>32</v>
      </c>
      <c r="AS14" s="205">
        <v>25</v>
      </c>
      <c r="AT14" s="206">
        <f t="shared" si="8"/>
        <v>254469.00494077324</v>
      </c>
      <c r="AU14" s="205"/>
      <c r="AV14" s="174" t="s">
        <v>101</v>
      </c>
      <c r="AW14" s="174">
        <v>2</v>
      </c>
      <c r="AX14" s="175">
        <v>50</v>
      </c>
      <c r="AY14" s="175" t="s">
        <v>103</v>
      </c>
      <c r="AZ14" s="196">
        <f t="shared" si="9"/>
        <v>2.5</v>
      </c>
      <c r="BA14" s="205">
        <v>15</v>
      </c>
      <c r="BB14" s="199"/>
      <c r="BC14" s="207"/>
      <c r="BD14" s="207"/>
      <c r="BE14" s="207"/>
      <c r="BF14" s="97"/>
      <c r="BG14" s="97"/>
      <c r="BH14" s="97"/>
      <c r="BI14" s="97"/>
      <c r="BJ14" s="97"/>
      <c r="BK14" s="28"/>
      <c r="BL14" s="272"/>
      <c r="BM14" s="268"/>
      <c r="BN14" s="303"/>
      <c r="BP14" s="96" t="s">
        <v>343</v>
      </c>
      <c r="BQ14" s="96" t="s">
        <v>343</v>
      </c>
      <c r="BR14" s="96" t="s">
        <v>343</v>
      </c>
      <c r="BS14" s="96" t="s">
        <v>343</v>
      </c>
      <c r="BT14" s="96" t="s">
        <v>343</v>
      </c>
      <c r="BU14" s="96" t="s">
        <v>343</v>
      </c>
      <c r="BV14" s="96" t="s">
        <v>343</v>
      </c>
      <c r="BW14" s="96" t="s">
        <v>343</v>
      </c>
      <c r="BX14" s="96" t="s">
        <v>343</v>
      </c>
      <c r="BY14" s="96" t="s">
        <v>343</v>
      </c>
      <c r="BZ14" s="96" t="s">
        <v>343</v>
      </c>
      <c r="CA14" s="96" t="s">
        <v>343</v>
      </c>
      <c r="CB14" s="30"/>
      <c r="CC14" s="30"/>
      <c r="CD14" s="30"/>
      <c r="CE14" s="30"/>
      <c r="CF14" s="98"/>
      <c r="CG14" s="98"/>
      <c r="CH14" s="98"/>
      <c r="CI14" s="98"/>
      <c r="CJ14" s="98"/>
      <c r="CK14" s="98"/>
      <c r="CL14" s="98"/>
      <c r="CM14" s="98"/>
      <c r="CN14" s="32"/>
      <c r="CO14" s="98"/>
      <c r="CP14" s="116"/>
      <c r="CQ14" s="297" t="s">
        <v>104</v>
      </c>
      <c r="CR14" s="116"/>
      <c r="CS14" s="116">
        <v>0</v>
      </c>
      <c r="CT14" s="30"/>
      <c r="CU14" s="48"/>
      <c r="CV14" s="48"/>
      <c r="CW14" s="48"/>
      <c r="CX14" s="48"/>
      <c r="CY14" s="48"/>
      <c r="CZ14" s="184"/>
      <c r="DA14" s="30"/>
      <c r="DB14" s="30"/>
      <c r="DC14" s="30"/>
    </row>
    <row r="15" spans="1:107" ht="14" x14ac:dyDescent="0.15">
      <c r="A15" s="200">
        <v>1</v>
      </c>
      <c r="B15" s="107" t="s">
        <v>99</v>
      </c>
      <c r="C15" s="200" t="s">
        <v>119</v>
      </c>
      <c r="D15" s="201">
        <v>847</v>
      </c>
      <c r="E15" s="84">
        <v>12.8</v>
      </c>
      <c r="F15" s="68" t="s">
        <v>101</v>
      </c>
      <c r="G15" s="68">
        <v>2</v>
      </c>
      <c r="H15" s="202">
        <v>72</v>
      </c>
      <c r="I15" s="202">
        <v>35</v>
      </c>
      <c r="J15" s="202">
        <v>19</v>
      </c>
      <c r="K15" s="202">
        <v>17</v>
      </c>
      <c r="L15" s="203">
        <f t="shared" si="1"/>
        <v>63928.268907898695</v>
      </c>
      <c r="M15" s="84">
        <v>12.8</v>
      </c>
      <c r="N15" s="84">
        <v>13.1</v>
      </c>
      <c r="O15" s="84">
        <v>13.3</v>
      </c>
      <c r="P15" s="84">
        <v>13.5</v>
      </c>
      <c r="Q15" s="204">
        <v>13.7</v>
      </c>
      <c r="R15" s="204">
        <v>13.85</v>
      </c>
      <c r="S15" s="84">
        <v>13.9</v>
      </c>
      <c r="T15" s="85">
        <v>14.03</v>
      </c>
      <c r="U15" s="85">
        <v>14.19</v>
      </c>
      <c r="V15" s="85">
        <v>14.29</v>
      </c>
      <c r="W15" s="85">
        <v>14.43</v>
      </c>
      <c r="X15" s="83">
        <v>14.7</v>
      </c>
      <c r="Y15" s="281">
        <v>14.9</v>
      </c>
      <c r="Z15" s="177">
        <f t="shared" si="2"/>
        <v>1.8999999999999986</v>
      </c>
      <c r="AA15" s="178">
        <f t="shared" si="0"/>
        <v>0.14843749999999989</v>
      </c>
      <c r="AB15" s="177">
        <f t="shared" si="3"/>
        <v>0.94999999999999929</v>
      </c>
      <c r="AC15" s="178">
        <f t="shared" si="4"/>
        <v>0.14843749999999989</v>
      </c>
      <c r="AD15" s="179">
        <f t="shared" si="5"/>
        <v>0.2849714999999996</v>
      </c>
      <c r="AE15" s="178">
        <f t="shared" si="6"/>
        <v>0.322097778320312</v>
      </c>
      <c r="AF15"/>
      <c r="AG15"/>
      <c r="AH15" s="175">
        <v>1</v>
      </c>
      <c r="AI15" s="175">
        <v>1</v>
      </c>
      <c r="AJ15" s="175" t="s">
        <v>102</v>
      </c>
      <c r="AK15" s="174">
        <v>1</v>
      </c>
      <c r="AL15" s="175">
        <v>50</v>
      </c>
      <c r="AM15" s="175" t="s">
        <v>103</v>
      </c>
      <c r="AN15" s="196">
        <f t="shared" si="7"/>
        <v>2.5</v>
      </c>
      <c r="AO15" s="205">
        <v>5</v>
      </c>
      <c r="AP15" s="205">
        <v>80</v>
      </c>
      <c r="AQ15" s="205">
        <v>55</v>
      </c>
      <c r="AR15" s="205">
        <v>21</v>
      </c>
      <c r="AS15" s="205">
        <v>20</v>
      </c>
      <c r="AT15" s="206">
        <f t="shared" si="8"/>
        <v>145141.58059584844</v>
      </c>
      <c r="AU15" s="205"/>
      <c r="AV15" s="174" t="s">
        <v>101</v>
      </c>
      <c r="AW15" s="174">
        <v>2</v>
      </c>
      <c r="AX15" s="175">
        <v>40</v>
      </c>
      <c r="AY15" s="175" t="s">
        <v>103</v>
      </c>
      <c r="AZ15" s="196">
        <f t="shared" si="9"/>
        <v>2.5</v>
      </c>
      <c r="BA15" s="205">
        <v>20</v>
      </c>
      <c r="BB15" s="199"/>
      <c r="BC15" s="207"/>
      <c r="BD15" s="207"/>
      <c r="BE15" s="207"/>
      <c r="BF15" s="97"/>
      <c r="BG15" s="97"/>
      <c r="BH15" s="97"/>
      <c r="BI15" s="97"/>
      <c r="BJ15" s="97"/>
      <c r="BK15" s="28"/>
      <c r="BL15" s="272"/>
      <c r="BM15" s="268"/>
      <c r="BN15" s="303"/>
      <c r="BP15" s="96" t="s">
        <v>343</v>
      </c>
      <c r="BQ15" s="96" t="s">
        <v>343</v>
      </c>
      <c r="BR15" s="96" t="s">
        <v>343</v>
      </c>
      <c r="BS15" s="96" t="s">
        <v>343</v>
      </c>
      <c r="BT15" s="96" t="s">
        <v>343</v>
      </c>
      <c r="BU15" s="96" t="s">
        <v>343</v>
      </c>
      <c r="BV15" s="96" t="s">
        <v>343</v>
      </c>
      <c r="BW15" s="96" t="s">
        <v>343</v>
      </c>
      <c r="BX15" s="96" t="s">
        <v>343</v>
      </c>
      <c r="BY15" s="96" t="s">
        <v>343</v>
      </c>
      <c r="BZ15" s="96" t="s">
        <v>343</v>
      </c>
      <c r="CA15" s="96" t="s">
        <v>343</v>
      </c>
      <c r="CB15" s="30"/>
      <c r="CC15" s="30"/>
      <c r="CD15" s="30"/>
      <c r="CE15" s="30"/>
      <c r="CF15" s="98"/>
      <c r="CG15" s="98"/>
      <c r="CH15" s="98"/>
      <c r="CI15" s="98"/>
      <c r="CJ15" s="98"/>
      <c r="CK15" s="98"/>
      <c r="CL15" s="98"/>
      <c r="CM15" s="98"/>
      <c r="CN15" s="32"/>
      <c r="CO15" s="98"/>
      <c r="CP15" s="116"/>
      <c r="CQ15" s="297" t="s">
        <v>104</v>
      </c>
      <c r="CR15" s="116"/>
      <c r="CS15" s="116">
        <v>0</v>
      </c>
      <c r="CT15" s="30"/>
      <c r="CU15" s="48"/>
      <c r="CV15" s="48"/>
      <c r="CW15" s="48"/>
      <c r="CX15" s="48"/>
      <c r="CY15" s="48"/>
      <c r="CZ15" s="184"/>
      <c r="DA15" s="30"/>
      <c r="DB15" s="30"/>
      <c r="DC15" s="30"/>
    </row>
    <row r="16" spans="1:107" ht="14" x14ac:dyDescent="0.15">
      <c r="A16" s="200">
        <v>1</v>
      </c>
      <c r="B16" s="107" t="s">
        <v>99</v>
      </c>
      <c r="C16" s="200" t="s">
        <v>120</v>
      </c>
      <c r="D16" s="201">
        <v>848</v>
      </c>
      <c r="E16" s="84">
        <v>12.5</v>
      </c>
      <c r="F16" s="68" t="s">
        <v>101</v>
      </c>
      <c r="G16" s="68">
        <v>2</v>
      </c>
      <c r="H16" s="202">
        <v>72</v>
      </c>
      <c r="I16" s="202">
        <v>65</v>
      </c>
      <c r="J16" s="202">
        <v>19</v>
      </c>
      <c r="K16" s="202">
        <v>18</v>
      </c>
      <c r="L16" s="203">
        <f t="shared" si="1"/>
        <v>125707.68844074199</v>
      </c>
      <c r="M16" s="84">
        <v>12.5</v>
      </c>
      <c r="N16" s="84">
        <v>12.6</v>
      </c>
      <c r="O16" s="84">
        <v>12.7</v>
      </c>
      <c r="P16" s="204">
        <v>13</v>
      </c>
      <c r="Q16" s="204">
        <v>13.1</v>
      </c>
      <c r="R16" s="204">
        <v>13.2</v>
      </c>
      <c r="S16" s="84">
        <v>13.2</v>
      </c>
      <c r="T16" s="85">
        <v>13.35</v>
      </c>
      <c r="U16" s="85">
        <v>13.42</v>
      </c>
      <c r="V16" s="85">
        <v>13.54</v>
      </c>
      <c r="W16" s="85">
        <v>13.7</v>
      </c>
      <c r="X16" s="83">
        <v>13.9</v>
      </c>
      <c r="Y16" s="281">
        <v>14</v>
      </c>
      <c r="Z16" s="177">
        <f t="shared" si="2"/>
        <v>1.4000000000000004</v>
      </c>
      <c r="AA16" s="178">
        <f t="shared" si="0"/>
        <v>0.11200000000000003</v>
      </c>
      <c r="AB16" s="177">
        <f t="shared" si="3"/>
        <v>0.70000000000000018</v>
      </c>
      <c r="AC16" s="178">
        <f t="shared" si="4"/>
        <v>0.11200000000000003</v>
      </c>
      <c r="AD16" s="179">
        <f t="shared" si="5"/>
        <v>0.20157984000000007</v>
      </c>
      <c r="AE16" s="178">
        <f t="shared" si="6"/>
        <v>0.23890944000000008</v>
      </c>
      <c r="AF16"/>
      <c r="AG16"/>
      <c r="AH16" s="175">
        <v>1</v>
      </c>
      <c r="AI16" s="175">
        <v>1</v>
      </c>
      <c r="AJ16" s="175" t="s">
        <v>101</v>
      </c>
      <c r="AK16" s="174">
        <v>2</v>
      </c>
      <c r="AL16" s="175">
        <v>60</v>
      </c>
      <c r="AM16" s="175" t="s">
        <v>103</v>
      </c>
      <c r="AN16" s="196">
        <f t="shared" si="7"/>
        <v>2.5</v>
      </c>
      <c r="AO16" s="205">
        <v>5</v>
      </c>
      <c r="AP16" s="205">
        <v>85</v>
      </c>
      <c r="AQ16" s="205">
        <v>65</v>
      </c>
      <c r="AR16" s="205">
        <v>27</v>
      </c>
      <c r="AS16" s="205">
        <v>22</v>
      </c>
      <c r="AT16" s="206">
        <f t="shared" si="8"/>
        <v>257755.89625459156</v>
      </c>
      <c r="AU16" s="205"/>
      <c r="AV16" s="174" t="s">
        <v>101</v>
      </c>
      <c r="AW16" s="174">
        <v>2</v>
      </c>
      <c r="AX16" s="175">
        <v>45</v>
      </c>
      <c r="AY16" s="175" t="s">
        <v>103</v>
      </c>
      <c r="AZ16" s="196">
        <f t="shared" si="9"/>
        <v>2.5</v>
      </c>
      <c r="BA16" s="205">
        <v>15</v>
      </c>
      <c r="BB16" s="199"/>
      <c r="BC16" s="207"/>
      <c r="BD16" s="207"/>
      <c r="BE16" s="207"/>
      <c r="BF16" s="97"/>
      <c r="BG16" s="97"/>
      <c r="BH16" s="97"/>
      <c r="BI16" s="97"/>
      <c r="BJ16" s="97"/>
      <c r="BK16" s="28"/>
      <c r="BL16" s="272"/>
      <c r="BM16" s="268"/>
      <c r="BN16" s="303"/>
      <c r="BP16" s="96" t="s">
        <v>343</v>
      </c>
      <c r="BQ16" s="96" t="s">
        <v>343</v>
      </c>
      <c r="BR16" s="96" t="s">
        <v>343</v>
      </c>
      <c r="BS16" s="96" t="s">
        <v>343</v>
      </c>
      <c r="BT16" s="96" t="s">
        <v>343</v>
      </c>
      <c r="BU16" s="96" t="s">
        <v>343</v>
      </c>
      <c r="BV16" s="96" t="s">
        <v>343</v>
      </c>
      <c r="BW16" s="96" t="s">
        <v>343</v>
      </c>
      <c r="BX16" s="96" t="s">
        <v>343</v>
      </c>
      <c r="BY16" s="96" t="s">
        <v>343</v>
      </c>
      <c r="BZ16" s="96" t="s">
        <v>343</v>
      </c>
      <c r="CA16" s="96" t="s">
        <v>343</v>
      </c>
      <c r="CB16" s="30"/>
      <c r="CC16" s="30"/>
      <c r="CD16" s="30"/>
      <c r="CE16" s="30"/>
      <c r="CF16" s="98"/>
      <c r="CG16" s="98"/>
      <c r="CH16" s="98"/>
      <c r="CI16" s="98"/>
      <c r="CJ16" s="98"/>
      <c r="CK16" s="98"/>
      <c r="CL16" s="98"/>
      <c r="CM16" s="98"/>
      <c r="CN16" s="32"/>
      <c r="CO16" s="98"/>
      <c r="CP16" s="116"/>
      <c r="CQ16" s="297" t="s">
        <v>104</v>
      </c>
      <c r="CR16" s="116"/>
      <c r="CS16" s="116">
        <v>0</v>
      </c>
      <c r="CT16" s="30"/>
      <c r="CU16" s="48"/>
      <c r="CV16" s="48"/>
      <c r="CW16" s="48"/>
      <c r="CX16" s="48"/>
      <c r="CY16" s="48"/>
      <c r="CZ16" s="184"/>
      <c r="DA16" s="30"/>
      <c r="DB16" s="30"/>
      <c r="DC16" s="30"/>
    </row>
    <row r="17" spans="1:107" ht="14" x14ac:dyDescent="0.15">
      <c r="A17" s="200">
        <v>1</v>
      </c>
      <c r="B17" s="107" t="s">
        <v>99</v>
      </c>
      <c r="C17" s="200" t="s">
        <v>121</v>
      </c>
      <c r="D17" s="201">
        <v>851</v>
      </c>
      <c r="E17" s="84">
        <v>14.7</v>
      </c>
      <c r="F17" s="68" t="s">
        <v>101</v>
      </c>
      <c r="G17" s="68">
        <v>2</v>
      </c>
      <c r="H17" s="202">
        <v>80</v>
      </c>
      <c r="I17" s="202">
        <v>40</v>
      </c>
      <c r="J17" s="202">
        <v>28</v>
      </c>
      <c r="K17" s="202">
        <v>13</v>
      </c>
      <c r="L17" s="203">
        <f t="shared" si="1"/>
        <v>91483.178072534778</v>
      </c>
      <c r="M17" s="84">
        <v>14.7</v>
      </c>
      <c r="N17" s="84">
        <v>14.9</v>
      </c>
      <c r="O17" s="84">
        <v>15</v>
      </c>
      <c r="P17" s="204">
        <v>15.4</v>
      </c>
      <c r="Q17" s="204">
        <v>15.4</v>
      </c>
      <c r="R17" s="204">
        <v>15.65</v>
      </c>
      <c r="S17" s="84">
        <v>15.65</v>
      </c>
      <c r="T17" s="85">
        <v>15.75</v>
      </c>
      <c r="U17" s="85">
        <v>15.86</v>
      </c>
      <c r="V17" s="85">
        <v>16</v>
      </c>
      <c r="W17" s="85">
        <v>16.14</v>
      </c>
      <c r="X17" s="83">
        <v>16.399999999999999</v>
      </c>
      <c r="Y17" s="281">
        <v>16.600000000000001</v>
      </c>
      <c r="Z17" s="177">
        <f t="shared" si="2"/>
        <v>1.6999999999999993</v>
      </c>
      <c r="AA17" s="178">
        <f t="shared" si="0"/>
        <v>0.11564625850340132</v>
      </c>
      <c r="AB17" s="177">
        <f t="shared" si="3"/>
        <v>0.84999999999999964</v>
      </c>
      <c r="AC17" s="178">
        <f t="shared" si="4"/>
        <v>0.11564625850340132</v>
      </c>
      <c r="AD17" s="179">
        <f t="shared" si="5"/>
        <v>0.28835297999999998</v>
      </c>
      <c r="AE17" s="178">
        <f t="shared" si="6"/>
        <v>0.24711323985376465</v>
      </c>
      <c r="AF17"/>
      <c r="AG17"/>
      <c r="AH17" s="175">
        <v>1</v>
      </c>
      <c r="AI17" s="175">
        <v>1</v>
      </c>
      <c r="AJ17" s="175" t="s">
        <v>102</v>
      </c>
      <c r="AK17" s="174">
        <v>1</v>
      </c>
      <c r="AL17" s="175">
        <v>50</v>
      </c>
      <c r="AM17" s="175" t="s">
        <v>103</v>
      </c>
      <c r="AN17" s="196">
        <f t="shared" si="7"/>
        <v>2.5</v>
      </c>
      <c r="AO17" s="205">
        <v>10</v>
      </c>
      <c r="AP17" s="205">
        <v>85</v>
      </c>
      <c r="AQ17" s="205">
        <v>40</v>
      </c>
      <c r="AR17" s="205">
        <v>41</v>
      </c>
      <c r="AS17" s="205">
        <v>35</v>
      </c>
      <c r="AT17" s="206">
        <f t="shared" si="8"/>
        <v>383195.76392161503</v>
      </c>
      <c r="AU17" s="205"/>
      <c r="AV17" s="174" t="s">
        <v>102</v>
      </c>
      <c r="AW17" s="174">
        <v>1</v>
      </c>
      <c r="AX17" s="175">
        <v>35</v>
      </c>
      <c r="AY17" s="175" t="s">
        <v>103</v>
      </c>
      <c r="AZ17" s="196">
        <f t="shared" si="9"/>
        <v>2.5</v>
      </c>
      <c r="BA17" s="205">
        <v>15</v>
      </c>
      <c r="BB17" s="199"/>
      <c r="BC17" s="207"/>
      <c r="BD17" s="207"/>
      <c r="BE17" s="207"/>
      <c r="BF17" s="97"/>
      <c r="BG17" s="97"/>
      <c r="BH17" s="97"/>
      <c r="BI17" s="97"/>
      <c r="BJ17" s="97"/>
      <c r="BK17" s="28"/>
      <c r="BL17" s="272"/>
      <c r="BM17" s="268"/>
      <c r="BN17" s="303"/>
      <c r="BP17" s="96" t="s">
        <v>343</v>
      </c>
      <c r="BQ17" s="96" t="s">
        <v>343</v>
      </c>
      <c r="BR17" s="96" t="s">
        <v>343</v>
      </c>
      <c r="BS17" s="96" t="s">
        <v>343</v>
      </c>
      <c r="BT17" s="96" t="s">
        <v>343</v>
      </c>
      <c r="BU17" s="96" t="s">
        <v>343</v>
      </c>
      <c r="BV17" s="96" t="s">
        <v>343</v>
      </c>
      <c r="BW17" s="96" t="s">
        <v>343</v>
      </c>
      <c r="BX17" s="96" t="s">
        <v>343</v>
      </c>
      <c r="BY17" s="96" t="s">
        <v>343</v>
      </c>
      <c r="BZ17" s="96" t="s">
        <v>343</v>
      </c>
      <c r="CA17" s="96" t="s">
        <v>343</v>
      </c>
      <c r="CB17" s="30"/>
      <c r="CC17" s="30"/>
      <c r="CD17" s="30"/>
      <c r="CE17" s="30"/>
      <c r="CF17" s="98"/>
      <c r="CG17" s="98"/>
      <c r="CH17" s="98"/>
      <c r="CI17" s="98"/>
      <c r="CJ17" s="98"/>
      <c r="CK17" s="98"/>
      <c r="CL17" s="98"/>
      <c r="CM17" s="98"/>
      <c r="CN17" s="32"/>
      <c r="CO17" s="98"/>
      <c r="CP17" s="116"/>
      <c r="CQ17" s="297" t="s">
        <v>104</v>
      </c>
      <c r="CR17" s="116"/>
      <c r="CS17" s="116">
        <v>0</v>
      </c>
      <c r="CT17" s="30"/>
      <c r="CU17" s="48"/>
      <c r="CV17" s="48"/>
      <c r="CW17" s="48"/>
      <c r="CX17" s="48"/>
      <c r="CY17" s="48"/>
      <c r="CZ17" s="184"/>
      <c r="DA17" s="30"/>
      <c r="DB17" s="30"/>
      <c r="DC17" s="30"/>
    </row>
    <row r="18" spans="1:107" ht="14" x14ac:dyDescent="0.15">
      <c r="A18" s="200">
        <v>1</v>
      </c>
      <c r="B18" s="107" t="s">
        <v>99</v>
      </c>
      <c r="C18" s="200" t="s">
        <v>122</v>
      </c>
      <c r="D18" s="201">
        <v>853</v>
      </c>
      <c r="E18" s="84">
        <v>19.2</v>
      </c>
      <c r="F18" s="68" t="s">
        <v>102</v>
      </c>
      <c r="G18" s="68">
        <v>1</v>
      </c>
      <c r="H18" s="202">
        <v>88</v>
      </c>
      <c r="I18" s="202">
        <v>45</v>
      </c>
      <c r="J18" s="202">
        <v>30</v>
      </c>
      <c r="K18" s="202">
        <v>15</v>
      </c>
      <c r="L18" s="203">
        <f t="shared" si="1"/>
        <v>139957.95271742527</v>
      </c>
      <c r="M18" s="84">
        <v>19.2</v>
      </c>
      <c r="N18" s="84">
        <v>19.3</v>
      </c>
      <c r="O18" s="84">
        <v>19.600000000000001</v>
      </c>
      <c r="P18" s="84">
        <v>19.8</v>
      </c>
      <c r="Q18" s="204">
        <v>20</v>
      </c>
      <c r="R18" s="204">
        <v>20.149999999999999</v>
      </c>
      <c r="S18" s="84">
        <v>20.05</v>
      </c>
      <c r="T18" s="85">
        <v>20.100000000000001</v>
      </c>
      <c r="U18" s="85">
        <v>20.190000000000001</v>
      </c>
      <c r="V18" s="85">
        <v>20.34</v>
      </c>
      <c r="W18" s="85">
        <v>20.54</v>
      </c>
      <c r="X18" s="83">
        <v>20.8</v>
      </c>
      <c r="Y18" s="281">
        <v>20.9</v>
      </c>
      <c r="Z18" s="177">
        <f t="shared" si="2"/>
        <v>1.6000000000000014</v>
      </c>
      <c r="AA18" s="178">
        <f t="shared" si="0"/>
        <v>8.3333333333333412E-2</v>
      </c>
      <c r="AB18" s="177">
        <f t="shared" si="3"/>
        <v>0.80000000000000071</v>
      </c>
      <c r="AC18" s="178">
        <f t="shared" si="4"/>
        <v>8.3333333333333412E-2</v>
      </c>
      <c r="AD18" s="179">
        <f t="shared" si="5"/>
        <v>0.34905600000000003</v>
      </c>
      <c r="AE18" s="178">
        <f t="shared" si="6"/>
        <v>0.17534722222222224</v>
      </c>
      <c r="AF18"/>
      <c r="AG18"/>
      <c r="AH18" s="175">
        <v>1</v>
      </c>
      <c r="AI18" s="175">
        <v>1</v>
      </c>
      <c r="AJ18" s="175" t="s">
        <v>102</v>
      </c>
      <c r="AK18" s="174">
        <v>1</v>
      </c>
      <c r="AL18" s="175">
        <v>40</v>
      </c>
      <c r="AM18" s="175" t="s">
        <v>103</v>
      </c>
      <c r="AN18" s="196">
        <f t="shared" si="7"/>
        <v>2.5</v>
      </c>
      <c r="AO18" s="205">
        <v>20</v>
      </c>
      <c r="AP18" s="205">
        <v>85</v>
      </c>
      <c r="AQ18" s="205">
        <v>40</v>
      </c>
      <c r="AR18" s="205">
        <v>36</v>
      </c>
      <c r="AS18" s="205">
        <v>36</v>
      </c>
      <c r="AT18" s="206">
        <f t="shared" si="8"/>
        <v>346077.8467194516</v>
      </c>
      <c r="AU18" s="205"/>
      <c r="AV18" s="174" t="s">
        <v>102</v>
      </c>
      <c r="AW18" s="174">
        <v>1</v>
      </c>
      <c r="AX18" s="175">
        <v>35</v>
      </c>
      <c r="AY18" s="175" t="s">
        <v>103</v>
      </c>
      <c r="AZ18" s="196">
        <f t="shared" si="9"/>
        <v>2.5</v>
      </c>
      <c r="BA18" s="205">
        <v>15</v>
      </c>
      <c r="BB18" s="199"/>
      <c r="BC18" s="207"/>
      <c r="BD18" s="207"/>
      <c r="BE18" s="207"/>
      <c r="BF18" s="97"/>
      <c r="BG18" s="97"/>
      <c r="BH18" s="97"/>
      <c r="BI18" s="97"/>
      <c r="BJ18" s="97"/>
      <c r="BK18" s="28"/>
      <c r="BL18" s="272"/>
      <c r="BM18" s="268"/>
      <c r="BN18" s="303"/>
      <c r="BP18" s="96" t="s">
        <v>343</v>
      </c>
      <c r="BQ18" s="96" t="s">
        <v>343</v>
      </c>
      <c r="BR18" s="96" t="s">
        <v>343</v>
      </c>
      <c r="BS18" s="96" t="s">
        <v>343</v>
      </c>
      <c r="BT18" s="96" t="s">
        <v>343</v>
      </c>
      <c r="BU18" s="96" t="s">
        <v>343</v>
      </c>
      <c r="BV18" s="96" t="s">
        <v>343</v>
      </c>
      <c r="BW18" s="96" t="s">
        <v>343</v>
      </c>
      <c r="BX18" s="96" t="s">
        <v>343</v>
      </c>
      <c r="BY18" s="96" t="s">
        <v>343</v>
      </c>
      <c r="BZ18" s="96" t="s">
        <v>343</v>
      </c>
      <c r="CA18" s="96" t="s">
        <v>343</v>
      </c>
      <c r="CB18" s="30"/>
      <c r="CC18" s="30"/>
      <c r="CD18" s="30"/>
      <c r="CE18" s="30"/>
      <c r="CF18" s="98"/>
      <c r="CG18" s="98"/>
      <c r="CH18" s="98"/>
      <c r="CI18" s="98"/>
      <c r="CJ18" s="98"/>
      <c r="CK18" s="98"/>
      <c r="CL18" s="98"/>
      <c r="CM18" s="98"/>
      <c r="CN18" s="32"/>
      <c r="CO18" s="98"/>
      <c r="CP18" s="116"/>
      <c r="CQ18" s="297" t="s">
        <v>104</v>
      </c>
      <c r="CR18" s="116"/>
      <c r="CS18" s="116">
        <v>0</v>
      </c>
      <c r="CT18" s="30"/>
      <c r="CU18" s="48"/>
      <c r="CV18" s="48"/>
      <c r="CW18" s="48"/>
      <c r="CX18" s="48"/>
      <c r="CY18" s="48"/>
      <c r="CZ18" s="184"/>
      <c r="DA18" s="30"/>
      <c r="DB18" s="30"/>
      <c r="DC18" s="30"/>
    </row>
    <row r="19" spans="1:107" ht="14" x14ac:dyDescent="0.15">
      <c r="A19" s="200">
        <v>1</v>
      </c>
      <c r="B19" s="107" t="s">
        <v>99</v>
      </c>
      <c r="C19" s="200" t="s">
        <v>123</v>
      </c>
      <c r="D19" s="201">
        <v>860</v>
      </c>
      <c r="E19" s="84">
        <v>11.2</v>
      </c>
      <c r="F19" s="68" t="s">
        <v>101</v>
      </c>
      <c r="G19" s="68">
        <v>2</v>
      </c>
      <c r="H19" s="202">
        <v>72</v>
      </c>
      <c r="I19" s="202">
        <v>50</v>
      </c>
      <c r="J19" s="202">
        <v>22</v>
      </c>
      <c r="K19" s="202">
        <v>16</v>
      </c>
      <c r="L19" s="203">
        <f t="shared" si="1"/>
        <v>99525.655265724636</v>
      </c>
      <c r="M19" s="84">
        <v>11.2</v>
      </c>
      <c r="N19" s="84">
        <v>11.2</v>
      </c>
      <c r="O19" s="84">
        <v>11.4</v>
      </c>
      <c r="P19" s="204">
        <v>11.6</v>
      </c>
      <c r="Q19" s="204">
        <v>11.7</v>
      </c>
      <c r="R19" s="204">
        <v>11.85</v>
      </c>
      <c r="S19" s="84">
        <v>11.85</v>
      </c>
      <c r="T19" s="85">
        <v>11.99</v>
      </c>
      <c r="U19" s="85">
        <v>12.09</v>
      </c>
      <c r="V19" s="85">
        <v>12.2</v>
      </c>
      <c r="W19" s="85">
        <v>12.34</v>
      </c>
      <c r="X19" s="83">
        <v>12.5</v>
      </c>
      <c r="Y19" s="281">
        <v>12.7</v>
      </c>
      <c r="Z19" s="177">
        <f t="shared" si="2"/>
        <v>1.3000000000000007</v>
      </c>
      <c r="AA19" s="178">
        <f t="shared" si="0"/>
        <v>0.11607142857142864</v>
      </c>
      <c r="AB19" s="177">
        <f t="shared" si="3"/>
        <v>0.65000000000000036</v>
      </c>
      <c r="AC19" s="178">
        <f t="shared" si="4"/>
        <v>0.11607142857142864</v>
      </c>
      <c r="AD19" s="179">
        <f t="shared" si="5"/>
        <v>0.16803774000000016</v>
      </c>
      <c r="AE19" s="178">
        <f t="shared" si="6"/>
        <v>0.24807158801020432</v>
      </c>
      <c r="AF19"/>
      <c r="AG19"/>
      <c r="AH19" s="175">
        <v>1</v>
      </c>
      <c r="AI19" s="175">
        <v>1</v>
      </c>
      <c r="AJ19" s="175" t="s">
        <v>101</v>
      </c>
      <c r="AK19" s="174">
        <v>2</v>
      </c>
      <c r="AL19" s="175">
        <v>70</v>
      </c>
      <c r="AM19" s="175" t="s">
        <v>103</v>
      </c>
      <c r="AN19" s="196">
        <f t="shared" si="7"/>
        <v>2.5</v>
      </c>
      <c r="AO19" s="205">
        <v>20</v>
      </c>
      <c r="AP19" s="205">
        <v>80</v>
      </c>
      <c r="AQ19" s="205">
        <v>50</v>
      </c>
      <c r="AR19" s="205">
        <v>27</v>
      </c>
      <c r="AS19" s="205">
        <v>27</v>
      </c>
      <c r="AT19" s="206">
        <f t="shared" si="8"/>
        <v>229022.10444669591</v>
      </c>
      <c r="AU19" s="205"/>
      <c r="AV19" s="174" t="s">
        <v>110</v>
      </c>
      <c r="AW19" s="174">
        <v>2.5</v>
      </c>
      <c r="AX19" s="175">
        <v>45</v>
      </c>
      <c r="AY19" s="175" t="s">
        <v>103</v>
      </c>
      <c r="AZ19" s="196">
        <f t="shared" si="9"/>
        <v>2.5</v>
      </c>
      <c r="BA19" s="205">
        <v>20</v>
      </c>
      <c r="BB19" s="199"/>
      <c r="BC19" s="207"/>
      <c r="BD19" s="207"/>
      <c r="BE19" s="207"/>
      <c r="BF19" s="97"/>
      <c r="BG19" s="97"/>
      <c r="BH19" s="97"/>
      <c r="BI19" s="97"/>
      <c r="BJ19" s="97"/>
      <c r="BK19" s="28"/>
      <c r="BL19" s="272"/>
      <c r="BM19" s="268"/>
      <c r="BN19" s="303"/>
      <c r="BP19" s="96" t="s">
        <v>343</v>
      </c>
      <c r="BQ19" s="96" t="s">
        <v>343</v>
      </c>
      <c r="BR19" s="96" t="s">
        <v>343</v>
      </c>
      <c r="BS19" s="96" t="s">
        <v>343</v>
      </c>
      <c r="BT19" s="96" t="s">
        <v>343</v>
      </c>
      <c r="BU19" s="96" t="s">
        <v>343</v>
      </c>
      <c r="BV19" s="96" t="s">
        <v>343</v>
      </c>
      <c r="BW19" s="96" t="s">
        <v>343</v>
      </c>
      <c r="BX19" s="96" t="s">
        <v>343</v>
      </c>
      <c r="BY19" s="96" t="s">
        <v>343</v>
      </c>
      <c r="BZ19" s="96" t="s">
        <v>343</v>
      </c>
      <c r="CA19" s="96" t="s">
        <v>343</v>
      </c>
      <c r="CB19" s="30"/>
      <c r="CC19" s="30"/>
      <c r="CD19" s="30"/>
      <c r="CE19" s="30"/>
      <c r="CF19" s="98"/>
      <c r="CG19" s="98"/>
      <c r="CH19" s="98"/>
      <c r="CI19" s="98"/>
      <c r="CJ19" s="98"/>
      <c r="CK19" s="98"/>
      <c r="CL19" s="98"/>
      <c r="CM19" s="98"/>
      <c r="CN19" s="32"/>
      <c r="CO19" s="98"/>
      <c r="CP19" s="116"/>
      <c r="CQ19" s="297" t="s">
        <v>104</v>
      </c>
      <c r="CR19" s="116"/>
      <c r="CS19" s="116">
        <v>0</v>
      </c>
      <c r="CT19" s="30"/>
      <c r="CU19" s="48"/>
      <c r="CV19" s="48"/>
      <c r="CW19" s="48"/>
      <c r="CX19" s="48"/>
      <c r="CY19" s="48"/>
      <c r="CZ19" s="184"/>
      <c r="DA19" s="30"/>
      <c r="DB19" s="30"/>
      <c r="DC19" s="30"/>
    </row>
    <row r="20" spans="1:107" ht="14" x14ac:dyDescent="0.15">
      <c r="A20" s="200">
        <v>1</v>
      </c>
      <c r="B20" s="107" t="s">
        <v>99</v>
      </c>
      <c r="C20" s="200" t="s">
        <v>124</v>
      </c>
      <c r="D20" s="201">
        <v>863</v>
      </c>
      <c r="E20" s="84">
        <v>16.7</v>
      </c>
      <c r="F20" s="68" t="s">
        <v>102</v>
      </c>
      <c r="G20" s="68">
        <v>1</v>
      </c>
      <c r="H20" s="202">
        <v>85</v>
      </c>
      <c r="I20" s="202">
        <v>60</v>
      </c>
      <c r="J20" s="202">
        <v>26</v>
      </c>
      <c r="K20" s="202">
        <v>17</v>
      </c>
      <c r="L20" s="203">
        <f t="shared" si="1"/>
        <v>177044.4539930528</v>
      </c>
      <c r="M20" s="84">
        <v>16.7</v>
      </c>
      <c r="N20" s="84">
        <v>17</v>
      </c>
      <c r="O20" s="84">
        <v>17.3</v>
      </c>
      <c r="P20" s="84">
        <v>17.7</v>
      </c>
      <c r="Q20" s="204">
        <v>17.899999999999999</v>
      </c>
      <c r="R20" s="204">
        <v>18.2</v>
      </c>
      <c r="S20" s="84">
        <v>18.350000000000001</v>
      </c>
      <c r="T20" s="85">
        <v>18.55</v>
      </c>
      <c r="U20" s="85">
        <v>18.77</v>
      </c>
      <c r="V20" s="85">
        <v>19</v>
      </c>
      <c r="W20" s="85">
        <v>19.27</v>
      </c>
      <c r="X20" s="83">
        <v>19.600000000000001</v>
      </c>
      <c r="Y20" s="281">
        <v>19.8</v>
      </c>
      <c r="Z20" s="177">
        <f t="shared" si="2"/>
        <v>2.9000000000000021</v>
      </c>
      <c r="AA20" s="178">
        <f t="shared" si="0"/>
        <v>0.17365269461077859</v>
      </c>
      <c r="AB20" s="177">
        <f t="shared" si="3"/>
        <v>1.4500000000000011</v>
      </c>
      <c r="AC20" s="178">
        <f t="shared" si="4"/>
        <v>0.17365269461077859</v>
      </c>
      <c r="AD20" s="179">
        <f t="shared" si="5"/>
        <v>0.57414258000000062</v>
      </c>
      <c r="AE20" s="178">
        <f t="shared" si="6"/>
        <v>0.381235254042813</v>
      </c>
      <c r="AF20"/>
      <c r="AG20"/>
      <c r="AH20" s="175">
        <v>2</v>
      </c>
      <c r="AI20" s="175">
        <v>1</v>
      </c>
      <c r="AJ20" s="175" t="s">
        <v>101</v>
      </c>
      <c r="AK20" s="174">
        <v>2</v>
      </c>
      <c r="AL20" s="175">
        <v>55</v>
      </c>
      <c r="AM20" s="175" t="s">
        <v>103</v>
      </c>
      <c r="AN20" s="196">
        <f t="shared" si="7"/>
        <v>2.5</v>
      </c>
      <c r="AO20" s="205">
        <v>15</v>
      </c>
      <c r="AP20" s="205">
        <v>80</v>
      </c>
      <c r="AQ20" s="205">
        <v>50</v>
      </c>
      <c r="AR20" s="205">
        <v>33</v>
      </c>
      <c r="AS20" s="205">
        <v>27</v>
      </c>
      <c r="AT20" s="206">
        <f t="shared" si="8"/>
        <v>279915.9054348506</v>
      </c>
      <c r="AU20" s="205"/>
      <c r="AV20" s="174" t="s">
        <v>101</v>
      </c>
      <c r="AW20" s="174">
        <v>2</v>
      </c>
      <c r="AX20" s="175">
        <v>55</v>
      </c>
      <c r="AY20" s="175" t="s">
        <v>103</v>
      </c>
      <c r="AZ20" s="196">
        <f t="shared" si="9"/>
        <v>2.5</v>
      </c>
      <c r="BA20" s="205">
        <v>15</v>
      </c>
      <c r="BB20" s="199"/>
      <c r="BC20" s="207"/>
      <c r="BD20" s="207"/>
      <c r="BE20" s="207"/>
      <c r="BF20" s="97"/>
      <c r="BG20" s="97"/>
      <c r="BH20" s="97"/>
      <c r="BI20" s="97"/>
      <c r="BJ20" s="97"/>
      <c r="BK20" s="28"/>
      <c r="BL20" s="272"/>
      <c r="BM20" s="268"/>
      <c r="BN20" s="303"/>
      <c r="BP20" s="96" t="s">
        <v>343</v>
      </c>
      <c r="BQ20" s="96" t="s">
        <v>343</v>
      </c>
      <c r="BR20" s="96" t="s">
        <v>343</v>
      </c>
      <c r="BS20" s="96" t="s">
        <v>343</v>
      </c>
      <c r="BT20" s="96" t="s">
        <v>343</v>
      </c>
      <c r="BU20" s="96" t="s">
        <v>343</v>
      </c>
      <c r="BV20" s="96" t="s">
        <v>343</v>
      </c>
      <c r="BW20" s="96" t="s">
        <v>343</v>
      </c>
      <c r="BX20" s="96" t="s">
        <v>343</v>
      </c>
      <c r="BY20" s="96" t="s">
        <v>343</v>
      </c>
      <c r="BZ20" s="96" t="s">
        <v>343</v>
      </c>
      <c r="CA20" s="96" t="s">
        <v>343</v>
      </c>
      <c r="CB20" s="30"/>
      <c r="CC20" s="30"/>
      <c r="CD20" s="30"/>
      <c r="CE20" s="30"/>
      <c r="CF20" s="98"/>
      <c r="CG20" s="98"/>
      <c r="CH20" s="98"/>
      <c r="CI20" s="98"/>
      <c r="CJ20" s="98"/>
      <c r="CK20" s="98"/>
      <c r="CL20" s="98"/>
      <c r="CM20" s="98"/>
      <c r="CN20" s="32"/>
      <c r="CO20" s="98"/>
      <c r="CP20" s="116"/>
      <c r="CQ20" s="297" t="s">
        <v>104</v>
      </c>
      <c r="CR20" s="116"/>
      <c r="CS20" s="116">
        <v>0</v>
      </c>
      <c r="CT20" s="30"/>
      <c r="CU20" s="48"/>
      <c r="CV20" s="48"/>
      <c r="CW20" s="48"/>
      <c r="CX20" s="48"/>
      <c r="CY20" s="48"/>
      <c r="CZ20" s="184"/>
      <c r="DA20" s="30"/>
      <c r="DB20" s="30"/>
      <c r="DC20" s="30"/>
    </row>
    <row r="21" spans="1:107" ht="14" x14ac:dyDescent="0.15">
      <c r="A21" s="200">
        <v>1</v>
      </c>
      <c r="B21" s="107" t="s">
        <v>99</v>
      </c>
      <c r="C21" s="200" t="s">
        <v>125</v>
      </c>
      <c r="D21" s="201">
        <v>864</v>
      </c>
      <c r="E21" s="84">
        <v>13.1</v>
      </c>
      <c r="F21" s="68" t="s">
        <v>101</v>
      </c>
      <c r="G21" s="68">
        <v>2</v>
      </c>
      <c r="H21" s="202">
        <v>78</v>
      </c>
      <c r="I21" s="202">
        <v>35</v>
      </c>
      <c r="J21" s="202">
        <v>24</v>
      </c>
      <c r="K21" s="202">
        <v>13</v>
      </c>
      <c r="L21" s="203">
        <f t="shared" si="1"/>
        <v>66897.073965541058</v>
      </c>
      <c r="M21" s="84">
        <v>13.1</v>
      </c>
      <c r="N21" s="84">
        <v>13.2</v>
      </c>
      <c r="O21" s="84">
        <v>13.4</v>
      </c>
      <c r="P21" s="84">
        <v>13.6</v>
      </c>
      <c r="Q21" s="204">
        <v>13.7</v>
      </c>
      <c r="R21" s="204">
        <v>13.8</v>
      </c>
      <c r="S21" s="84">
        <v>13.8</v>
      </c>
      <c r="T21" s="85">
        <v>13.94</v>
      </c>
      <c r="U21" s="85">
        <v>14.04</v>
      </c>
      <c r="V21" s="85">
        <v>14.15</v>
      </c>
      <c r="W21" s="85">
        <v>14.25</v>
      </c>
      <c r="X21" s="83">
        <v>14.3</v>
      </c>
      <c r="Y21" s="281">
        <v>14.5</v>
      </c>
      <c r="Z21" s="177">
        <f t="shared" si="2"/>
        <v>1.2000000000000011</v>
      </c>
      <c r="AA21" s="178">
        <f t="shared" si="0"/>
        <v>9.1603053435114587E-2</v>
      </c>
      <c r="AB21" s="177">
        <f t="shared" si="3"/>
        <v>0.60000000000000053</v>
      </c>
      <c r="AC21" s="178">
        <f t="shared" si="4"/>
        <v>9.1603053435114587E-2</v>
      </c>
      <c r="AD21" s="179">
        <f t="shared" si="5"/>
        <v>0.17932752000000007</v>
      </c>
      <c r="AE21" s="178">
        <f t="shared" si="6"/>
        <v>0.19351319853155419</v>
      </c>
      <c r="AF21"/>
      <c r="AG21"/>
      <c r="AH21" s="175">
        <v>1</v>
      </c>
      <c r="AI21" s="175">
        <v>1</v>
      </c>
      <c r="AJ21" s="175" t="s">
        <v>101</v>
      </c>
      <c r="AK21" s="174">
        <v>2</v>
      </c>
      <c r="AL21" s="175">
        <v>45</v>
      </c>
      <c r="AM21" s="175" t="s">
        <v>103</v>
      </c>
      <c r="AN21" s="196">
        <f t="shared" si="7"/>
        <v>2.5</v>
      </c>
      <c r="AO21" s="205">
        <v>5</v>
      </c>
      <c r="AP21" s="205">
        <v>80</v>
      </c>
      <c r="AQ21" s="205">
        <v>45</v>
      </c>
      <c r="AR21" s="205">
        <v>30</v>
      </c>
      <c r="AS21" s="205">
        <v>26</v>
      </c>
      <c r="AT21" s="206">
        <f t="shared" si="8"/>
        <v>220539.80428200346</v>
      </c>
      <c r="AU21" s="205"/>
      <c r="AV21" s="174" t="s">
        <v>101</v>
      </c>
      <c r="AW21" s="174">
        <v>2</v>
      </c>
      <c r="AX21" s="175">
        <v>45</v>
      </c>
      <c r="AY21" s="175" t="s">
        <v>103</v>
      </c>
      <c r="AZ21" s="196">
        <f t="shared" si="9"/>
        <v>2.5</v>
      </c>
      <c r="BA21" s="205">
        <v>10</v>
      </c>
      <c r="BB21" s="199"/>
      <c r="BC21" s="207"/>
      <c r="BD21" s="207"/>
      <c r="BE21" s="207"/>
      <c r="BF21" s="97"/>
      <c r="BG21" s="97"/>
      <c r="BH21" s="97"/>
      <c r="BI21" s="97"/>
      <c r="BJ21" s="97"/>
      <c r="BK21" s="28"/>
      <c r="BL21" s="272"/>
      <c r="BM21" s="268"/>
      <c r="BN21" s="303"/>
      <c r="BP21" s="96" t="s">
        <v>343</v>
      </c>
      <c r="BQ21" s="96" t="s">
        <v>343</v>
      </c>
      <c r="BR21" s="96" t="s">
        <v>343</v>
      </c>
      <c r="BS21" s="96" t="s">
        <v>343</v>
      </c>
      <c r="BT21" s="96" t="s">
        <v>343</v>
      </c>
      <c r="BU21" s="96" t="s">
        <v>343</v>
      </c>
      <c r="BV21" s="96" t="s">
        <v>343</v>
      </c>
      <c r="BW21" s="96" t="s">
        <v>343</v>
      </c>
      <c r="BX21" s="96" t="s">
        <v>343</v>
      </c>
      <c r="BY21" s="96" t="s">
        <v>343</v>
      </c>
      <c r="BZ21" s="96" t="s">
        <v>343</v>
      </c>
      <c r="CA21" s="96" t="s">
        <v>343</v>
      </c>
      <c r="CB21" s="30"/>
      <c r="CC21" s="30"/>
      <c r="CD21" s="30"/>
      <c r="CE21" s="30"/>
      <c r="CF21" s="98"/>
      <c r="CG21" s="98"/>
      <c r="CH21" s="98"/>
      <c r="CI21" s="98"/>
      <c r="CJ21" s="98"/>
      <c r="CK21" s="98"/>
      <c r="CL21" s="98"/>
      <c r="CM21" s="98"/>
      <c r="CN21" s="32"/>
      <c r="CO21" s="98"/>
      <c r="CP21" s="116"/>
      <c r="CQ21" s="297" t="s">
        <v>104</v>
      </c>
      <c r="CR21" s="116"/>
      <c r="CS21" s="116">
        <v>0</v>
      </c>
      <c r="CT21" s="30"/>
      <c r="CU21" s="48"/>
      <c r="CV21" s="48"/>
      <c r="CW21" s="48"/>
      <c r="CX21" s="48"/>
      <c r="CY21" s="48"/>
      <c r="CZ21" s="184"/>
      <c r="DA21" s="30"/>
      <c r="DB21" s="30"/>
      <c r="DC21" s="30"/>
    </row>
    <row r="22" spans="1:107" ht="14" x14ac:dyDescent="0.15">
      <c r="A22" s="200">
        <v>1</v>
      </c>
      <c r="B22" s="107" t="s">
        <v>99</v>
      </c>
      <c r="C22" s="200" t="s">
        <v>126</v>
      </c>
      <c r="D22" s="201">
        <v>867</v>
      </c>
      <c r="E22" s="84">
        <v>14.4</v>
      </c>
      <c r="F22" s="68" t="s">
        <v>101</v>
      </c>
      <c r="G22" s="68">
        <v>2</v>
      </c>
      <c r="H22" s="202">
        <v>72</v>
      </c>
      <c r="I22" s="202">
        <v>40</v>
      </c>
      <c r="J22" s="202">
        <v>25</v>
      </c>
      <c r="K22" s="202">
        <v>22</v>
      </c>
      <c r="L22" s="203">
        <f t="shared" si="1"/>
        <v>124407.06908215581</v>
      </c>
      <c r="M22" s="84">
        <v>14.4</v>
      </c>
      <c r="N22" s="84">
        <v>14.5</v>
      </c>
      <c r="O22" s="84">
        <v>14.5</v>
      </c>
      <c r="P22" s="204">
        <v>14.6</v>
      </c>
      <c r="Q22" s="204">
        <v>14.6</v>
      </c>
      <c r="R22" s="204">
        <v>14.7</v>
      </c>
      <c r="S22" s="84">
        <v>14.6</v>
      </c>
      <c r="T22" s="85">
        <v>14.6</v>
      </c>
      <c r="U22" s="85">
        <v>14.66</v>
      </c>
      <c r="V22" s="85">
        <v>14.67</v>
      </c>
      <c r="W22" s="85">
        <v>14.69</v>
      </c>
      <c r="X22" s="83">
        <v>14.8</v>
      </c>
      <c r="Y22" s="281">
        <v>14.8</v>
      </c>
      <c r="Z22" s="177">
        <f t="shared" si="2"/>
        <v>0.40000000000000036</v>
      </c>
      <c r="AA22" s="178">
        <f t="shared" si="0"/>
        <v>2.7777777777777801E-2</v>
      </c>
      <c r="AB22" s="177">
        <f t="shared" si="3"/>
        <v>0.20000000000000018</v>
      </c>
      <c r="AC22" s="178">
        <f t="shared" si="4"/>
        <v>2.7777777777777801E-2</v>
      </c>
      <c r="AD22" s="179">
        <f t="shared" si="5"/>
        <v>6.370271999999999E-2</v>
      </c>
      <c r="AE22" s="178">
        <f t="shared" si="6"/>
        <v>5.6890432098765417E-2</v>
      </c>
      <c r="AF22"/>
      <c r="AG22"/>
      <c r="AH22" s="175">
        <v>2</v>
      </c>
      <c r="AI22" s="175">
        <v>1</v>
      </c>
      <c r="AJ22" s="175" t="s">
        <v>101</v>
      </c>
      <c r="AK22" s="174">
        <v>2</v>
      </c>
      <c r="AL22" s="175">
        <v>60</v>
      </c>
      <c r="AM22" s="175" t="s">
        <v>103</v>
      </c>
      <c r="AN22" s="196">
        <f t="shared" si="7"/>
        <v>2.5</v>
      </c>
      <c r="AO22" s="205">
        <v>20</v>
      </c>
      <c r="AP22" s="205">
        <v>80</v>
      </c>
      <c r="AQ22" s="205">
        <v>45</v>
      </c>
      <c r="AR22" s="205">
        <v>35</v>
      </c>
      <c r="AS22" s="205">
        <v>24</v>
      </c>
      <c r="AT22" s="206">
        <f t="shared" si="8"/>
        <v>237504.40461138837</v>
      </c>
      <c r="AU22" s="205"/>
      <c r="AV22" s="174" t="s">
        <v>101</v>
      </c>
      <c r="AW22" s="174">
        <v>2</v>
      </c>
      <c r="AX22" s="175">
        <v>40</v>
      </c>
      <c r="AY22" s="175" t="s">
        <v>103</v>
      </c>
      <c r="AZ22" s="196">
        <f t="shared" si="9"/>
        <v>2.5</v>
      </c>
      <c r="BA22" s="205">
        <v>20</v>
      </c>
      <c r="BB22" s="199"/>
      <c r="BC22" s="207"/>
      <c r="BD22" s="207"/>
      <c r="BE22" s="207"/>
      <c r="BF22" s="97"/>
      <c r="BG22" s="97"/>
      <c r="BH22" s="97"/>
      <c r="BI22" s="97"/>
      <c r="BJ22" s="97"/>
      <c r="BK22" s="28"/>
      <c r="BL22" s="272"/>
      <c r="BM22" s="268"/>
      <c r="BN22" s="303"/>
      <c r="BP22" s="96" t="s">
        <v>343</v>
      </c>
      <c r="BQ22" s="96" t="s">
        <v>343</v>
      </c>
      <c r="BR22" s="96" t="s">
        <v>343</v>
      </c>
      <c r="BS22" s="96" t="s">
        <v>343</v>
      </c>
      <c r="BT22" s="96" t="s">
        <v>343</v>
      </c>
      <c r="BU22" s="96" t="s">
        <v>343</v>
      </c>
      <c r="BV22" s="96" t="s">
        <v>343</v>
      </c>
      <c r="BW22" s="96" t="s">
        <v>343</v>
      </c>
      <c r="BX22" s="96" t="s">
        <v>343</v>
      </c>
      <c r="BY22" s="96" t="s">
        <v>343</v>
      </c>
      <c r="BZ22" s="96" t="s">
        <v>343</v>
      </c>
      <c r="CA22" s="96" t="s">
        <v>343</v>
      </c>
      <c r="CB22" s="30"/>
      <c r="CC22" s="30"/>
      <c r="CD22" s="30"/>
      <c r="CE22" s="30"/>
      <c r="CF22" s="98"/>
      <c r="CG22" s="98"/>
      <c r="CH22" s="98"/>
      <c r="CI22" s="98"/>
      <c r="CJ22" s="98"/>
      <c r="CK22" s="98"/>
      <c r="CL22" s="98"/>
      <c r="CM22" s="98"/>
      <c r="CN22" s="32"/>
      <c r="CO22" s="98"/>
      <c r="CP22" s="116"/>
      <c r="CQ22" s="297" t="s">
        <v>104</v>
      </c>
      <c r="CR22" s="116"/>
      <c r="CS22" s="116">
        <v>0</v>
      </c>
      <c r="CT22" s="30"/>
      <c r="CU22" s="48"/>
      <c r="CV22" s="48"/>
      <c r="CW22" s="48"/>
      <c r="CX22" s="48"/>
      <c r="CY22" s="48"/>
      <c r="CZ22" s="184"/>
      <c r="DA22" s="30"/>
      <c r="DB22" s="30"/>
      <c r="DC22" s="30"/>
    </row>
    <row r="23" spans="1:107" ht="14" x14ac:dyDescent="0.15">
      <c r="A23" s="200">
        <v>1</v>
      </c>
      <c r="B23" s="107" t="s">
        <v>99</v>
      </c>
      <c r="C23" s="200" t="s">
        <v>127</v>
      </c>
      <c r="D23" s="201">
        <v>868</v>
      </c>
      <c r="E23" s="84">
        <v>14.7</v>
      </c>
      <c r="F23" s="68" t="s">
        <v>101</v>
      </c>
      <c r="G23" s="68">
        <v>2</v>
      </c>
      <c r="H23" s="202">
        <v>80</v>
      </c>
      <c r="I23" s="202">
        <v>45</v>
      </c>
      <c r="J23" s="202">
        <v>25</v>
      </c>
      <c r="K23" s="202">
        <v>25</v>
      </c>
      <c r="L23" s="203">
        <f t="shared" si="1"/>
        <v>176714.58676442585</v>
      </c>
      <c r="M23" s="84">
        <v>14.7</v>
      </c>
      <c r="N23" s="84">
        <v>14.7</v>
      </c>
      <c r="O23" s="84">
        <v>14.8</v>
      </c>
      <c r="P23" s="204">
        <v>15</v>
      </c>
      <c r="Q23" s="204">
        <v>15</v>
      </c>
      <c r="R23" s="204">
        <v>15.15</v>
      </c>
      <c r="S23" s="84">
        <v>15.15</v>
      </c>
      <c r="T23" s="85">
        <v>15.15</v>
      </c>
      <c r="U23" s="85">
        <v>15.19</v>
      </c>
      <c r="V23" s="85">
        <v>15.26</v>
      </c>
      <c r="W23" s="85">
        <v>15.4</v>
      </c>
      <c r="X23" s="83">
        <v>15.6</v>
      </c>
      <c r="Y23" s="281">
        <v>15.6</v>
      </c>
      <c r="Z23" s="177">
        <f t="shared" si="2"/>
        <v>0.90000000000000036</v>
      </c>
      <c r="AA23" s="178">
        <f t="shared" si="0"/>
        <v>6.1224489795918394E-2</v>
      </c>
      <c r="AB23" s="177">
        <f t="shared" si="3"/>
        <v>0.45000000000000018</v>
      </c>
      <c r="AC23" s="178">
        <f t="shared" si="4"/>
        <v>6.1224489795918394E-2</v>
      </c>
      <c r="AD23" s="179">
        <f t="shared" si="5"/>
        <v>0.14873058000000006</v>
      </c>
      <c r="AE23" s="178">
        <f t="shared" si="6"/>
        <v>0.12745939192003339</v>
      </c>
      <c r="AF23"/>
      <c r="AG23"/>
      <c r="AH23" s="175">
        <v>2</v>
      </c>
      <c r="AI23" s="175">
        <v>1</v>
      </c>
      <c r="AJ23" s="175" t="s">
        <v>101</v>
      </c>
      <c r="AK23" s="174">
        <v>2</v>
      </c>
      <c r="AL23" s="175">
        <v>40</v>
      </c>
      <c r="AM23" s="175" t="s">
        <v>103</v>
      </c>
      <c r="AN23" s="196">
        <f t="shared" si="7"/>
        <v>2.5</v>
      </c>
      <c r="AO23" s="205">
        <v>10</v>
      </c>
      <c r="AP23" s="205">
        <v>85</v>
      </c>
      <c r="AQ23" s="205">
        <v>35</v>
      </c>
      <c r="AR23" s="205">
        <v>37</v>
      </c>
      <c r="AS23" s="205">
        <v>28</v>
      </c>
      <c r="AT23" s="206">
        <f t="shared" si="8"/>
        <v>242067.56794072752</v>
      </c>
      <c r="AU23" s="205"/>
      <c r="AV23" s="174" t="s">
        <v>102</v>
      </c>
      <c r="AW23" s="174">
        <v>1</v>
      </c>
      <c r="AX23" s="175">
        <v>40</v>
      </c>
      <c r="AY23" s="175" t="s">
        <v>103</v>
      </c>
      <c r="AZ23" s="196">
        <f t="shared" si="9"/>
        <v>2.5</v>
      </c>
      <c r="BA23" s="205">
        <v>20</v>
      </c>
      <c r="BB23" s="199"/>
      <c r="BC23" s="207"/>
      <c r="BD23" s="207"/>
      <c r="BE23" s="207"/>
      <c r="BF23" s="97"/>
      <c r="BG23" s="97"/>
      <c r="BH23" s="97"/>
      <c r="BI23" s="97"/>
      <c r="BJ23" s="97"/>
      <c r="BK23" s="28"/>
      <c r="BL23" s="272"/>
      <c r="BM23" s="268"/>
      <c r="BN23" s="303"/>
      <c r="BP23" s="96" t="s">
        <v>343</v>
      </c>
      <c r="BQ23" s="96" t="s">
        <v>343</v>
      </c>
      <c r="BR23" s="96" t="s">
        <v>343</v>
      </c>
      <c r="BS23" s="96" t="s">
        <v>343</v>
      </c>
      <c r="BT23" s="96" t="s">
        <v>343</v>
      </c>
      <c r="BU23" s="96" t="s">
        <v>343</v>
      </c>
      <c r="BV23" s="96" t="s">
        <v>343</v>
      </c>
      <c r="BW23" s="96" t="s">
        <v>343</v>
      </c>
      <c r="BX23" s="96" t="s">
        <v>343</v>
      </c>
      <c r="BY23" s="96" t="s">
        <v>343</v>
      </c>
      <c r="BZ23" s="96" t="s">
        <v>343</v>
      </c>
      <c r="CA23" s="96" t="s">
        <v>343</v>
      </c>
      <c r="CB23" s="30"/>
      <c r="CC23" s="30"/>
      <c r="CD23" s="30"/>
      <c r="CE23" s="30"/>
      <c r="CF23" s="98"/>
      <c r="CG23" s="98"/>
      <c r="CH23" s="98"/>
      <c r="CI23" s="98"/>
      <c r="CJ23" s="98"/>
      <c r="CK23" s="98"/>
      <c r="CL23" s="98"/>
      <c r="CM23" s="98"/>
      <c r="CN23" s="32"/>
      <c r="CO23" s="98"/>
      <c r="CP23" s="116"/>
      <c r="CQ23" s="297" t="s">
        <v>104</v>
      </c>
      <c r="CR23" s="116"/>
      <c r="CS23" s="116">
        <v>0</v>
      </c>
      <c r="CT23" s="30"/>
      <c r="CU23" s="48"/>
      <c r="CV23" s="48"/>
      <c r="CW23" s="48"/>
      <c r="CX23" s="48"/>
      <c r="CY23" s="48"/>
      <c r="CZ23" s="184"/>
      <c r="DA23" s="30"/>
      <c r="DB23" s="30"/>
      <c r="DC23" s="30"/>
    </row>
    <row r="24" spans="1:107" ht="14" x14ac:dyDescent="0.15">
      <c r="A24" s="200">
        <v>1</v>
      </c>
      <c r="B24" s="107" t="s">
        <v>99</v>
      </c>
      <c r="C24" s="200" t="s">
        <v>128</v>
      </c>
      <c r="D24" s="201">
        <v>869</v>
      </c>
      <c r="E24" s="84">
        <v>13.6</v>
      </c>
      <c r="F24" s="68" t="s">
        <v>101</v>
      </c>
      <c r="G24" s="68">
        <v>2</v>
      </c>
      <c r="H24" s="202">
        <v>75</v>
      </c>
      <c r="I24" s="202">
        <v>40</v>
      </c>
      <c r="J24" s="202">
        <v>22</v>
      </c>
      <c r="K24" s="202">
        <v>18</v>
      </c>
      <c r="L24" s="203">
        <f t="shared" si="1"/>
        <v>93305.301811616868</v>
      </c>
      <c r="M24" s="84">
        <v>13.6</v>
      </c>
      <c r="N24" s="84">
        <v>13.7</v>
      </c>
      <c r="O24" s="84">
        <v>13.8</v>
      </c>
      <c r="P24" s="84">
        <v>13.9</v>
      </c>
      <c r="Q24" s="204">
        <v>14</v>
      </c>
      <c r="R24" s="204">
        <v>14</v>
      </c>
      <c r="S24" s="84">
        <v>14</v>
      </c>
      <c r="T24" s="85">
        <v>14.04</v>
      </c>
      <c r="U24" s="85">
        <v>14.11</v>
      </c>
      <c r="V24" s="85">
        <v>14.11</v>
      </c>
      <c r="W24" s="85">
        <v>14.2</v>
      </c>
      <c r="X24" s="83">
        <v>14.3</v>
      </c>
      <c r="Y24" s="281">
        <v>14.4</v>
      </c>
      <c r="Z24" s="177">
        <f t="shared" si="2"/>
        <v>0.70000000000000107</v>
      </c>
      <c r="AA24" s="178">
        <f t="shared" si="0"/>
        <v>5.1470588235294198E-2</v>
      </c>
      <c r="AB24" s="177">
        <f t="shared" si="3"/>
        <v>0.35000000000000053</v>
      </c>
      <c r="AC24" s="178">
        <f t="shared" si="4"/>
        <v>5.1470588235294198E-2</v>
      </c>
      <c r="AD24" s="179">
        <f t="shared" si="5"/>
        <v>0.10651662000000006</v>
      </c>
      <c r="AE24" s="178">
        <f t="shared" si="6"/>
        <v>0.10664630190311426</v>
      </c>
      <c r="AF24"/>
      <c r="AG24"/>
      <c r="AH24" s="175">
        <v>2</v>
      </c>
      <c r="AI24" s="175">
        <v>1</v>
      </c>
      <c r="AJ24" s="175" t="s">
        <v>102</v>
      </c>
      <c r="AK24" s="174">
        <v>1</v>
      </c>
      <c r="AL24" s="175">
        <v>40</v>
      </c>
      <c r="AM24" s="175" t="s">
        <v>103</v>
      </c>
      <c r="AN24" s="196">
        <f t="shared" si="7"/>
        <v>2.5</v>
      </c>
      <c r="AO24" s="205">
        <v>10</v>
      </c>
      <c r="AP24" s="205">
        <v>80</v>
      </c>
      <c r="AQ24" s="205">
        <v>45</v>
      </c>
      <c r="AR24" s="205">
        <v>33</v>
      </c>
      <c r="AS24" s="205">
        <v>26</v>
      </c>
      <c r="AT24" s="206">
        <f t="shared" si="8"/>
        <v>242593.78471020385</v>
      </c>
      <c r="AU24" s="205"/>
      <c r="AV24" s="174" t="s">
        <v>102</v>
      </c>
      <c r="AW24" s="174">
        <v>1</v>
      </c>
      <c r="AX24" s="175">
        <v>4</v>
      </c>
      <c r="AY24" s="175" t="s">
        <v>103</v>
      </c>
      <c r="AZ24" s="196">
        <f t="shared" si="9"/>
        <v>2.5</v>
      </c>
      <c r="BA24" s="205">
        <v>15</v>
      </c>
      <c r="BB24" s="199"/>
      <c r="BC24" s="207"/>
      <c r="BD24" s="207"/>
      <c r="BE24" s="207"/>
      <c r="BF24" s="97"/>
      <c r="BG24" s="97"/>
      <c r="BH24" s="97"/>
      <c r="BI24" s="97"/>
      <c r="BJ24" s="97"/>
      <c r="BK24" s="28"/>
      <c r="BL24" s="272"/>
      <c r="BM24" s="268"/>
      <c r="BN24" s="303"/>
      <c r="BP24" s="96" t="s">
        <v>343</v>
      </c>
      <c r="BQ24" s="96" t="s">
        <v>343</v>
      </c>
      <c r="BR24" s="96" t="s">
        <v>343</v>
      </c>
      <c r="BS24" s="96" t="s">
        <v>343</v>
      </c>
      <c r="BT24" s="96" t="s">
        <v>343</v>
      </c>
      <c r="BU24" s="96" t="s">
        <v>343</v>
      </c>
      <c r="BV24" s="96" t="s">
        <v>343</v>
      </c>
      <c r="BW24" s="96" t="s">
        <v>343</v>
      </c>
      <c r="BX24" s="96" t="s">
        <v>343</v>
      </c>
      <c r="BY24" s="96" t="s">
        <v>343</v>
      </c>
      <c r="BZ24" s="96" t="s">
        <v>343</v>
      </c>
      <c r="CA24" s="96" t="s">
        <v>343</v>
      </c>
      <c r="CB24" s="30"/>
      <c r="CC24" s="30"/>
      <c r="CD24" s="30"/>
      <c r="CE24" s="30"/>
      <c r="CF24" s="98"/>
      <c r="CG24" s="98"/>
      <c r="CH24" s="98"/>
      <c r="CI24" s="98"/>
      <c r="CJ24" s="98"/>
      <c r="CK24" s="98"/>
      <c r="CL24" s="98"/>
      <c r="CM24" s="98"/>
      <c r="CN24" s="32"/>
      <c r="CO24" s="98"/>
      <c r="CP24" s="116"/>
      <c r="CQ24" s="297" t="s">
        <v>104</v>
      </c>
      <c r="CR24" s="116"/>
      <c r="CS24" s="116">
        <v>0</v>
      </c>
      <c r="CT24" s="30"/>
      <c r="CU24" s="48"/>
      <c r="CV24" s="48"/>
      <c r="CW24" s="48"/>
      <c r="CX24" s="48"/>
      <c r="CY24" s="48"/>
      <c r="CZ24" s="184"/>
      <c r="DA24" s="30"/>
      <c r="DB24" s="30"/>
      <c r="DC24" s="30"/>
    </row>
    <row r="25" spans="1:107" ht="14" x14ac:dyDescent="0.15">
      <c r="A25" s="200">
        <v>1</v>
      </c>
      <c r="B25" s="107" t="s">
        <v>99</v>
      </c>
      <c r="C25" s="200" t="s">
        <v>129</v>
      </c>
      <c r="D25" s="201">
        <v>872</v>
      </c>
      <c r="E25" s="84">
        <v>12</v>
      </c>
      <c r="F25" s="68" t="s">
        <v>101</v>
      </c>
      <c r="G25" s="68">
        <v>2</v>
      </c>
      <c r="H25" s="202">
        <v>75</v>
      </c>
      <c r="I25" s="202">
        <v>35</v>
      </c>
      <c r="J25" s="202">
        <v>25</v>
      </c>
      <c r="K25" s="202">
        <v>15</v>
      </c>
      <c r="L25" s="203">
        <f t="shared" si="1"/>
        <v>77312.631709436318</v>
      </c>
      <c r="M25" s="84">
        <v>12</v>
      </c>
      <c r="N25" s="84">
        <v>12.1</v>
      </c>
      <c r="O25" s="84">
        <v>12.2</v>
      </c>
      <c r="P25" s="204">
        <v>12.4</v>
      </c>
      <c r="Q25" s="204">
        <v>12.4</v>
      </c>
      <c r="R25" s="204">
        <v>12.55</v>
      </c>
      <c r="S25" s="84">
        <v>12.5</v>
      </c>
      <c r="T25" s="85">
        <v>12.52</v>
      </c>
      <c r="U25" s="85">
        <v>12.56</v>
      </c>
      <c r="V25" s="85">
        <v>12.64</v>
      </c>
      <c r="W25" s="85">
        <v>12.74</v>
      </c>
      <c r="X25" s="83">
        <v>12.9</v>
      </c>
      <c r="Y25" s="281">
        <v>13</v>
      </c>
      <c r="Z25" s="177">
        <f t="shared" si="2"/>
        <v>0.90000000000000036</v>
      </c>
      <c r="AA25" s="178">
        <f t="shared" si="0"/>
        <v>7.5000000000000025E-2</v>
      </c>
      <c r="AB25" s="177">
        <f t="shared" si="3"/>
        <v>0.45000000000000018</v>
      </c>
      <c r="AC25" s="178">
        <f t="shared" si="4"/>
        <v>7.5000000000000025E-2</v>
      </c>
      <c r="AD25" s="179">
        <f t="shared" si="5"/>
        <v>0.12222413999999993</v>
      </c>
      <c r="AE25" s="178">
        <f t="shared" si="6"/>
        <v>0.15718124999999988</v>
      </c>
      <c r="AF25"/>
      <c r="AG25"/>
      <c r="AH25" s="175">
        <v>2</v>
      </c>
      <c r="AI25" s="175">
        <v>1</v>
      </c>
      <c r="AJ25" s="175" t="s">
        <v>101</v>
      </c>
      <c r="AK25" s="174">
        <v>2</v>
      </c>
      <c r="AL25" s="175">
        <v>50</v>
      </c>
      <c r="AM25" s="175" t="s">
        <v>103</v>
      </c>
      <c r="AN25" s="196">
        <f t="shared" si="7"/>
        <v>2.5</v>
      </c>
      <c r="AO25" s="205">
        <v>30</v>
      </c>
      <c r="AP25" s="205">
        <v>80</v>
      </c>
      <c r="AQ25" s="205">
        <v>50</v>
      </c>
      <c r="AR25" s="205">
        <v>32</v>
      </c>
      <c r="AS25" s="205">
        <v>21</v>
      </c>
      <c r="AT25" s="206">
        <f t="shared" si="8"/>
        <v>211115.02632123412</v>
      </c>
      <c r="AU25" s="205"/>
      <c r="AV25" s="174" t="s">
        <v>101</v>
      </c>
      <c r="AW25" s="174">
        <v>2</v>
      </c>
      <c r="AX25" s="175">
        <v>35</v>
      </c>
      <c r="AY25" s="175" t="s">
        <v>103</v>
      </c>
      <c r="AZ25" s="196">
        <f t="shared" si="9"/>
        <v>2.5</v>
      </c>
      <c r="BA25" s="205">
        <v>15</v>
      </c>
      <c r="BB25" s="199"/>
      <c r="BC25" s="207"/>
      <c r="BD25" s="207"/>
      <c r="BE25" s="207"/>
      <c r="BF25" s="97"/>
      <c r="BG25" s="97"/>
      <c r="BH25" s="97"/>
      <c r="BI25" s="97"/>
      <c r="BJ25" s="97"/>
      <c r="BK25" s="28"/>
      <c r="BL25" s="272"/>
      <c r="BM25" s="268"/>
      <c r="BN25" s="303"/>
      <c r="BP25" s="96" t="s">
        <v>343</v>
      </c>
      <c r="BQ25" s="96" t="s">
        <v>343</v>
      </c>
      <c r="BR25" s="96" t="s">
        <v>343</v>
      </c>
      <c r="BS25" s="96" t="s">
        <v>343</v>
      </c>
      <c r="BT25" s="96" t="s">
        <v>343</v>
      </c>
      <c r="BU25" s="96" t="s">
        <v>343</v>
      </c>
      <c r="BV25" s="96" t="s">
        <v>343</v>
      </c>
      <c r="BW25" s="96" t="s">
        <v>343</v>
      </c>
      <c r="BX25" s="96" t="s">
        <v>343</v>
      </c>
      <c r="BY25" s="96" t="s">
        <v>343</v>
      </c>
      <c r="BZ25" s="96" t="s">
        <v>343</v>
      </c>
      <c r="CA25" s="96" t="s">
        <v>343</v>
      </c>
      <c r="CB25" s="30"/>
      <c r="CC25" s="30"/>
      <c r="CD25" s="30"/>
      <c r="CE25" s="30"/>
      <c r="CF25" s="98"/>
      <c r="CG25" s="98"/>
      <c r="CH25" s="98"/>
      <c r="CI25" s="98"/>
      <c r="CJ25" s="98"/>
      <c r="CK25" s="98"/>
      <c r="CL25" s="98"/>
      <c r="CM25" s="98"/>
      <c r="CN25" s="32"/>
      <c r="CO25" s="98"/>
      <c r="CP25" s="116"/>
      <c r="CQ25" s="297" t="s">
        <v>104</v>
      </c>
      <c r="CR25" s="116"/>
      <c r="CS25" s="116">
        <v>0</v>
      </c>
      <c r="CT25" s="30"/>
      <c r="CU25" s="48"/>
      <c r="CV25" s="48"/>
      <c r="CW25" s="48"/>
      <c r="CX25" s="48"/>
      <c r="CY25" s="48"/>
      <c r="CZ25" s="184"/>
      <c r="DA25" s="30"/>
      <c r="DB25" s="30"/>
      <c r="DC25" s="30"/>
    </row>
    <row r="26" spans="1:107" ht="14" x14ac:dyDescent="0.15">
      <c r="A26" s="200">
        <v>1</v>
      </c>
      <c r="B26" s="107" t="s">
        <v>99</v>
      </c>
      <c r="C26" s="200" t="s">
        <v>130</v>
      </c>
      <c r="D26" s="201">
        <v>876</v>
      </c>
      <c r="E26" s="84">
        <v>12.8</v>
      </c>
      <c r="F26" s="68" t="s">
        <v>101</v>
      </c>
      <c r="G26" s="68">
        <v>2</v>
      </c>
      <c r="H26" s="202">
        <v>72</v>
      </c>
      <c r="I26" s="202">
        <v>35</v>
      </c>
      <c r="J26" s="202">
        <v>20</v>
      </c>
      <c r="K26" s="202">
        <v>12</v>
      </c>
      <c r="L26" s="203">
        <f t="shared" si="1"/>
        <v>47500.880922277669</v>
      </c>
      <c r="M26" s="84">
        <v>12.8</v>
      </c>
      <c r="N26" s="84">
        <v>12.7</v>
      </c>
      <c r="O26" s="84">
        <v>12.8</v>
      </c>
      <c r="P26" s="204">
        <v>12.9</v>
      </c>
      <c r="Q26" s="204">
        <v>13</v>
      </c>
      <c r="R26" s="204">
        <v>13.1</v>
      </c>
      <c r="S26" s="84">
        <v>13</v>
      </c>
      <c r="T26" s="85">
        <v>13.05</v>
      </c>
      <c r="U26" s="85">
        <v>13.06</v>
      </c>
      <c r="V26" s="85">
        <v>13.15</v>
      </c>
      <c r="W26" s="85">
        <v>13.16</v>
      </c>
      <c r="X26" s="83">
        <v>13.3</v>
      </c>
      <c r="Y26" s="281">
        <v>13.3</v>
      </c>
      <c r="Z26" s="177">
        <f t="shared" si="2"/>
        <v>0.5</v>
      </c>
      <c r="AA26" s="178">
        <f t="shared" si="0"/>
        <v>3.90625E-2</v>
      </c>
      <c r="AB26" s="177">
        <f t="shared" si="3"/>
        <v>0.25</v>
      </c>
      <c r="AC26" s="178">
        <f t="shared" si="4"/>
        <v>3.90625E-2</v>
      </c>
      <c r="AD26" s="179">
        <f t="shared" si="5"/>
        <v>7.1174699999999813E-2</v>
      </c>
      <c r="AE26" s="178">
        <f t="shared" si="6"/>
        <v>8.0447387695312275E-2</v>
      </c>
      <c r="AF26"/>
      <c r="AG26"/>
      <c r="AH26" s="175">
        <v>1</v>
      </c>
      <c r="AI26" s="175">
        <v>1</v>
      </c>
      <c r="AJ26" s="175" t="s">
        <v>101</v>
      </c>
      <c r="AK26" s="174">
        <v>2</v>
      </c>
      <c r="AL26" s="175">
        <v>45</v>
      </c>
      <c r="AM26" s="175" t="s">
        <v>103</v>
      </c>
      <c r="AN26" s="196">
        <f t="shared" si="7"/>
        <v>2.5</v>
      </c>
      <c r="AO26" s="205">
        <v>20</v>
      </c>
      <c r="AP26" s="205">
        <v>80</v>
      </c>
      <c r="AQ26" s="205">
        <v>55</v>
      </c>
      <c r="AR26" s="205">
        <v>27</v>
      </c>
      <c r="AS26" s="205">
        <v>17</v>
      </c>
      <c r="AT26" s="206">
        <f t="shared" si="8"/>
        <v>158619.01307974866</v>
      </c>
      <c r="AU26" s="205"/>
      <c r="AV26" s="174" t="s">
        <v>101</v>
      </c>
      <c r="AW26" s="174">
        <v>2</v>
      </c>
      <c r="AX26" s="175">
        <v>35</v>
      </c>
      <c r="AY26" s="175" t="s">
        <v>103</v>
      </c>
      <c r="AZ26" s="196">
        <f t="shared" si="9"/>
        <v>2.5</v>
      </c>
      <c r="BA26" s="205">
        <v>15</v>
      </c>
      <c r="BB26" s="199"/>
      <c r="BC26" s="207"/>
      <c r="BD26" s="207"/>
      <c r="BE26" s="207"/>
      <c r="BF26" s="97"/>
      <c r="BG26" s="97"/>
      <c r="BH26" s="97"/>
      <c r="BI26" s="97"/>
      <c r="BJ26" s="97"/>
      <c r="BK26" s="28"/>
      <c r="BL26" s="272"/>
      <c r="BM26" s="268"/>
      <c r="BN26" s="303"/>
      <c r="BP26" s="96" t="s">
        <v>343</v>
      </c>
      <c r="BQ26" s="96" t="s">
        <v>343</v>
      </c>
      <c r="BR26" s="96" t="s">
        <v>343</v>
      </c>
      <c r="BS26" s="96" t="s">
        <v>343</v>
      </c>
      <c r="BT26" s="96" t="s">
        <v>343</v>
      </c>
      <c r="BU26" s="96" t="s">
        <v>343</v>
      </c>
      <c r="BV26" s="96" t="s">
        <v>343</v>
      </c>
      <c r="BW26" s="96" t="s">
        <v>343</v>
      </c>
      <c r="BX26" s="96" t="s">
        <v>343</v>
      </c>
      <c r="BY26" s="96" t="s">
        <v>343</v>
      </c>
      <c r="BZ26" s="96" t="s">
        <v>343</v>
      </c>
      <c r="CA26" s="96" t="s">
        <v>343</v>
      </c>
      <c r="CB26" s="30"/>
      <c r="CC26" s="30"/>
      <c r="CD26" s="30"/>
      <c r="CE26" s="30"/>
      <c r="CF26" s="98"/>
      <c r="CG26" s="98"/>
      <c r="CH26" s="98"/>
      <c r="CI26" s="98"/>
      <c r="CJ26" s="98"/>
      <c r="CK26" s="98"/>
      <c r="CL26" s="98"/>
      <c r="CM26" s="98"/>
      <c r="CN26" s="32"/>
      <c r="CO26" s="98"/>
      <c r="CP26" s="116"/>
      <c r="CQ26" s="297" t="s">
        <v>104</v>
      </c>
      <c r="CR26" s="116"/>
      <c r="CS26" s="116">
        <v>0</v>
      </c>
      <c r="CT26" s="30"/>
      <c r="CU26" s="48"/>
      <c r="CV26" s="48"/>
      <c r="CW26" s="48"/>
      <c r="CX26" s="48"/>
      <c r="CY26" s="48"/>
      <c r="CZ26" s="184"/>
      <c r="DA26" s="30"/>
      <c r="DB26" s="30"/>
      <c r="DC26" s="30"/>
    </row>
    <row r="27" spans="1:107" ht="14" x14ac:dyDescent="0.15">
      <c r="A27" s="200">
        <v>1</v>
      </c>
      <c r="B27" s="107" t="s">
        <v>99</v>
      </c>
      <c r="C27" s="200" t="s">
        <v>131</v>
      </c>
      <c r="D27" s="201">
        <v>881</v>
      </c>
      <c r="E27" s="84">
        <v>16.3</v>
      </c>
      <c r="F27" s="68" t="s">
        <v>102</v>
      </c>
      <c r="G27" s="68">
        <v>1</v>
      </c>
      <c r="H27" s="202">
        <v>85</v>
      </c>
      <c r="I27" s="202">
        <v>40</v>
      </c>
      <c r="J27" s="202">
        <v>40</v>
      </c>
      <c r="K27" s="202">
        <v>38</v>
      </c>
      <c r="L27" s="203">
        <f t="shared" si="1"/>
        <v>405893.77084380126</v>
      </c>
      <c r="M27" s="84">
        <v>16.3</v>
      </c>
      <c r="N27" s="84">
        <v>16.600000000000001</v>
      </c>
      <c r="O27" s="84">
        <v>16.7</v>
      </c>
      <c r="P27" s="84">
        <v>17</v>
      </c>
      <c r="Q27" s="204">
        <v>17.2</v>
      </c>
      <c r="R27" s="204">
        <v>17.350000000000001</v>
      </c>
      <c r="S27" s="84">
        <v>17.45</v>
      </c>
      <c r="T27" s="85">
        <v>17.53</v>
      </c>
      <c r="U27" s="85">
        <v>17.63</v>
      </c>
      <c r="V27" s="85">
        <v>17.72</v>
      </c>
      <c r="W27" s="85">
        <v>17.86</v>
      </c>
      <c r="X27" s="83">
        <v>18</v>
      </c>
      <c r="Y27" s="281">
        <v>18.2</v>
      </c>
      <c r="Z27" s="177">
        <f t="shared" si="2"/>
        <v>1.6999999999999993</v>
      </c>
      <c r="AA27" s="178">
        <f t="shared" si="0"/>
        <v>0.10429447852760731</v>
      </c>
      <c r="AB27" s="177">
        <f t="shared" si="3"/>
        <v>0.84999999999999964</v>
      </c>
      <c r="AC27" s="178">
        <f t="shared" si="4"/>
        <v>0.10429447852760731</v>
      </c>
      <c r="AD27" s="179">
        <f t="shared" si="5"/>
        <v>0.31802273999999997</v>
      </c>
      <c r="AE27" s="178">
        <f t="shared" si="6"/>
        <v>0.22166095825962584</v>
      </c>
      <c r="AF27"/>
      <c r="AG27"/>
      <c r="AH27" s="175">
        <v>1</v>
      </c>
      <c r="AI27" s="175">
        <v>1</v>
      </c>
      <c r="AJ27" s="175" t="s">
        <v>102</v>
      </c>
      <c r="AK27" s="174">
        <v>1</v>
      </c>
      <c r="AL27" s="175">
        <v>70</v>
      </c>
      <c r="AM27" s="175" t="s">
        <v>103</v>
      </c>
      <c r="AN27" s="196">
        <f t="shared" si="7"/>
        <v>2.5</v>
      </c>
      <c r="AO27" s="205">
        <v>30</v>
      </c>
      <c r="AP27" s="205">
        <v>85</v>
      </c>
      <c r="AQ27" s="205">
        <v>65</v>
      </c>
      <c r="AR27" s="205">
        <v>44</v>
      </c>
      <c r="AS27" s="205">
        <v>45</v>
      </c>
      <c r="AT27" s="206">
        <f t="shared" si="8"/>
        <v>859186.32084863854</v>
      </c>
      <c r="AU27" s="205"/>
      <c r="AV27" s="174" t="s">
        <v>101</v>
      </c>
      <c r="AW27" s="174">
        <v>2</v>
      </c>
      <c r="AX27" s="175">
        <v>55</v>
      </c>
      <c r="AY27" s="175" t="s">
        <v>103</v>
      </c>
      <c r="AZ27" s="196">
        <f t="shared" si="9"/>
        <v>2.5</v>
      </c>
      <c r="BA27" s="205">
        <v>20</v>
      </c>
      <c r="BB27" s="199"/>
      <c r="BC27" s="207"/>
      <c r="BD27" s="207"/>
      <c r="BE27" s="207"/>
      <c r="BF27" s="97"/>
      <c r="BG27" s="97"/>
      <c r="BH27" s="97"/>
      <c r="BI27" s="97"/>
      <c r="BJ27" s="97"/>
      <c r="BK27" s="28"/>
      <c r="BL27" s="272"/>
      <c r="BM27" s="268"/>
      <c r="BN27" s="303"/>
      <c r="BP27" s="96" t="s">
        <v>343</v>
      </c>
      <c r="BQ27" s="96" t="s">
        <v>343</v>
      </c>
      <c r="BR27" s="96" t="s">
        <v>343</v>
      </c>
      <c r="BS27" s="96" t="s">
        <v>343</v>
      </c>
      <c r="BT27" s="96" t="s">
        <v>343</v>
      </c>
      <c r="BU27" s="96" t="s">
        <v>343</v>
      </c>
      <c r="BV27" s="96" t="s">
        <v>343</v>
      </c>
      <c r="BW27" s="96" t="s">
        <v>343</v>
      </c>
      <c r="BX27" s="96" t="s">
        <v>343</v>
      </c>
      <c r="BY27" s="96" t="s">
        <v>343</v>
      </c>
      <c r="BZ27" s="96" t="s">
        <v>343</v>
      </c>
      <c r="CA27" s="96" t="s">
        <v>343</v>
      </c>
      <c r="CB27" s="30"/>
      <c r="CC27" s="30"/>
      <c r="CD27" s="30"/>
      <c r="CE27" s="30"/>
      <c r="CF27" s="98"/>
      <c r="CG27" s="98"/>
      <c r="CH27" s="98"/>
      <c r="CI27" s="98"/>
      <c r="CJ27" s="98"/>
      <c r="CK27" s="98"/>
      <c r="CL27" s="98"/>
      <c r="CM27" s="98"/>
      <c r="CN27" s="32"/>
      <c r="CO27" s="98"/>
      <c r="CP27" s="116"/>
      <c r="CQ27" s="297" t="s">
        <v>104</v>
      </c>
      <c r="CR27" s="116"/>
      <c r="CS27" s="116">
        <v>0</v>
      </c>
      <c r="CT27" s="30"/>
      <c r="CU27" s="48"/>
      <c r="CV27" s="48"/>
      <c r="CW27" s="48"/>
      <c r="CX27" s="48"/>
      <c r="CY27" s="48"/>
      <c r="CZ27" s="184"/>
      <c r="DA27" s="30"/>
      <c r="DB27" s="30"/>
      <c r="DC27" s="30"/>
    </row>
    <row r="28" spans="1:107" ht="14" x14ac:dyDescent="0.15">
      <c r="A28" s="200">
        <v>1</v>
      </c>
      <c r="B28" s="107" t="s">
        <v>99</v>
      </c>
      <c r="C28" s="200" t="s">
        <v>132</v>
      </c>
      <c r="D28" s="201">
        <v>882</v>
      </c>
      <c r="E28" s="84">
        <v>18.7</v>
      </c>
      <c r="F28" s="68" t="s">
        <v>101</v>
      </c>
      <c r="G28" s="68">
        <v>2</v>
      </c>
      <c r="H28" s="202">
        <v>80</v>
      </c>
      <c r="I28" s="202">
        <v>40</v>
      </c>
      <c r="J28" s="202">
        <v>30</v>
      </c>
      <c r="K28" s="202">
        <v>22</v>
      </c>
      <c r="L28" s="203">
        <f t="shared" si="1"/>
        <v>165876.09210954106</v>
      </c>
      <c r="M28" s="84">
        <v>18.7</v>
      </c>
      <c r="N28" s="84">
        <v>18.399999999999999</v>
      </c>
      <c r="O28" s="84">
        <v>18.7</v>
      </c>
      <c r="P28" s="84">
        <v>18.899999999999999</v>
      </c>
      <c r="Q28" s="204">
        <v>19.100000000000001</v>
      </c>
      <c r="R28" s="204">
        <v>19.2</v>
      </c>
      <c r="S28" s="84">
        <v>19.25</v>
      </c>
      <c r="T28" s="85">
        <v>19.375</v>
      </c>
      <c r="U28" s="85">
        <v>19.52</v>
      </c>
      <c r="V28" s="85">
        <v>19.64</v>
      </c>
      <c r="W28" s="85">
        <v>19.8</v>
      </c>
      <c r="X28" s="83">
        <v>20</v>
      </c>
      <c r="Y28" s="281">
        <v>20.2</v>
      </c>
      <c r="Z28" s="177">
        <f t="shared" si="2"/>
        <v>1.3000000000000007</v>
      </c>
      <c r="AA28" s="178">
        <f t="shared" si="0"/>
        <v>6.9518716577540149E-2</v>
      </c>
      <c r="AB28" s="177">
        <f t="shared" si="3"/>
        <v>0.65000000000000036</v>
      </c>
      <c r="AC28" s="178">
        <f t="shared" si="4"/>
        <v>6.9518716577540149E-2</v>
      </c>
      <c r="AD28" s="179">
        <f t="shared" si="5"/>
        <v>0.27439074000000008</v>
      </c>
      <c r="AE28" s="178">
        <f t="shared" si="6"/>
        <v>0.14530898796076527</v>
      </c>
      <c r="AF28"/>
      <c r="AG28"/>
      <c r="AH28" s="175">
        <v>1</v>
      </c>
      <c r="AI28" s="175">
        <v>1</v>
      </c>
      <c r="AJ28" s="175" t="s">
        <v>102</v>
      </c>
      <c r="AK28" s="174">
        <v>1</v>
      </c>
      <c r="AL28" s="175">
        <v>55</v>
      </c>
      <c r="AM28" s="175" t="s">
        <v>103</v>
      </c>
      <c r="AN28" s="196">
        <f t="shared" si="7"/>
        <v>2.5</v>
      </c>
      <c r="AO28" s="205">
        <v>20</v>
      </c>
      <c r="AP28" s="205">
        <v>85</v>
      </c>
      <c r="AQ28" s="205">
        <v>55</v>
      </c>
      <c r="AR28" s="205">
        <v>49</v>
      </c>
      <c r="AS28" s="205">
        <v>29</v>
      </c>
      <c r="AT28" s="206">
        <f t="shared" si="8"/>
        <v>521753.74441278435</v>
      </c>
      <c r="AU28" s="205"/>
      <c r="AV28" s="174" t="s">
        <v>102</v>
      </c>
      <c r="AW28" s="174">
        <v>1</v>
      </c>
      <c r="AX28" s="175">
        <v>40</v>
      </c>
      <c r="AY28" s="175" t="s">
        <v>103</v>
      </c>
      <c r="AZ28" s="196">
        <f t="shared" si="9"/>
        <v>2.5</v>
      </c>
      <c r="BA28" s="205">
        <v>15</v>
      </c>
      <c r="BB28" s="199"/>
      <c r="BC28" s="207"/>
      <c r="BD28" s="207"/>
      <c r="BE28" s="207"/>
      <c r="BF28" s="97"/>
      <c r="BG28" s="97"/>
      <c r="BH28" s="97"/>
      <c r="BI28" s="97"/>
      <c r="BJ28" s="97"/>
      <c r="BK28" s="28"/>
      <c r="BL28" s="272"/>
      <c r="BM28" s="268"/>
      <c r="BN28" s="303"/>
      <c r="BP28" s="96" t="s">
        <v>343</v>
      </c>
      <c r="BQ28" s="96" t="s">
        <v>343</v>
      </c>
      <c r="BR28" s="96" t="s">
        <v>343</v>
      </c>
      <c r="BS28" s="96" t="s">
        <v>343</v>
      </c>
      <c r="BT28" s="96" t="s">
        <v>343</v>
      </c>
      <c r="BU28" s="96" t="s">
        <v>343</v>
      </c>
      <c r="BV28" s="96" t="s">
        <v>343</v>
      </c>
      <c r="BW28" s="96" t="s">
        <v>343</v>
      </c>
      <c r="BX28" s="96" t="s">
        <v>343</v>
      </c>
      <c r="BY28" s="96" t="s">
        <v>343</v>
      </c>
      <c r="BZ28" s="96" t="s">
        <v>343</v>
      </c>
      <c r="CA28" s="96" t="s">
        <v>343</v>
      </c>
      <c r="CB28" s="30"/>
      <c r="CC28" s="30"/>
      <c r="CD28" s="30"/>
      <c r="CE28" s="30"/>
      <c r="CF28" s="98"/>
      <c r="CG28" s="98"/>
      <c r="CH28" s="98"/>
      <c r="CI28" s="98"/>
      <c r="CJ28" s="98"/>
      <c r="CK28" s="98"/>
      <c r="CL28" s="98"/>
      <c r="CM28" s="98"/>
      <c r="CN28" s="32"/>
      <c r="CO28" s="98"/>
      <c r="CP28" s="116"/>
      <c r="CQ28" s="297" t="s">
        <v>104</v>
      </c>
      <c r="CR28" s="116"/>
      <c r="CS28" s="116">
        <v>0</v>
      </c>
      <c r="CT28" s="30"/>
      <c r="CU28" s="48"/>
      <c r="CV28" s="48"/>
      <c r="CW28" s="48"/>
      <c r="CX28" s="48"/>
      <c r="CY28" s="48"/>
      <c r="CZ28" s="184"/>
      <c r="DA28" s="30"/>
      <c r="DB28" s="30"/>
      <c r="DC28" s="30"/>
    </row>
    <row r="29" spans="1:107" ht="14" x14ac:dyDescent="0.15">
      <c r="A29" s="200">
        <v>1</v>
      </c>
      <c r="B29" s="107" t="s">
        <v>99</v>
      </c>
      <c r="C29" s="200" t="s">
        <v>133</v>
      </c>
      <c r="D29" s="201">
        <v>885</v>
      </c>
      <c r="E29" s="84">
        <v>18.3</v>
      </c>
      <c r="F29" s="68" t="s">
        <v>101</v>
      </c>
      <c r="G29" s="68">
        <v>2</v>
      </c>
      <c r="H29" s="202">
        <v>80</v>
      </c>
      <c r="I29" s="202">
        <v>35</v>
      </c>
      <c r="J29" s="202">
        <v>30</v>
      </c>
      <c r="K29" s="202">
        <v>20</v>
      </c>
      <c r="L29" s="203">
        <f t="shared" si="1"/>
        <v>131946.89145077131</v>
      </c>
      <c r="M29" s="84">
        <v>18.3</v>
      </c>
      <c r="N29" s="84">
        <v>18.399999999999999</v>
      </c>
      <c r="O29" s="84">
        <v>18.7</v>
      </c>
      <c r="P29" s="84">
        <v>18.8</v>
      </c>
      <c r="Q29" s="204">
        <v>18.899999999999999</v>
      </c>
      <c r="R29" s="204">
        <v>19.2</v>
      </c>
      <c r="S29" s="84">
        <v>19.100000000000001</v>
      </c>
      <c r="T29" s="85">
        <v>19.05</v>
      </c>
      <c r="U29" s="85">
        <v>19.12</v>
      </c>
      <c r="V29" s="85">
        <v>19.2</v>
      </c>
      <c r="W29" s="85">
        <v>19.25</v>
      </c>
      <c r="X29" s="83">
        <v>19.3</v>
      </c>
      <c r="Y29" s="281">
        <v>19.7</v>
      </c>
      <c r="Z29" s="177">
        <f t="shared" si="2"/>
        <v>1</v>
      </c>
      <c r="AA29" s="178">
        <f t="shared" si="0"/>
        <v>5.4644808743169397E-2</v>
      </c>
      <c r="AB29" s="177">
        <f t="shared" si="3"/>
        <v>0.5</v>
      </c>
      <c r="AC29" s="178">
        <f t="shared" si="4"/>
        <v>5.4644808743169397E-2</v>
      </c>
      <c r="AD29" s="179">
        <f t="shared" si="5"/>
        <v>0.2050704000000001</v>
      </c>
      <c r="AE29" s="178">
        <f t="shared" si="6"/>
        <v>0.11339842933500555</v>
      </c>
      <c r="AF29"/>
      <c r="AG29"/>
      <c r="AH29" s="175">
        <v>1</v>
      </c>
      <c r="AI29" s="175">
        <v>1</v>
      </c>
      <c r="AJ29" s="175" t="s">
        <v>102</v>
      </c>
      <c r="AK29" s="174">
        <v>1</v>
      </c>
      <c r="AL29" s="175">
        <v>45</v>
      </c>
      <c r="AM29" s="175" t="s">
        <v>103</v>
      </c>
      <c r="AN29" s="196">
        <f t="shared" si="7"/>
        <v>2.5</v>
      </c>
      <c r="AO29" s="205">
        <v>30</v>
      </c>
      <c r="AP29" s="205">
        <v>85</v>
      </c>
      <c r="AQ29" s="205">
        <v>45</v>
      </c>
      <c r="AR29" s="205">
        <v>38</v>
      </c>
      <c r="AS29" s="205">
        <v>26</v>
      </c>
      <c r="AT29" s="206">
        <f t="shared" si="8"/>
        <v>296809.81992952968</v>
      </c>
      <c r="AU29" s="205"/>
      <c r="AV29" s="174" t="s">
        <v>102</v>
      </c>
      <c r="AW29" s="174">
        <v>1</v>
      </c>
      <c r="AX29" s="175">
        <v>40</v>
      </c>
      <c r="AY29" s="175" t="s">
        <v>103</v>
      </c>
      <c r="AZ29" s="196">
        <f t="shared" si="9"/>
        <v>2.5</v>
      </c>
      <c r="BA29" s="205">
        <v>20</v>
      </c>
      <c r="BB29" s="199"/>
      <c r="BC29" s="207"/>
      <c r="BD29" s="207"/>
      <c r="BE29" s="207"/>
      <c r="BF29" s="97"/>
      <c r="BG29" s="97"/>
      <c r="BH29" s="97"/>
      <c r="BI29" s="97"/>
      <c r="BJ29" s="97"/>
      <c r="BK29" s="28"/>
      <c r="BL29" s="272"/>
      <c r="BM29" s="268"/>
      <c r="BN29" s="303"/>
      <c r="BP29" s="96" t="s">
        <v>343</v>
      </c>
      <c r="BQ29" s="96" t="s">
        <v>343</v>
      </c>
      <c r="BR29" s="96" t="s">
        <v>343</v>
      </c>
      <c r="BS29" s="96" t="s">
        <v>343</v>
      </c>
      <c r="BT29" s="96" t="s">
        <v>343</v>
      </c>
      <c r="BU29" s="96" t="s">
        <v>343</v>
      </c>
      <c r="BV29" s="96" t="s">
        <v>343</v>
      </c>
      <c r="BW29" s="96" t="s">
        <v>343</v>
      </c>
      <c r="BX29" s="96" t="s">
        <v>343</v>
      </c>
      <c r="BY29" s="96" t="s">
        <v>343</v>
      </c>
      <c r="BZ29" s="96" t="s">
        <v>343</v>
      </c>
      <c r="CA29" s="96" t="s">
        <v>343</v>
      </c>
      <c r="CB29" s="30"/>
      <c r="CC29" s="30"/>
      <c r="CD29" s="30"/>
      <c r="CE29" s="30"/>
      <c r="CF29" s="98"/>
      <c r="CG29" s="98"/>
      <c r="CH29" s="98"/>
      <c r="CI29" s="98"/>
      <c r="CJ29" s="98"/>
      <c r="CK29" s="98"/>
      <c r="CL29" s="98"/>
      <c r="CM29" s="98"/>
      <c r="CN29" s="32"/>
      <c r="CO29" s="98"/>
      <c r="CP29" s="116"/>
      <c r="CQ29" s="297" t="s">
        <v>104</v>
      </c>
      <c r="CR29" s="116"/>
      <c r="CS29" s="116">
        <v>0</v>
      </c>
      <c r="CT29" s="30"/>
      <c r="CU29" s="48"/>
      <c r="CV29" s="48"/>
      <c r="CW29" s="48"/>
      <c r="CX29" s="48"/>
      <c r="CY29" s="48"/>
      <c r="CZ29" s="184"/>
      <c r="DA29" s="30"/>
      <c r="DB29" s="30"/>
      <c r="DC29" s="30"/>
    </row>
    <row r="30" spans="1:107" ht="14" x14ac:dyDescent="0.15">
      <c r="A30" s="200">
        <v>1</v>
      </c>
      <c r="B30" s="107" t="s">
        <v>99</v>
      </c>
      <c r="C30" s="200" t="s">
        <v>134</v>
      </c>
      <c r="D30" s="201">
        <v>889</v>
      </c>
      <c r="E30" s="84">
        <v>14.5</v>
      </c>
      <c r="F30" s="68" t="s">
        <v>101</v>
      </c>
      <c r="G30" s="68">
        <v>2</v>
      </c>
      <c r="H30" s="202">
        <v>85</v>
      </c>
      <c r="I30" s="202">
        <v>40</v>
      </c>
      <c r="J30" s="202">
        <v>30</v>
      </c>
      <c r="K30" s="202">
        <v>20</v>
      </c>
      <c r="L30" s="203">
        <f t="shared" si="1"/>
        <v>160221.22533307943</v>
      </c>
      <c r="M30" s="84">
        <v>14.5</v>
      </c>
      <c r="N30" s="84">
        <v>14.8</v>
      </c>
      <c r="O30" s="84">
        <v>14.9</v>
      </c>
      <c r="P30" s="84">
        <v>15.2</v>
      </c>
      <c r="Q30" s="204">
        <v>15.3</v>
      </c>
      <c r="R30" s="204">
        <v>15.5</v>
      </c>
      <c r="S30" s="84">
        <v>15.55</v>
      </c>
      <c r="T30" s="85">
        <v>15.6</v>
      </c>
      <c r="U30" s="85">
        <v>15.72</v>
      </c>
      <c r="V30" s="85">
        <v>15.84</v>
      </c>
      <c r="W30" s="85">
        <v>15.98</v>
      </c>
      <c r="X30" s="83">
        <v>16.2</v>
      </c>
      <c r="Y30" s="281">
        <v>16.3</v>
      </c>
      <c r="Z30" s="177">
        <f t="shared" si="2"/>
        <v>1.6999999999999993</v>
      </c>
      <c r="AA30" s="178">
        <f t="shared" si="0"/>
        <v>0.11724137931034478</v>
      </c>
      <c r="AB30" s="177">
        <f t="shared" si="3"/>
        <v>0.84999999999999964</v>
      </c>
      <c r="AC30" s="178">
        <f t="shared" si="4"/>
        <v>0.11724137931034478</v>
      </c>
      <c r="AD30" s="179">
        <f t="shared" si="5"/>
        <v>0.28464426000000009</v>
      </c>
      <c r="AE30" s="178">
        <f t="shared" si="6"/>
        <v>0.25071058263971469</v>
      </c>
      <c r="AF30"/>
      <c r="AG30"/>
      <c r="AH30" s="175">
        <v>1</v>
      </c>
      <c r="AI30" s="175">
        <v>1</v>
      </c>
      <c r="AJ30" s="175" t="s">
        <v>101</v>
      </c>
      <c r="AK30" s="174">
        <v>2</v>
      </c>
      <c r="AL30" s="175">
        <v>40</v>
      </c>
      <c r="AM30" s="175" t="s">
        <v>103</v>
      </c>
      <c r="AN30" s="196">
        <f t="shared" si="7"/>
        <v>2.5</v>
      </c>
      <c r="AO30" s="205">
        <v>30</v>
      </c>
      <c r="AP30" s="205">
        <v>85</v>
      </c>
      <c r="AQ30" s="205">
        <v>55</v>
      </c>
      <c r="AR30" s="205">
        <v>35</v>
      </c>
      <c r="AS30" s="205">
        <v>28</v>
      </c>
      <c r="AT30" s="206">
        <f t="shared" si="8"/>
        <v>359830.16856054094</v>
      </c>
      <c r="AU30" s="205"/>
      <c r="AV30" s="174" t="s">
        <v>101</v>
      </c>
      <c r="AW30" s="174">
        <v>2</v>
      </c>
      <c r="AX30" s="175">
        <v>40</v>
      </c>
      <c r="AY30" s="175" t="s">
        <v>103</v>
      </c>
      <c r="AZ30" s="196">
        <f t="shared" si="9"/>
        <v>2.5</v>
      </c>
      <c r="BA30" s="205">
        <v>15</v>
      </c>
      <c r="BB30" s="199"/>
      <c r="BC30" s="207"/>
      <c r="BD30" s="207"/>
      <c r="BE30" s="207"/>
      <c r="BF30" s="97"/>
      <c r="BG30" s="97"/>
      <c r="BH30" s="97"/>
      <c r="BI30" s="97"/>
      <c r="BJ30" s="97"/>
      <c r="BK30" s="28"/>
      <c r="BL30" s="272"/>
      <c r="BM30" s="268"/>
      <c r="BN30" s="303"/>
      <c r="BP30" s="96" t="s">
        <v>343</v>
      </c>
      <c r="BQ30" s="96" t="s">
        <v>343</v>
      </c>
      <c r="BR30" s="96" t="s">
        <v>343</v>
      </c>
      <c r="BS30" s="96" t="s">
        <v>343</v>
      </c>
      <c r="BT30" s="96" t="s">
        <v>343</v>
      </c>
      <c r="BU30" s="96" t="s">
        <v>343</v>
      </c>
      <c r="BV30" s="96" t="s">
        <v>343</v>
      </c>
      <c r="BW30" s="96" t="s">
        <v>343</v>
      </c>
      <c r="BX30" s="96" t="s">
        <v>343</v>
      </c>
      <c r="BY30" s="96" t="s">
        <v>343</v>
      </c>
      <c r="BZ30" s="96" t="s">
        <v>343</v>
      </c>
      <c r="CA30" s="96" t="s">
        <v>343</v>
      </c>
      <c r="CB30" s="30"/>
      <c r="CC30" s="212"/>
      <c r="CD30" s="30"/>
      <c r="CE30" s="30"/>
      <c r="CF30" s="98"/>
      <c r="CG30" s="98"/>
      <c r="CH30" s="98"/>
      <c r="CI30" s="98"/>
      <c r="CJ30" s="98"/>
      <c r="CK30" s="98"/>
      <c r="CL30" s="98"/>
      <c r="CM30" s="32"/>
      <c r="CN30" s="32"/>
      <c r="CO30" s="98"/>
      <c r="CP30" s="116"/>
      <c r="CQ30" s="297" t="s">
        <v>104</v>
      </c>
      <c r="CR30" s="116"/>
      <c r="CS30" s="116">
        <v>0</v>
      </c>
      <c r="CT30" s="30"/>
      <c r="CU30" s="48"/>
      <c r="CV30" s="48"/>
      <c r="CW30" s="48"/>
      <c r="CX30" s="48"/>
      <c r="CY30" s="48"/>
      <c r="CZ30" s="184"/>
      <c r="DA30" s="30"/>
      <c r="DB30" s="30"/>
      <c r="DC30" s="30"/>
    </row>
    <row r="31" spans="1:107" ht="14" x14ac:dyDescent="0.15">
      <c r="A31" s="213">
        <v>1</v>
      </c>
      <c r="B31" s="214" t="s">
        <v>99</v>
      </c>
      <c r="C31" s="213" t="s">
        <v>135</v>
      </c>
      <c r="D31" s="215">
        <v>890</v>
      </c>
      <c r="E31" s="121">
        <v>13.7</v>
      </c>
      <c r="F31" s="120" t="s">
        <v>101</v>
      </c>
      <c r="G31" s="120">
        <v>2</v>
      </c>
      <c r="H31" s="216">
        <v>85</v>
      </c>
      <c r="I31" s="216">
        <v>40</v>
      </c>
      <c r="J31" s="216">
        <v>30</v>
      </c>
      <c r="K31" s="216">
        <v>20</v>
      </c>
      <c r="L31" s="217">
        <f t="shared" si="1"/>
        <v>160221.22533307943</v>
      </c>
      <c r="M31" s="121">
        <v>13.7</v>
      </c>
      <c r="N31" s="121">
        <v>14</v>
      </c>
      <c r="O31" s="121">
        <v>14.2</v>
      </c>
      <c r="P31" s="218">
        <v>14.4</v>
      </c>
      <c r="Q31" s="218">
        <v>14.5</v>
      </c>
      <c r="R31" s="218">
        <v>14.55</v>
      </c>
      <c r="S31" s="121">
        <v>14.6</v>
      </c>
      <c r="T31" s="122">
        <v>14.7</v>
      </c>
      <c r="U31" s="122">
        <v>14.77</v>
      </c>
      <c r="V31" s="122">
        <v>14.9</v>
      </c>
      <c r="W31" s="122">
        <v>15.04</v>
      </c>
      <c r="X31" s="123">
        <v>15.2</v>
      </c>
      <c r="Y31" s="282">
        <v>15.3</v>
      </c>
      <c r="Z31" s="177">
        <f t="shared" si="2"/>
        <v>1.5</v>
      </c>
      <c r="AA31" s="181">
        <f t="shared" si="0"/>
        <v>0.10948905109489052</v>
      </c>
      <c r="AB31" s="180">
        <f t="shared" si="3"/>
        <v>0.75</v>
      </c>
      <c r="AC31" s="181">
        <f t="shared" si="4"/>
        <v>0.10948905109489052</v>
      </c>
      <c r="AD31" s="179">
        <f t="shared" si="5"/>
        <v>0.23643090000000022</v>
      </c>
      <c r="AE31" s="181">
        <f t="shared" si="6"/>
        <v>0.2332756140444352</v>
      </c>
      <c r="AF31" s="9"/>
      <c r="AG31" s="9"/>
      <c r="AH31" s="219">
        <v>1</v>
      </c>
      <c r="AI31" s="219">
        <v>1</v>
      </c>
      <c r="AJ31" s="219" t="s">
        <v>102</v>
      </c>
      <c r="AK31" s="220">
        <v>1</v>
      </c>
      <c r="AL31" s="219">
        <v>35</v>
      </c>
      <c r="AM31" s="219" t="s">
        <v>103</v>
      </c>
      <c r="AN31" s="221">
        <f t="shared" si="7"/>
        <v>2.5</v>
      </c>
      <c r="AO31" s="222">
        <v>15</v>
      </c>
      <c r="AP31" s="222">
        <v>85</v>
      </c>
      <c r="AQ31" s="222">
        <v>40</v>
      </c>
      <c r="AR31" s="222">
        <v>29</v>
      </c>
      <c r="AS31" s="222">
        <v>23</v>
      </c>
      <c r="AT31" s="223">
        <f t="shared" si="8"/>
        <v>178112.5954952733</v>
      </c>
      <c r="AU31" s="222"/>
      <c r="AV31" s="219" t="s">
        <v>101</v>
      </c>
      <c r="AW31" s="220">
        <v>2</v>
      </c>
      <c r="AX31" s="219">
        <v>40</v>
      </c>
      <c r="AY31" s="219" t="s">
        <v>103</v>
      </c>
      <c r="AZ31" s="221">
        <f t="shared" si="9"/>
        <v>2.5</v>
      </c>
      <c r="BA31" s="222">
        <v>15</v>
      </c>
      <c r="BB31" s="224"/>
      <c r="BC31" s="225"/>
      <c r="BD31" s="225"/>
      <c r="BE31" s="225"/>
      <c r="BF31" s="126"/>
      <c r="BG31" s="126"/>
      <c r="BH31" s="126"/>
      <c r="BI31" s="126"/>
      <c r="BJ31" s="126"/>
      <c r="BK31" s="127"/>
      <c r="BL31" s="275"/>
      <c r="BM31" s="278"/>
      <c r="BN31" s="305"/>
      <c r="BO31" s="9"/>
      <c r="BP31" s="96" t="s">
        <v>343</v>
      </c>
      <c r="BQ31" s="96" t="s">
        <v>343</v>
      </c>
      <c r="BR31" s="96" t="s">
        <v>343</v>
      </c>
      <c r="BS31" s="96" t="s">
        <v>343</v>
      </c>
      <c r="BT31" s="96" t="s">
        <v>343</v>
      </c>
      <c r="BU31" s="96" t="s">
        <v>343</v>
      </c>
      <c r="BV31" s="96" t="s">
        <v>343</v>
      </c>
      <c r="BW31" s="96" t="s">
        <v>343</v>
      </c>
      <c r="BX31" s="96" t="s">
        <v>343</v>
      </c>
      <c r="BY31" s="96" t="s">
        <v>343</v>
      </c>
      <c r="BZ31" s="96" t="s">
        <v>343</v>
      </c>
      <c r="CA31" s="96" t="s">
        <v>343</v>
      </c>
      <c r="CB31" s="226"/>
      <c r="CC31" s="226"/>
      <c r="CD31" s="226"/>
      <c r="CE31" s="226"/>
      <c r="CF31" s="227"/>
      <c r="CG31" s="227"/>
      <c r="CH31" s="227"/>
      <c r="CI31" s="227"/>
      <c r="CJ31" s="227"/>
      <c r="CK31" s="227"/>
      <c r="CL31" s="227"/>
      <c r="CM31" s="134"/>
      <c r="CN31" s="134"/>
      <c r="CO31" s="227"/>
      <c r="CP31" s="228"/>
      <c r="CQ31" s="298" t="s">
        <v>104</v>
      </c>
      <c r="CR31" s="228"/>
      <c r="CS31" s="228">
        <v>0</v>
      </c>
      <c r="CT31" s="226"/>
      <c r="CU31" s="133"/>
      <c r="CV31" s="133"/>
      <c r="CW31" s="133"/>
      <c r="CX31" s="133"/>
      <c r="CY31" s="133"/>
      <c r="CZ31" s="184"/>
      <c r="DA31" s="30"/>
      <c r="DB31" s="30"/>
      <c r="DC31" s="30"/>
    </row>
    <row r="32" spans="1:107" ht="15" x14ac:dyDescent="0.2">
      <c r="A32" s="229">
        <v>2</v>
      </c>
      <c r="B32" s="229" t="s">
        <v>136</v>
      </c>
      <c r="C32" s="229" t="s">
        <v>137</v>
      </c>
      <c r="D32" s="230">
        <v>800</v>
      </c>
      <c r="E32" s="82">
        <v>10.5</v>
      </c>
      <c r="F32" s="67" t="s">
        <v>101</v>
      </c>
      <c r="G32" s="67">
        <v>2</v>
      </c>
      <c r="H32" s="193">
        <v>70</v>
      </c>
      <c r="I32" s="193">
        <v>40</v>
      </c>
      <c r="J32" s="193">
        <v>20</v>
      </c>
      <c r="K32" s="193">
        <v>15</v>
      </c>
      <c r="L32" s="194">
        <f t="shared" si="1"/>
        <v>65973.445725385653</v>
      </c>
      <c r="M32" s="82">
        <v>10.5</v>
      </c>
      <c r="N32" s="82">
        <v>10.6</v>
      </c>
      <c r="O32" s="82">
        <v>10.9</v>
      </c>
      <c r="P32" s="195">
        <v>11.1</v>
      </c>
      <c r="Q32" s="195">
        <v>11.2</v>
      </c>
      <c r="R32" s="195">
        <v>11.3</v>
      </c>
      <c r="S32" s="82">
        <v>11.35</v>
      </c>
      <c r="T32" s="83">
        <v>11.425000000000001</v>
      </c>
      <c r="U32" s="83">
        <v>11.51</v>
      </c>
      <c r="V32" s="83">
        <v>11.62</v>
      </c>
      <c r="W32" s="83">
        <v>11.7</v>
      </c>
      <c r="X32" s="83">
        <v>11.8</v>
      </c>
      <c r="Y32" s="285">
        <v>12</v>
      </c>
      <c r="Z32" s="177">
        <f t="shared" si="2"/>
        <v>1.3000000000000007</v>
      </c>
      <c r="AA32" s="178">
        <f t="shared" si="0"/>
        <v>0.12380952380952388</v>
      </c>
      <c r="AB32" s="177">
        <f t="shared" si="3"/>
        <v>0.65000000000000036</v>
      </c>
      <c r="AC32" s="178">
        <f t="shared" si="4"/>
        <v>0.12380952380952388</v>
      </c>
      <c r="AD32" s="179">
        <f t="shared" si="5"/>
        <v>0.15811145999999998</v>
      </c>
      <c r="AE32" s="178">
        <f t="shared" si="6"/>
        <v>0.26557732426303848</v>
      </c>
      <c r="AF32"/>
      <c r="AG32"/>
      <c r="AH32" s="196">
        <v>1</v>
      </c>
      <c r="AI32" s="196">
        <v>1</v>
      </c>
      <c r="AJ32" s="196" t="s">
        <v>101</v>
      </c>
      <c r="AK32" s="174">
        <v>2</v>
      </c>
      <c r="AL32" s="196">
        <v>55</v>
      </c>
      <c r="AM32" s="196" t="s">
        <v>103</v>
      </c>
      <c r="AN32" s="196">
        <f t="shared" si="7"/>
        <v>2.5</v>
      </c>
      <c r="AO32" s="197">
        <v>10</v>
      </c>
      <c r="AP32" s="197">
        <v>80</v>
      </c>
      <c r="AQ32" s="197">
        <v>50</v>
      </c>
      <c r="AR32" s="197">
        <v>20</v>
      </c>
      <c r="AS32" s="197">
        <v>15</v>
      </c>
      <c r="AT32" s="198">
        <f t="shared" si="8"/>
        <v>94247.779607693796</v>
      </c>
      <c r="AU32" s="197"/>
      <c r="AV32" s="174" t="s">
        <v>101</v>
      </c>
      <c r="AW32" s="174">
        <v>2</v>
      </c>
      <c r="AX32" s="196">
        <v>45</v>
      </c>
      <c r="AY32" s="196" t="s">
        <v>103</v>
      </c>
      <c r="AZ32" s="196">
        <f t="shared" si="9"/>
        <v>2.5</v>
      </c>
      <c r="BA32" s="197">
        <v>15</v>
      </c>
      <c r="BB32" s="199"/>
      <c r="BC32" s="174">
        <v>5</v>
      </c>
      <c r="BD32" s="174">
        <v>3</v>
      </c>
      <c r="BE32" s="231">
        <v>2</v>
      </c>
      <c r="BF32" s="115">
        <v>1</v>
      </c>
      <c r="BG32" s="115">
        <v>5</v>
      </c>
      <c r="BH32" s="115">
        <v>5</v>
      </c>
      <c r="BI32" s="115">
        <v>5</v>
      </c>
      <c r="BJ32" s="115">
        <v>1</v>
      </c>
      <c r="BK32" s="166">
        <v>5</v>
      </c>
      <c r="BL32" s="166">
        <v>1</v>
      </c>
      <c r="BM32" s="277">
        <v>3</v>
      </c>
      <c r="BN32" s="306">
        <v>3</v>
      </c>
      <c r="BP32" s="96">
        <v>1.9</v>
      </c>
      <c r="BQ32" s="96">
        <v>1.9</v>
      </c>
      <c r="BR32" s="96">
        <v>1.9</v>
      </c>
      <c r="BS32" s="96">
        <v>2.2000000000000002</v>
      </c>
      <c r="BT32" s="96">
        <v>2</v>
      </c>
      <c r="BU32" s="96">
        <v>2.2999999999999998</v>
      </c>
      <c r="BV32" s="96">
        <v>1.8</v>
      </c>
      <c r="BW32" s="96">
        <v>1.4</v>
      </c>
      <c r="BX32" s="96">
        <v>1.6</v>
      </c>
      <c r="BY32" s="96">
        <v>2.2999999999999998</v>
      </c>
      <c r="BZ32" s="96">
        <f t="shared" ref="BZ32:BZ63" si="10">((BS32*BT32)+(BU32*BV32))/(BS32+BU32)</f>
        <v>1.8977777777777776</v>
      </c>
      <c r="CA32" s="289">
        <v>1.6</v>
      </c>
      <c r="CB32" s="30"/>
      <c r="CC32" s="212"/>
      <c r="CD32" s="24" t="s">
        <v>138</v>
      </c>
      <c r="CE32" s="24">
        <v>800</v>
      </c>
      <c r="CF32" s="96">
        <v>0.18108391613513106</v>
      </c>
      <c r="CG32" s="96">
        <v>0.27054982376725867</v>
      </c>
      <c r="CH32" s="117">
        <v>0.22783220093283582</v>
      </c>
      <c r="CI32" s="96">
        <v>0.28407731495562161</v>
      </c>
      <c r="CJ32" s="96">
        <v>0.27054982376725867</v>
      </c>
      <c r="CK32" s="96">
        <v>0.29098742983198089</v>
      </c>
      <c r="CL32" s="96">
        <v>0.26758191917158247</v>
      </c>
      <c r="CM32" s="116">
        <v>0.14391226149299055</v>
      </c>
      <c r="CN32" s="116">
        <v>0.21645596417910451</v>
      </c>
      <c r="CO32" s="116">
        <v>0.34651402220149258</v>
      </c>
      <c r="CP32" s="116">
        <v>0.2408323415510204</v>
      </c>
      <c r="CQ32" s="299">
        <v>0.22</v>
      </c>
      <c r="CR32" s="116"/>
      <c r="CS32" s="116">
        <f>(AVERAGE(CF32:CO32)/COUNT(CF32:CO32))*10*8</f>
        <v>1.999635741148206</v>
      </c>
      <c r="CT32" s="30"/>
      <c r="CU32" s="118"/>
      <c r="CV32" s="56"/>
      <c r="CW32" s="119"/>
      <c r="CX32" s="119"/>
      <c r="CY32" s="119"/>
      <c r="CZ32" s="184"/>
      <c r="DA32" s="30"/>
      <c r="DB32" s="30"/>
      <c r="DC32" s="30"/>
    </row>
    <row r="33" spans="1:107" ht="15" x14ac:dyDescent="0.2">
      <c r="A33" s="232">
        <v>2</v>
      </c>
      <c r="B33" s="232" t="s">
        <v>136</v>
      </c>
      <c r="C33" s="232" t="s">
        <v>139</v>
      </c>
      <c r="D33" s="233">
        <v>801</v>
      </c>
      <c r="E33" s="84">
        <v>11.5</v>
      </c>
      <c r="F33" s="68" t="s">
        <v>101</v>
      </c>
      <c r="G33" s="68">
        <v>2</v>
      </c>
      <c r="H33" s="202">
        <v>75</v>
      </c>
      <c r="I33" s="202">
        <v>60</v>
      </c>
      <c r="J33" s="202">
        <v>22</v>
      </c>
      <c r="K33" s="202">
        <v>15</v>
      </c>
      <c r="L33" s="203">
        <f t="shared" si="1"/>
        <v>116631.62726452106</v>
      </c>
      <c r="M33" s="84">
        <v>11.5</v>
      </c>
      <c r="N33" s="84">
        <v>11.6</v>
      </c>
      <c r="O33" s="84">
        <v>11.8</v>
      </c>
      <c r="P33" s="204">
        <v>12.1</v>
      </c>
      <c r="Q33" s="204">
        <v>12.2</v>
      </c>
      <c r="R33" s="204">
        <v>12.3</v>
      </c>
      <c r="S33" s="84">
        <v>12.4</v>
      </c>
      <c r="T33" s="85">
        <v>12.465</v>
      </c>
      <c r="U33" s="85">
        <v>12.56</v>
      </c>
      <c r="V33" s="85">
        <v>12.67</v>
      </c>
      <c r="W33" s="85">
        <v>12.77</v>
      </c>
      <c r="X33" s="83">
        <v>12.9</v>
      </c>
      <c r="Y33" s="286">
        <v>13.1</v>
      </c>
      <c r="Z33" s="177">
        <f t="shared" si="2"/>
        <v>1.4000000000000004</v>
      </c>
      <c r="AA33" s="178">
        <f t="shared" si="0"/>
        <v>0.12173913043478264</v>
      </c>
      <c r="AB33" s="177">
        <f t="shared" si="3"/>
        <v>0.70000000000000018</v>
      </c>
      <c r="AC33" s="178">
        <f t="shared" si="4"/>
        <v>0.12173913043478264</v>
      </c>
      <c r="AD33" s="179">
        <f t="shared" si="5"/>
        <v>0.18630863999999991</v>
      </c>
      <c r="AE33" s="178">
        <f t="shared" si="6"/>
        <v>0.2608816635160679</v>
      </c>
      <c r="AF33"/>
      <c r="AG33"/>
      <c r="AH33" s="175">
        <v>1</v>
      </c>
      <c r="AI33" s="175">
        <v>1</v>
      </c>
      <c r="AJ33" s="175" t="s">
        <v>101</v>
      </c>
      <c r="AK33" s="174">
        <v>2</v>
      </c>
      <c r="AL33" s="175">
        <v>65</v>
      </c>
      <c r="AM33" s="175" t="s">
        <v>103</v>
      </c>
      <c r="AN33" s="196">
        <f t="shared" si="7"/>
        <v>2.5</v>
      </c>
      <c r="AO33" s="205">
        <v>5</v>
      </c>
      <c r="AP33" s="205">
        <v>85</v>
      </c>
      <c r="AQ33" s="205">
        <v>60</v>
      </c>
      <c r="AR33" s="205">
        <v>24</v>
      </c>
      <c r="AS33" s="205">
        <v>19</v>
      </c>
      <c r="AT33" s="206">
        <f t="shared" si="8"/>
        <v>182652.19687971057</v>
      </c>
      <c r="AU33" s="205"/>
      <c r="AV33" s="174" t="s">
        <v>101</v>
      </c>
      <c r="AW33" s="174">
        <v>2</v>
      </c>
      <c r="AX33" s="175">
        <v>40</v>
      </c>
      <c r="AY33" s="175" t="s">
        <v>103</v>
      </c>
      <c r="AZ33" s="196">
        <f t="shared" si="9"/>
        <v>2.5</v>
      </c>
      <c r="BA33" s="205">
        <v>10</v>
      </c>
      <c r="BB33" s="199"/>
      <c r="BC33" s="207">
        <v>3</v>
      </c>
      <c r="BD33" s="207">
        <v>2</v>
      </c>
      <c r="BE33" s="207">
        <v>2</v>
      </c>
      <c r="BF33" s="97">
        <v>2</v>
      </c>
      <c r="BG33" s="97">
        <v>5</v>
      </c>
      <c r="BH33" s="97">
        <v>4</v>
      </c>
      <c r="BI33" s="97">
        <v>5</v>
      </c>
      <c r="BJ33" s="97">
        <v>2</v>
      </c>
      <c r="BK33" s="166">
        <v>4</v>
      </c>
      <c r="BL33" s="166">
        <v>2</v>
      </c>
      <c r="BM33" s="166">
        <v>2</v>
      </c>
      <c r="BN33" s="306">
        <v>2</v>
      </c>
      <c r="BP33" s="43">
        <v>1.4</v>
      </c>
      <c r="BQ33" s="43">
        <v>2.2000000000000002</v>
      </c>
      <c r="BR33" s="43">
        <v>1.7</v>
      </c>
      <c r="BS33" s="43">
        <v>1.7</v>
      </c>
      <c r="BT33" s="43">
        <v>1.7</v>
      </c>
      <c r="BU33" s="43">
        <v>1.6</v>
      </c>
      <c r="BV33" s="43">
        <v>1.6</v>
      </c>
      <c r="BW33" s="43">
        <v>1.6</v>
      </c>
      <c r="BX33" s="43">
        <v>1.2</v>
      </c>
      <c r="BY33" s="43">
        <v>2</v>
      </c>
      <c r="BZ33" s="43">
        <f t="shared" si="10"/>
        <v>1.6515151515151516</v>
      </c>
      <c r="CA33" s="289">
        <v>1.5</v>
      </c>
      <c r="CB33" s="30"/>
      <c r="CC33" s="212"/>
      <c r="CD33" s="24" t="s">
        <v>138</v>
      </c>
      <c r="CE33" s="24">
        <v>801</v>
      </c>
      <c r="CF33" s="43">
        <v>0.10760504354379605</v>
      </c>
      <c r="CG33" s="43">
        <v>0.1721680696700737</v>
      </c>
      <c r="CH33" s="109">
        <v>0.15680758768656719</v>
      </c>
      <c r="CI33" s="43">
        <v>0.2038346967701051</v>
      </c>
      <c r="CJ33" s="43">
        <v>0.32404490255760299</v>
      </c>
      <c r="CK33" s="43">
        <v>1.3031176205519144</v>
      </c>
      <c r="CL33" s="43">
        <v>0.21254734005118608</v>
      </c>
      <c r="CM33" s="98">
        <v>0.13663757574719107</v>
      </c>
      <c r="CN33" s="98">
        <v>0.1106877089552239</v>
      </c>
      <c r="CO33" s="98">
        <v>0.20907678358208956</v>
      </c>
      <c r="CP33" s="98">
        <v>0.21249912489795916</v>
      </c>
      <c r="CQ33" s="289">
        <v>0.15</v>
      </c>
      <c r="CR33" s="98"/>
      <c r="CS33" s="98">
        <f t="shared" ref="CS33:CS91" si="11">AVERAGE(CF33:CO33)/COUNT(CF33:CO33)*10*8</f>
        <v>2.3492218632926001</v>
      </c>
      <c r="CT33" s="30"/>
      <c r="CU33" s="49"/>
      <c r="CV33" s="47"/>
      <c r="CW33" s="48"/>
      <c r="CX33" s="48"/>
      <c r="CY33" s="48"/>
      <c r="CZ33" s="184"/>
      <c r="DA33" s="30"/>
      <c r="DB33" s="30"/>
      <c r="DC33" s="30"/>
    </row>
    <row r="34" spans="1:107" ht="15" x14ac:dyDescent="0.2">
      <c r="A34" s="232">
        <v>2</v>
      </c>
      <c r="B34" s="232" t="s">
        <v>136</v>
      </c>
      <c r="C34" s="232" t="s">
        <v>140</v>
      </c>
      <c r="D34" s="233">
        <v>804</v>
      </c>
      <c r="E34" s="84">
        <v>11.6</v>
      </c>
      <c r="F34" s="68" t="s">
        <v>101</v>
      </c>
      <c r="G34" s="68">
        <v>2</v>
      </c>
      <c r="H34" s="202">
        <v>75</v>
      </c>
      <c r="I34" s="202">
        <v>40</v>
      </c>
      <c r="J34" s="202">
        <v>22</v>
      </c>
      <c r="K34" s="202">
        <v>20</v>
      </c>
      <c r="L34" s="203">
        <f t="shared" ref="L34:L65" si="12">(((J34/2)*(K34/2))*PI())*((I34/10)*H34)</f>
        <v>103672.55756846318</v>
      </c>
      <c r="M34" s="84">
        <v>11.6</v>
      </c>
      <c r="N34" s="84">
        <v>11.7</v>
      </c>
      <c r="O34" s="84">
        <v>11.8</v>
      </c>
      <c r="P34" s="204">
        <v>12.1</v>
      </c>
      <c r="Q34" s="204">
        <v>12.2</v>
      </c>
      <c r="R34" s="204">
        <v>12.3</v>
      </c>
      <c r="S34" s="84">
        <v>12.25</v>
      </c>
      <c r="T34" s="85">
        <v>12.3</v>
      </c>
      <c r="U34" s="85">
        <v>12.39</v>
      </c>
      <c r="V34" s="85">
        <v>12.45</v>
      </c>
      <c r="W34" s="85">
        <v>12.55</v>
      </c>
      <c r="X34" s="83">
        <v>12.7</v>
      </c>
      <c r="Y34" s="286">
        <v>12.9</v>
      </c>
      <c r="Z34" s="177">
        <f t="shared" si="2"/>
        <v>1.0999999999999996</v>
      </c>
      <c r="AA34" s="178">
        <f t="shared" ref="AA34:AA65" si="13">Z34/M34</f>
        <v>9.4827586206896519E-2</v>
      </c>
      <c r="AB34" s="177">
        <f t="shared" si="3"/>
        <v>0.54999999999999982</v>
      </c>
      <c r="AC34" s="178">
        <f t="shared" si="4"/>
        <v>9.4827586206896519E-2</v>
      </c>
      <c r="AD34" s="179">
        <f t="shared" si="5"/>
        <v>0.14578541999999994</v>
      </c>
      <c r="AE34" s="178">
        <f t="shared" si="6"/>
        <v>0.20063391795481561</v>
      </c>
      <c r="AF34"/>
      <c r="AG34"/>
      <c r="AH34" s="175">
        <v>1</v>
      </c>
      <c r="AI34" s="175">
        <v>1</v>
      </c>
      <c r="AJ34" s="175" t="s">
        <v>101</v>
      </c>
      <c r="AK34" s="174">
        <v>2</v>
      </c>
      <c r="AL34" s="175">
        <v>65</v>
      </c>
      <c r="AM34" s="175" t="s">
        <v>103</v>
      </c>
      <c r="AN34" s="196">
        <f t="shared" si="7"/>
        <v>2.5</v>
      </c>
      <c r="AO34" s="205">
        <v>10</v>
      </c>
      <c r="AP34" s="205">
        <v>75</v>
      </c>
      <c r="AQ34" s="205">
        <v>60</v>
      </c>
      <c r="AR34" s="205">
        <v>28</v>
      </c>
      <c r="AS34" s="205">
        <v>17</v>
      </c>
      <c r="AT34" s="206">
        <f t="shared" si="8"/>
        <v>168232.2865997334</v>
      </c>
      <c r="AU34" s="205"/>
      <c r="AV34" s="174" t="s">
        <v>101</v>
      </c>
      <c r="AW34" s="174">
        <v>2</v>
      </c>
      <c r="AX34" s="175">
        <v>40</v>
      </c>
      <c r="AY34" s="175" t="s">
        <v>103</v>
      </c>
      <c r="AZ34" s="196">
        <f t="shared" si="9"/>
        <v>2.5</v>
      </c>
      <c r="BA34" s="205">
        <v>10</v>
      </c>
      <c r="BB34" s="199"/>
      <c r="BC34" s="207">
        <v>5</v>
      </c>
      <c r="BD34" s="207">
        <v>2</v>
      </c>
      <c r="BE34" s="207">
        <v>2</v>
      </c>
      <c r="BF34" s="97">
        <v>1</v>
      </c>
      <c r="BG34" s="97">
        <v>5</v>
      </c>
      <c r="BH34" s="97">
        <v>5</v>
      </c>
      <c r="BI34" s="97">
        <v>5</v>
      </c>
      <c r="BJ34" s="97">
        <v>1</v>
      </c>
      <c r="BK34" s="166">
        <v>5</v>
      </c>
      <c r="BL34" s="166">
        <v>1</v>
      </c>
      <c r="BM34" s="166">
        <v>3</v>
      </c>
      <c r="BN34" s="306">
        <v>1</v>
      </c>
      <c r="BP34" s="43">
        <v>2.5</v>
      </c>
      <c r="BQ34" s="43">
        <v>1.9</v>
      </c>
      <c r="BR34" s="43">
        <v>2.2999999999999998</v>
      </c>
      <c r="BS34" s="43">
        <v>2.2999999999999998</v>
      </c>
      <c r="BT34" s="43">
        <v>2.4</v>
      </c>
      <c r="BU34" s="43">
        <v>2.6</v>
      </c>
      <c r="BV34" s="43">
        <v>1.9</v>
      </c>
      <c r="BW34" s="43">
        <v>1.7</v>
      </c>
      <c r="BX34" s="43">
        <v>2.2999999999999998</v>
      </c>
      <c r="BY34" s="43">
        <v>2.8</v>
      </c>
      <c r="BZ34" s="43">
        <f t="shared" si="10"/>
        <v>2.1346938775510202</v>
      </c>
      <c r="CA34" s="289">
        <v>1.9</v>
      </c>
      <c r="CB34" s="30"/>
      <c r="CC34" s="212"/>
      <c r="CD34" s="24" t="s">
        <v>138</v>
      </c>
      <c r="CE34" s="24">
        <v>804</v>
      </c>
      <c r="CF34" s="43">
        <v>0.23058223616527729</v>
      </c>
      <c r="CG34" s="43">
        <v>0.22996735020216985</v>
      </c>
      <c r="CH34" s="109">
        <v>0.21922315690298508</v>
      </c>
      <c r="CI34" s="43">
        <v>0.19799328012058473</v>
      </c>
      <c r="CJ34" s="43">
        <v>0.16970852581764409</v>
      </c>
      <c r="CK34" s="43">
        <v>0.37828365878157516</v>
      </c>
      <c r="CL34" s="43">
        <v>0.18629521322938775</v>
      </c>
      <c r="CM34" s="98">
        <v>8.6031066211194357E-2</v>
      </c>
      <c r="CN34" s="98">
        <v>0.21922315690298508</v>
      </c>
      <c r="CO34" s="98">
        <v>0.29270749701492538</v>
      </c>
      <c r="CP34" s="98">
        <v>0.15937434367346939</v>
      </c>
      <c r="CQ34" s="289">
        <v>0.1</v>
      </c>
      <c r="CR34" s="98"/>
      <c r="CS34" s="98">
        <f t="shared" si="11"/>
        <v>1.7680121130789828</v>
      </c>
      <c r="CT34" s="30"/>
      <c r="CU34" s="49"/>
      <c r="CV34" s="47"/>
      <c r="CW34" s="48"/>
      <c r="CX34" s="48"/>
      <c r="CY34" s="48"/>
      <c r="CZ34" s="184"/>
      <c r="DA34" s="30"/>
      <c r="DB34" s="30"/>
      <c r="DC34" s="30"/>
    </row>
    <row r="35" spans="1:107" ht="15" x14ac:dyDescent="0.2">
      <c r="A35" s="232">
        <v>2</v>
      </c>
      <c r="B35" s="232" t="s">
        <v>136</v>
      </c>
      <c r="C35" s="232" t="s">
        <v>141</v>
      </c>
      <c r="D35" s="233">
        <v>806</v>
      </c>
      <c r="E35" s="84">
        <v>12.5</v>
      </c>
      <c r="F35" s="68" t="s">
        <v>101</v>
      </c>
      <c r="G35" s="68">
        <v>2</v>
      </c>
      <c r="H35" s="202">
        <v>80</v>
      </c>
      <c r="I35" s="202">
        <v>45</v>
      </c>
      <c r="J35" s="202">
        <v>18</v>
      </c>
      <c r="K35" s="202">
        <v>18</v>
      </c>
      <c r="L35" s="203">
        <f t="shared" si="12"/>
        <v>91608.841778678368</v>
      </c>
      <c r="M35" s="84">
        <v>12.5</v>
      </c>
      <c r="N35" s="84">
        <v>12.5</v>
      </c>
      <c r="O35" s="84">
        <v>12.7</v>
      </c>
      <c r="P35" s="204">
        <v>12.9</v>
      </c>
      <c r="Q35" s="204">
        <v>13.1</v>
      </c>
      <c r="R35" s="204">
        <v>13.2</v>
      </c>
      <c r="S35" s="84">
        <v>13.22</v>
      </c>
      <c r="T35" s="85">
        <v>13.29</v>
      </c>
      <c r="U35" s="85">
        <v>13.38</v>
      </c>
      <c r="V35" s="85">
        <v>13.46</v>
      </c>
      <c r="W35" s="85">
        <v>13.6</v>
      </c>
      <c r="X35" s="83">
        <v>13.7</v>
      </c>
      <c r="Y35" s="286">
        <v>13.8</v>
      </c>
      <c r="Z35" s="177">
        <f t="shared" si="2"/>
        <v>1.1999999999999993</v>
      </c>
      <c r="AA35" s="178">
        <f t="shared" si="13"/>
        <v>9.5999999999999946E-2</v>
      </c>
      <c r="AB35" s="177">
        <f t="shared" si="3"/>
        <v>0.59999999999999964</v>
      </c>
      <c r="AC35" s="178">
        <f t="shared" si="4"/>
        <v>9.5999999999999946E-2</v>
      </c>
      <c r="AD35" s="179">
        <f t="shared" si="5"/>
        <v>0.1714737599999997</v>
      </c>
      <c r="AE35" s="178">
        <f t="shared" si="6"/>
        <v>0.20322815999999963</v>
      </c>
      <c r="AF35"/>
      <c r="AG35"/>
      <c r="AH35" s="175">
        <v>1</v>
      </c>
      <c r="AI35" s="175">
        <v>1</v>
      </c>
      <c r="AJ35" s="175" t="s">
        <v>101</v>
      </c>
      <c r="AK35" s="174">
        <v>2</v>
      </c>
      <c r="AL35" s="175">
        <v>40</v>
      </c>
      <c r="AM35" s="175" t="s">
        <v>103</v>
      </c>
      <c r="AN35" s="196">
        <f t="shared" si="7"/>
        <v>2.5</v>
      </c>
      <c r="AO35" s="205">
        <v>10</v>
      </c>
      <c r="AP35" s="205">
        <v>85</v>
      </c>
      <c r="AQ35" s="205">
        <v>50</v>
      </c>
      <c r="AR35" s="205">
        <v>30</v>
      </c>
      <c r="AS35" s="205">
        <v>23</v>
      </c>
      <c r="AT35" s="206">
        <f t="shared" si="8"/>
        <v>230318.01141630171</v>
      </c>
      <c r="AU35" s="205"/>
      <c r="AV35" s="174" t="s">
        <v>101</v>
      </c>
      <c r="AW35" s="174">
        <v>2</v>
      </c>
      <c r="AX35" s="175">
        <v>35</v>
      </c>
      <c r="AY35" s="175" t="s">
        <v>103</v>
      </c>
      <c r="AZ35" s="196">
        <f t="shared" si="9"/>
        <v>2.5</v>
      </c>
      <c r="BA35" s="205">
        <v>25</v>
      </c>
      <c r="BB35" s="199"/>
      <c r="BC35" s="207">
        <v>5</v>
      </c>
      <c r="BD35" s="207">
        <v>4</v>
      </c>
      <c r="BE35" s="207">
        <v>3</v>
      </c>
      <c r="BF35" s="97">
        <v>1</v>
      </c>
      <c r="BG35" s="97">
        <v>5</v>
      </c>
      <c r="BH35" s="97">
        <v>5</v>
      </c>
      <c r="BI35" s="97">
        <v>5</v>
      </c>
      <c r="BJ35" s="97">
        <v>1</v>
      </c>
      <c r="BK35" s="166">
        <v>5</v>
      </c>
      <c r="BL35" s="166">
        <v>5</v>
      </c>
      <c r="BM35" s="166">
        <v>0</v>
      </c>
      <c r="BN35" s="306">
        <v>1</v>
      </c>
      <c r="BP35" s="43">
        <v>1.6</v>
      </c>
      <c r="BQ35" s="43">
        <v>2.1</v>
      </c>
      <c r="BR35" s="43">
        <v>1.6</v>
      </c>
      <c r="BS35" s="43">
        <v>2</v>
      </c>
      <c r="BT35" s="43">
        <v>1.7000000000000002</v>
      </c>
      <c r="BU35" s="43">
        <v>2</v>
      </c>
      <c r="BV35" s="43">
        <v>1.6</v>
      </c>
      <c r="BW35" s="43">
        <v>1.5</v>
      </c>
      <c r="BX35" s="43">
        <v>1.8</v>
      </c>
      <c r="BY35" s="43">
        <v>1.9</v>
      </c>
      <c r="BZ35" s="43">
        <f t="shared" si="10"/>
        <v>1.6500000000000001</v>
      </c>
      <c r="CA35" s="289">
        <v>1.8</v>
      </c>
      <c r="CB35" s="30"/>
      <c r="CC35" s="212"/>
      <c r="CD35" s="24" t="s">
        <v>138</v>
      </c>
      <c r="CE35" s="24">
        <v>806</v>
      </c>
      <c r="CF35" s="43">
        <v>0.25579256065268097</v>
      </c>
      <c r="CG35" s="43">
        <v>0.29207083247601784</v>
      </c>
      <c r="CH35" s="109">
        <v>0.44275083582089558</v>
      </c>
      <c r="CI35" s="43">
        <v>0.38737815675766579</v>
      </c>
      <c r="CJ35" s="43">
        <v>0.46516123109075264</v>
      </c>
      <c r="CK35" s="43">
        <v>0.50606509535996691</v>
      </c>
      <c r="CL35" s="43">
        <v>0.39979142533437384</v>
      </c>
      <c r="CM35" s="98">
        <v>0.29177815654348088</v>
      </c>
      <c r="CN35" s="98">
        <v>0.35973505410447765</v>
      </c>
      <c r="CO35" s="98">
        <v>0.36803663227611938</v>
      </c>
      <c r="CP35" s="98">
        <v>0.38751576526530612</v>
      </c>
      <c r="CQ35" s="289">
        <v>0.5</v>
      </c>
      <c r="CR35" s="98"/>
      <c r="CS35" s="98">
        <f t="shared" si="11"/>
        <v>3.0148479843331453</v>
      </c>
      <c r="CT35" s="30"/>
      <c r="CU35" s="49"/>
      <c r="CV35" s="47"/>
      <c r="CW35" s="48"/>
      <c r="CX35" s="48"/>
      <c r="CY35" s="48"/>
      <c r="CZ35" s="184"/>
      <c r="DA35" s="30"/>
      <c r="DB35" s="30"/>
      <c r="DC35" s="30"/>
    </row>
    <row r="36" spans="1:107" ht="15" x14ac:dyDescent="0.2">
      <c r="A36" s="232">
        <v>2</v>
      </c>
      <c r="B36" s="232" t="s">
        <v>136</v>
      </c>
      <c r="C36" s="232" t="s">
        <v>142</v>
      </c>
      <c r="D36" s="233">
        <v>809</v>
      </c>
      <c r="E36" s="84">
        <v>13.5</v>
      </c>
      <c r="F36" s="68" t="s">
        <v>101</v>
      </c>
      <c r="G36" s="68">
        <v>2</v>
      </c>
      <c r="H36" s="202">
        <v>80</v>
      </c>
      <c r="I36" s="202">
        <v>75</v>
      </c>
      <c r="J36" s="202">
        <v>25</v>
      </c>
      <c r="K36" s="202">
        <v>25</v>
      </c>
      <c r="L36" s="203">
        <f t="shared" si="12"/>
        <v>294524.31127404311</v>
      </c>
      <c r="M36" s="84">
        <v>13.5</v>
      </c>
      <c r="N36" s="84">
        <v>13.5</v>
      </c>
      <c r="O36" s="84">
        <v>13.6</v>
      </c>
      <c r="P36" s="204">
        <v>13.8</v>
      </c>
      <c r="Q36" s="204">
        <v>13.8</v>
      </c>
      <c r="R36" s="204">
        <v>13.9</v>
      </c>
      <c r="S36" s="84">
        <v>13.85</v>
      </c>
      <c r="T36" s="85">
        <v>13.93</v>
      </c>
      <c r="U36" s="85">
        <v>13.94</v>
      </c>
      <c r="V36" s="85">
        <v>14</v>
      </c>
      <c r="W36" s="85">
        <v>14.05</v>
      </c>
      <c r="X36" s="83">
        <v>14.2</v>
      </c>
      <c r="Y36" s="286">
        <v>14.5</v>
      </c>
      <c r="Z36" s="177">
        <f t="shared" si="2"/>
        <v>0.69999999999999929</v>
      </c>
      <c r="AA36" s="178">
        <f t="shared" si="13"/>
        <v>5.1851851851851802E-2</v>
      </c>
      <c r="AB36" s="177">
        <f t="shared" si="3"/>
        <v>0.34999999999999964</v>
      </c>
      <c r="AC36" s="178">
        <f t="shared" si="4"/>
        <v>5.1851851851851802E-2</v>
      </c>
      <c r="AD36" s="179">
        <f t="shared" si="5"/>
        <v>0.10575305999999984</v>
      </c>
      <c r="AE36" s="178">
        <f t="shared" si="6"/>
        <v>0.10745624142661163</v>
      </c>
      <c r="AF36"/>
      <c r="AG36"/>
      <c r="AH36" s="175">
        <v>1</v>
      </c>
      <c r="AI36" s="175">
        <v>1</v>
      </c>
      <c r="AJ36" s="175" t="s">
        <v>101</v>
      </c>
      <c r="AK36" s="174">
        <v>2</v>
      </c>
      <c r="AL36" s="175">
        <v>70</v>
      </c>
      <c r="AM36" s="175" t="s">
        <v>103</v>
      </c>
      <c r="AN36" s="196">
        <f t="shared" si="7"/>
        <v>2.5</v>
      </c>
      <c r="AO36" s="205">
        <v>15</v>
      </c>
      <c r="AP36" s="205">
        <v>75</v>
      </c>
      <c r="AQ36" s="205">
        <v>65</v>
      </c>
      <c r="AR36" s="205">
        <v>32</v>
      </c>
      <c r="AS36" s="205">
        <v>26</v>
      </c>
      <c r="AT36" s="206">
        <f t="shared" si="8"/>
        <v>318557.49507400504</v>
      </c>
      <c r="AU36" s="205"/>
      <c r="AV36" s="174" t="s">
        <v>101</v>
      </c>
      <c r="AW36" s="174">
        <v>2</v>
      </c>
      <c r="AX36" s="175">
        <v>60</v>
      </c>
      <c r="AY36" s="175" t="s">
        <v>103</v>
      </c>
      <c r="AZ36" s="196">
        <f t="shared" si="9"/>
        <v>2.5</v>
      </c>
      <c r="BA36" s="205">
        <v>10</v>
      </c>
      <c r="BB36" s="199"/>
      <c r="BC36" s="207">
        <v>5</v>
      </c>
      <c r="BD36" s="207">
        <v>4</v>
      </c>
      <c r="BE36" s="207">
        <v>5</v>
      </c>
      <c r="BF36" s="97">
        <v>1</v>
      </c>
      <c r="BG36" s="97">
        <v>5</v>
      </c>
      <c r="BH36" s="97">
        <v>5</v>
      </c>
      <c r="BI36" s="97">
        <v>5</v>
      </c>
      <c r="BJ36" s="97">
        <v>1</v>
      </c>
      <c r="BK36" s="166">
        <v>5</v>
      </c>
      <c r="BL36" s="166">
        <v>2</v>
      </c>
      <c r="BM36" s="166">
        <v>1</v>
      </c>
      <c r="BN36" s="306">
        <v>2</v>
      </c>
      <c r="BP36" s="43">
        <v>2.8</v>
      </c>
      <c r="BQ36" s="43">
        <v>1.8</v>
      </c>
      <c r="BR36" s="43">
        <v>3</v>
      </c>
      <c r="BS36" s="43">
        <v>2.8</v>
      </c>
      <c r="BT36" s="43">
        <v>3</v>
      </c>
      <c r="BU36" s="43">
        <v>3.2</v>
      </c>
      <c r="BV36" s="43">
        <v>2.5</v>
      </c>
      <c r="BW36" s="43">
        <v>2.4</v>
      </c>
      <c r="BX36" s="43">
        <v>2.7</v>
      </c>
      <c r="BY36" s="43">
        <v>3.2</v>
      </c>
      <c r="BZ36" s="43">
        <f t="shared" si="10"/>
        <v>2.7333333333333329</v>
      </c>
      <c r="CA36" s="289">
        <v>2.6</v>
      </c>
      <c r="CB36" s="30"/>
      <c r="CC36" s="212"/>
      <c r="CD36" s="24" t="s">
        <v>138</v>
      </c>
      <c r="CE36" s="24">
        <v>809</v>
      </c>
      <c r="CF36" s="43">
        <v>0.48207059507620631</v>
      </c>
      <c r="CG36" s="43">
        <v>0.51711909497332842</v>
      </c>
      <c r="CH36" s="109">
        <v>0.55343854477611953</v>
      </c>
      <c r="CI36" s="43">
        <v>0.59397984036175411</v>
      </c>
      <c r="CJ36" s="43">
        <v>0.93155223410772015</v>
      </c>
      <c r="CK36" s="43">
        <v>0.76921894494714982</v>
      </c>
      <c r="CL36" s="43">
        <v>0.60885956785496009</v>
      </c>
      <c r="CM36" s="98">
        <v>0.31123003364637958</v>
      </c>
      <c r="CN36" s="98">
        <v>0.51469784664179119</v>
      </c>
      <c r="CO36" s="98">
        <v>0.55097881791044778</v>
      </c>
      <c r="CP36" s="98">
        <v>0.67999719967346939</v>
      </c>
      <c r="CQ36" s="289">
        <v>0.54</v>
      </c>
      <c r="CR36" s="98"/>
      <c r="CS36" s="98">
        <f t="shared" si="11"/>
        <v>4.6665164162366848</v>
      </c>
      <c r="CT36" s="30"/>
      <c r="CU36" s="49"/>
      <c r="CV36" s="47"/>
      <c r="CW36" s="48"/>
      <c r="CX36" s="48"/>
      <c r="CY36" s="48"/>
      <c r="CZ36" s="184"/>
      <c r="DA36" s="30"/>
      <c r="DB36" s="30"/>
      <c r="DC36" s="30"/>
    </row>
    <row r="37" spans="1:107" ht="15" x14ac:dyDescent="0.2">
      <c r="A37" s="232">
        <v>2</v>
      </c>
      <c r="B37" s="232" t="s">
        <v>136</v>
      </c>
      <c r="C37" s="232" t="s">
        <v>143</v>
      </c>
      <c r="D37" s="233">
        <v>810</v>
      </c>
      <c r="E37" s="84">
        <v>12.8</v>
      </c>
      <c r="F37" s="68" t="s">
        <v>101</v>
      </c>
      <c r="G37" s="68">
        <v>2</v>
      </c>
      <c r="H37" s="202">
        <v>72</v>
      </c>
      <c r="I37" s="202">
        <v>30</v>
      </c>
      <c r="J37" s="202">
        <v>22</v>
      </c>
      <c r="K37" s="202">
        <v>17</v>
      </c>
      <c r="L37" s="203">
        <f t="shared" si="12"/>
        <v>63447.60523189947</v>
      </c>
      <c r="M37" s="84">
        <v>12.8</v>
      </c>
      <c r="N37" s="84">
        <v>12.8</v>
      </c>
      <c r="O37" s="84">
        <v>12.9</v>
      </c>
      <c r="P37" s="204">
        <v>13</v>
      </c>
      <c r="Q37" s="204">
        <v>13</v>
      </c>
      <c r="R37" s="204">
        <v>13.1</v>
      </c>
      <c r="S37" s="84">
        <v>13.1</v>
      </c>
      <c r="T37" s="85">
        <v>13.15</v>
      </c>
      <c r="U37" s="85">
        <v>13.21</v>
      </c>
      <c r="V37" s="85">
        <v>13.32</v>
      </c>
      <c r="W37" s="85">
        <v>13.37</v>
      </c>
      <c r="X37" s="83">
        <v>13.5</v>
      </c>
      <c r="Y37" s="286">
        <v>13.6</v>
      </c>
      <c r="Z37" s="177">
        <f t="shared" si="2"/>
        <v>0.69999999999999929</v>
      </c>
      <c r="AA37" s="178">
        <f t="shared" si="13"/>
        <v>5.4687499999999944E-2</v>
      </c>
      <c r="AB37" s="177">
        <f t="shared" si="3"/>
        <v>0.34999999999999964</v>
      </c>
      <c r="AC37" s="178">
        <f t="shared" si="4"/>
        <v>5.4687499999999944E-2</v>
      </c>
      <c r="AD37" s="179">
        <f t="shared" si="5"/>
        <v>0.10040813999999976</v>
      </c>
      <c r="AE37" s="178">
        <f t="shared" si="6"/>
        <v>0.1134893798828122</v>
      </c>
      <c r="AF37"/>
      <c r="AG37"/>
      <c r="AH37" s="175">
        <v>1</v>
      </c>
      <c r="AI37" s="175">
        <v>1</v>
      </c>
      <c r="AJ37" s="175" t="s">
        <v>101</v>
      </c>
      <c r="AK37" s="174">
        <v>2</v>
      </c>
      <c r="AL37" s="175">
        <v>35</v>
      </c>
      <c r="AM37" s="175" t="s">
        <v>103</v>
      </c>
      <c r="AN37" s="196">
        <f t="shared" si="7"/>
        <v>2.5</v>
      </c>
      <c r="AO37" s="205">
        <v>15</v>
      </c>
      <c r="AP37" s="205">
        <v>75</v>
      </c>
      <c r="AQ37" s="205">
        <v>30</v>
      </c>
      <c r="AR37" s="205">
        <v>28</v>
      </c>
      <c r="AS37" s="205">
        <v>23</v>
      </c>
      <c r="AT37" s="206">
        <f t="shared" si="8"/>
        <v>113804.19387629026</v>
      </c>
      <c r="AU37" s="205"/>
      <c r="AV37" s="174" t="s">
        <v>101</v>
      </c>
      <c r="AW37" s="174">
        <v>2</v>
      </c>
      <c r="AX37" s="175">
        <v>20</v>
      </c>
      <c r="AY37" s="175" t="s">
        <v>103</v>
      </c>
      <c r="AZ37" s="196">
        <f t="shared" si="9"/>
        <v>2.5</v>
      </c>
      <c r="BA37" s="205">
        <v>15</v>
      </c>
      <c r="BB37" s="199"/>
      <c r="BC37" s="207">
        <v>4</v>
      </c>
      <c r="BD37" s="207">
        <v>1</v>
      </c>
      <c r="BE37" s="207">
        <v>5</v>
      </c>
      <c r="BF37" s="97">
        <v>1</v>
      </c>
      <c r="BG37" s="97">
        <v>5</v>
      </c>
      <c r="BH37" s="97"/>
      <c r="BI37" s="97">
        <v>1</v>
      </c>
      <c r="BJ37" s="97">
        <v>1</v>
      </c>
      <c r="BK37" s="166">
        <v>5</v>
      </c>
      <c r="BL37" s="166">
        <v>1</v>
      </c>
      <c r="BM37" s="166">
        <v>2</v>
      </c>
      <c r="BN37" s="306">
        <v>2</v>
      </c>
      <c r="BP37" s="43">
        <v>2.7</v>
      </c>
      <c r="BQ37" s="43">
        <v>2.9</v>
      </c>
      <c r="BR37" s="43">
        <v>1.6</v>
      </c>
      <c r="BS37" s="43">
        <v>2.8</v>
      </c>
      <c r="BT37" s="43">
        <v>2.8</v>
      </c>
      <c r="BU37" s="43">
        <v>2.8</v>
      </c>
      <c r="BV37" s="43">
        <v>2.1</v>
      </c>
      <c r="BW37" s="43">
        <v>1.9</v>
      </c>
      <c r="BX37" s="43">
        <v>2.5</v>
      </c>
      <c r="BY37" s="43">
        <v>2.9</v>
      </c>
      <c r="BZ37" s="43">
        <f t="shared" si="10"/>
        <v>2.4499999999999997</v>
      </c>
      <c r="CA37" s="289">
        <v>3.8</v>
      </c>
      <c r="CB37" s="30"/>
      <c r="CC37" s="212"/>
      <c r="CD37" s="24" t="s">
        <v>138</v>
      </c>
      <c r="CE37" s="24">
        <v>810</v>
      </c>
      <c r="CF37" s="43">
        <v>0.29883457807019936</v>
      </c>
      <c r="CG37" s="43">
        <v>0.27177959569347343</v>
      </c>
      <c r="CH37" s="109">
        <v>0.18693924179104485</v>
      </c>
      <c r="CI37" s="43">
        <v>0.34433613934014728</v>
      </c>
      <c r="CJ37" s="43">
        <v>0.5681546299112431</v>
      </c>
      <c r="CK37" s="43">
        <v>0.46051923677756978</v>
      </c>
      <c r="CL37" s="43">
        <v>0.30553680132357997</v>
      </c>
      <c r="CM37" s="98">
        <v>0.13821902917019091</v>
      </c>
      <c r="CN37" s="98">
        <v>0.35358573694029855</v>
      </c>
      <c r="CO37" s="98">
        <v>0.41015945485074623</v>
      </c>
      <c r="CP37" s="98">
        <v>0.41319274285714286</v>
      </c>
      <c r="CQ37" s="289">
        <v>0.2</v>
      </c>
      <c r="CR37" s="98"/>
      <c r="CS37" s="98">
        <f t="shared" si="11"/>
        <v>2.6704515550947945</v>
      </c>
      <c r="CT37" s="30"/>
      <c r="CU37" s="49"/>
      <c r="CV37" s="47"/>
      <c r="CW37" s="48"/>
      <c r="CX37" s="48"/>
      <c r="CY37" s="48"/>
      <c r="CZ37" s="184"/>
      <c r="DA37" s="30"/>
      <c r="DB37" s="30"/>
      <c r="DC37" s="30"/>
    </row>
    <row r="38" spans="1:107" ht="15" x14ac:dyDescent="0.2">
      <c r="A38" s="232">
        <v>2</v>
      </c>
      <c r="B38" s="232" t="s">
        <v>136</v>
      </c>
      <c r="C38" s="232" t="s">
        <v>144</v>
      </c>
      <c r="D38" s="233">
        <v>819</v>
      </c>
      <c r="E38" s="84">
        <v>14.7</v>
      </c>
      <c r="F38" s="68" t="s">
        <v>101</v>
      </c>
      <c r="G38" s="68">
        <v>2</v>
      </c>
      <c r="H38" s="202">
        <v>72</v>
      </c>
      <c r="I38" s="202">
        <v>55</v>
      </c>
      <c r="J38" s="202">
        <v>24</v>
      </c>
      <c r="K38" s="202">
        <v>17</v>
      </c>
      <c r="L38" s="203">
        <f t="shared" si="12"/>
        <v>126895.21046379893</v>
      </c>
      <c r="M38" s="84">
        <v>14.7</v>
      </c>
      <c r="N38" s="84">
        <v>14.8</v>
      </c>
      <c r="O38" s="84">
        <v>14.9</v>
      </c>
      <c r="P38" s="204">
        <v>15</v>
      </c>
      <c r="Q38" s="204">
        <v>15.2</v>
      </c>
      <c r="R38" s="204">
        <v>15.2</v>
      </c>
      <c r="S38" s="84">
        <v>15.2</v>
      </c>
      <c r="T38" s="85">
        <v>15.26</v>
      </c>
      <c r="U38" s="85">
        <v>15.36</v>
      </c>
      <c r="V38" s="85">
        <v>15.44</v>
      </c>
      <c r="W38" s="85">
        <v>15.55</v>
      </c>
      <c r="X38" s="83">
        <v>15.7</v>
      </c>
      <c r="Y38" s="286">
        <v>15.7</v>
      </c>
      <c r="Z38" s="177">
        <f t="shared" si="2"/>
        <v>1</v>
      </c>
      <c r="AA38" s="178">
        <f t="shared" si="13"/>
        <v>6.8027210884353748E-2</v>
      </c>
      <c r="AB38" s="177">
        <f t="shared" si="3"/>
        <v>0.5</v>
      </c>
      <c r="AC38" s="178">
        <f t="shared" si="4"/>
        <v>6.8027210884353748E-2</v>
      </c>
      <c r="AD38" s="179">
        <f t="shared" si="5"/>
        <v>0.16580159999999999</v>
      </c>
      <c r="AE38" s="178">
        <f t="shared" si="6"/>
        <v>0.14208894442130596</v>
      </c>
      <c r="AF38"/>
      <c r="AG38"/>
      <c r="AH38" s="175">
        <v>1</v>
      </c>
      <c r="AI38" s="175">
        <v>1</v>
      </c>
      <c r="AJ38" s="175" t="s">
        <v>101</v>
      </c>
      <c r="AK38" s="174">
        <v>2</v>
      </c>
      <c r="AL38" s="175">
        <v>45</v>
      </c>
      <c r="AM38" s="175" t="s">
        <v>103</v>
      </c>
      <c r="AN38" s="196">
        <f t="shared" si="7"/>
        <v>2.5</v>
      </c>
      <c r="AO38" s="205">
        <v>10</v>
      </c>
      <c r="AP38" s="205">
        <v>80</v>
      </c>
      <c r="AQ38" s="205">
        <v>50</v>
      </c>
      <c r="AR38" s="205">
        <v>33</v>
      </c>
      <c r="AS38" s="205">
        <v>22</v>
      </c>
      <c r="AT38" s="206">
        <f t="shared" si="8"/>
        <v>228079.626650619</v>
      </c>
      <c r="AU38" s="205"/>
      <c r="AV38" s="174" t="s">
        <v>102</v>
      </c>
      <c r="AW38" s="174">
        <v>1</v>
      </c>
      <c r="AX38" s="175">
        <v>55</v>
      </c>
      <c r="AY38" s="175" t="s">
        <v>103</v>
      </c>
      <c r="AZ38" s="196">
        <f t="shared" si="9"/>
        <v>2.5</v>
      </c>
      <c r="BA38" s="205">
        <v>20</v>
      </c>
      <c r="BB38" s="199"/>
      <c r="BC38" s="207">
        <v>5</v>
      </c>
      <c r="BD38" s="207">
        <v>2</v>
      </c>
      <c r="BE38" s="207">
        <v>2</v>
      </c>
      <c r="BF38" s="97">
        <v>2</v>
      </c>
      <c r="BG38" s="97">
        <v>5</v>
      </c>
      <c r="BH38" s="97">
        <v>5</v>
      </c>
      <c r="BI38" s="97">
        <v>5</v>
      </c>
      <c r="BJ38" s="97">
        <v>2</v>
      </c>
      <c r="BK38" s="166">
        <v>5</v>
      </c>
      <c r="BL38" s="166">
        <v>2</v>
      </c>
      <c r="BM38" s="166">
        <v>1</v>
      </c>
      <c r="BN38" s="306">
        <v>1</v>
      </c>
      <c r="BP38" s="43">
        <v>1.9</v>
      </c>
      <c r="BQ38" s="43">
        <v>3</v>
      </c>
      <c r="BR38" s="43">
        <v>1.9</v>
      </c>
      <c r="BS38" s="43">
        <v>2</v>
      </c>
      <c r="BT38" s="43">
        <v>2.2999999999999998</v>
      </c>
      <c r="BU38" s="43">
        <v>2.2999999999999998</v>
      </c>
      <c r="BV38" s="43">
        <v>2</v>
      </c>
      <c r="BW38" s="43">
        <v>2</v>
      </c>
      <c r="BX38" s="43">
        <v>2.1</v>
      </c>
      <c r="BY38" s="43">
        <v>2.5</v>
      </c>
      <c r="BZ38" s="43">
        <f t="shared" si="10"/>
        <v>2.13953488372093</v>
      </c>
      <c r="CA38" s="289">
        <v>2.6</v>
      </c>
      <c r="CB38" s="30"/>
      <c r="CC38" s="212"/>
      <c r="CD38" s="24" t="s">
        <v>138</v>
      </c>
      <c r="CE38" s="24">
        <v>819</v>
      </c>
      <c r="CF38" s="43">
        <v>0.29207083247601784</v>
      </c>
      <c r="CG38" s="43">
        <v>0.36063061736249363</v>
      </c>
      <c r="CH38" s="109">
        <v>0.26872516007462682</v>
      </c>
      <c r="CI38" s="43">
        <v>0.28284754302940684</v>
      </c>
      <c r="CJ38" s="43">
        <v>0.6576205375433708</v>
      </c>
      <c r="CK38" s="43">
        <v>0.45103051623957041</v>
      </c>
      <c r="CL38" s="43">
        <v>0.45545858582397009</v>
      </c>
      <c r="CM38" s="98">
        <v>0.34791975305997719</v>
      </c>
      <c r="CN38" s="98">
        <v>0.40677733041044778</v>
      </c>
      <c r="CO38" s="98">
        <v>0.61493171641791056</v>
      </c>
      <c r="CP38" s="98">
        <v>0.32760281755102039</v>
      </c>
      <c r="CQ38" s="289">
        <v>0.18</v>
      </c>
      <c r="CR38" s="98"/>
      <c r="CS38" s="98">
        <f t="shared" si="11"/>
        <v>3.3104100739502336</v>
      </c>
      <c r="CT38" s="30"/>
      <c r="CU38" s="49"/>
      <c r="CV38" s="47"/>
      <c r="CW38" s="48"/>
      <c r="CX38" s="48"/>
      <c r="CY38" s="48"/>
      <c r="CZ38" s="184"/>
      <c r="DA38" s="30"/>
      <c r="DB38" s="30"/>
      <c r="DC38" s="30"/>
    </row>
    <row r="39" spans="1:107" ht="15" x14ac:dyDescent="0.2">
      <c r="A39" s="232">
        <v>2</v>
      </c>
      <c r="B39" s="232" t="s">
        <v>136</v>
      </c>
      <c r="C39" s="232" t="s">
        <v>145</v>
      </c>
      <c r="D39" s="233">
        <v>822</v>
      </c>
      <c r="E39" s="84">
        <v>14.4</v>
      </c>
      <c r="F39" s="68" t="s">
        <v>101</v>
      </c>
      <c r="G39" s="68">
        <v>2</v>
      </c>
      <c r="H39" s="202">
        <v>70</v>
      </c>
      <c r="I39" s="202">
        <v>35</v>
      </c>
      <c r="J39" s="202">
        <v>24</v>
      </c>
      <c r="K39" s="202">
        <v>20</v>
      </c>
      <c r="L39" s="203">
        <f t="shared" si="12"/>
        <v>92362.824015539911</v>
      </c>
      <c r="M39" s="84">
        <v>14.4</v>
      </c>
      <c r="N39" s="84">
        <v>14.7</v>
      </c>
      <c r="O39" s="84">
        <v>15</v>
      </c>
      <c r="P39" s="204">
        <v>15.1</v>
      </c>
      <c r="Q39" s="204">
        <v>15.2</v>
      </c>
      <c r="R39" s="204">
        <v>15.4</v>
      </c>
      <c r="S39" s="84">
        <v>15.55</v>
      </c>
      <c r="T39" s="85">
        <v>15.75</v>
      </c>
      <c r="U39" s="85">
        <v>15.82</v>
      </c>
      <c r="V39" s="85">
        <v>15.97</v>
      </c>
      <c r="W39" s="85">
        <v>16.13</v>
      </c>
      <c r="X39" s="83">
        <v>16.399999999999999</v>
      </c>
      <c r="Y39" s="286">
        <v>16.5</v>
      </c>
      <c r="Z39" s="177">
        <f t="shared" si="2"/>
        <v>1.9999999999999982</v>
      </c>
      <c r="AA39" s="178">
        <f t="shared" si="13"/>
        <v>0.13888888888888876</v>
      </c>
      <c r="AB39" s="177">
        <f t="shared" si="3"/>
        <v>0.99999999999999911</v>
      </c>
      <c r="AC39" s="178">
        <f t="shared" si="4"/>
        <v>0.13888888888888876</v>
      </c>
      <c r="AD39" s="179">
        <f t="shared" si="5"/>
        <v>0.33596639999999978</v>
      </c>
      <c r="AE39" s="178">
        <f t="shared" si="6"/>
        <v>0.30003858024691338</v>
      </c>
      <c r="AF39"/>
      <c r="AG39"/>
      <c r="AH39" s="175">
        <v>1</v>
      </c>
      <c r="AI39" s="175">
        <v>1</v>
      </c>
      <c r="AJ39" s="175" t="s">
        <v>101</v>
      </c>
      <c r="AK39" s="174">
        <v>2</v>
      </c>
      <c r="AL39" s="175">
        <v>40</v>
      </c>
      <c r="AM39" s="175" t="s">
        <v>103</v>
      </c>
      <c r="AN39" s="196">
        <f t="shared" si="7"/>
        <v>2.5</v>
      </c>
      <c r="AO39" s="205">
        <v>20</v>
      </c>
      <c r="AP39" s="205">
        <v>90</v>
      </c>
      <c r="AQ39" s="205">
        <v>30</v>
      </c>
      <c r="AR39" s="205">
        <v>30</v>
      </c>
      <c r="AS39" s="205">
        <v>26</v>
      </c>
      <c r="AT39" s="206">
        <f t="shared" si="8"/>
        <v>165404.8532115026</v>
      </c>
      <c r="AU39" s="205"/>
      <c r="AV39" s="174" t="s">
        <v>101</v>
      </c>
      <c r="AW39" s="174">
        <v>2</v>
      </c>
      <c r="AX39" s="175">
        <v>40</v>
      </c>
      <c r="AY39" s="175" t="s">
        <v>103</v>
      </c>
      <c r="AZ39" s="196">
        <f t="shared" si="9"/>
        <v>2.5</v>
      </c>
      <c r="BA39" s="205">
        <v>15</v>
      </c>
      <c r="BB39" s="199"/>
      <c r="BC39" s="207">
        <v>5</v>
      </c>
      <c r="BD39" s="207">
        <v>1</v>
      </c>
      <c r="BE39" s="207">
        <v>3</v>
      </c>
      <c r="BF39" s="97">
        <v>2</v>
      </c>
      <c r="BG39" s="97">
        <v>2</v>
      </c>
      <c r="BH39" s="97">
        <v>5</v>
      </c>
      <c r="BI39" s="97">
        <v>5</v>
      </c>
      <c r="BJ39" s="97">
        <v>2</v>
      </c>
      <c r="BK39" s="166">
        <v>5</v>
      </c>
      <c r="BL39" s="166">
        <v>4</v>
      </c>
      <c r="BM39" s="166">
        <v>1</v>
      </c>
      <c r="BN39" s="306">
        <v>0</v>
      </c>
      <c r="BP39" s="43">
        <v>1.9</v>
      </c>
      <c r="BQ39" s="43">
        <v>3</v>
      </c>
      <c r="BR39" s="43">
        <v>1.7</v>
      </c>
      <c r="BS39" s="43">
        <v>2.1</v>
      </c>
      <c r="BT39" s="43">
        <v>2.1</v>
      </c>
      <c r="BU39" s="43">
        <v>2.2999999999999998</v>
      </c>
      <c r="BV39" s="43">
        <v>1.9</v>
      </c>
      <c r="BW39" s="43">
        <v>1.7</v>
      </c>
      <c r="BX39" s="43">
        <v>1.9</v>
      </c>
      <c r="BY39" s="43">
        <v>2.2999999999999998</v>
      </c>
      <c r="BZ39" s="43">
        <f t="shared" si="10"/>
        <v>1.9954545454545451</v>
      </c>
      <c r="CA39" s="289">
        <v>1.6</v>
      </c>
      <c r="CB39" s="30"/>
      <c r="CC39" s="212"/>
      <c r="CD39" s="24" t="s">
        <v>138</v>
      </c>
      <c r="CE39" s="24">
        <v>822</v>
      </c>
      <c r="CF39" s="43">
        <v>0.32127791572361958</v>
      </c>
      <c r="CG39" s="43">
        <v>0.40582473565088795</v>
      </c>
      <c r="CH39" s="109">
        <v>0.35543053208955222</v>
      </c>
      <c r="CI39" s="43">
        <v>0.49067899855971003</v>
      </c>
      <c r="CJ39" s="43">
        <v>0.64563026126277634</v>
      </c>
      <c r="CK39" s="43">
        <v>0.50922800220596665</v>
      </c>
      <c r="CL39" s="43">
        <v>0.51681897863636606</v>
      </c>
      <c r="CM39" s="98">
        <v>0.32261649829197886</v>
      </c>
      <c r="CN39" s="98">
        <v>0.4498225505597015</v>
      </c>
      <c r="CO39" s="98">
        <v>0.50209174645522392</v>
      </c>
      <c r="CP39" s="98">
        <v>0.5648935070204083</v>
      </c>
      <c r="CQ39" s="289">
        <v>0.35</v>
      </c>
      <c r="CR39" s="98"/>
      <c r="CS39" s="98">
        <f t="shared" si="11"/>
        <v>3.6155361755486259</v>
      </c>
      <c r="CT39" s="30"/>
      <c r="CU39" s="49"/>
      <c r="CV39" s="47"/>
      <c r="CW39" s="48"/>
      <c r="CX39" s="48"/>
      <c r="CY39" s="48"/>
      <c r="CZ39" s="184"/>
      <c r="DA39" s="30"/>
      <c r="DB39" s="30"/>
      <c r="DC39" s="30"/>
    </row>
    <row r="40" spans="1:107" ht="15" x14ac:dyDescent="0.2">
      <c r="A40" s="232">
        <v>2</v>
      </c>
      <c r="B40" s="232" t="s">
        <v>136</v>
      </c>
      <c r="C40" s="232" t="s">
        <v>146</v>
      </c>
      <c r="D40" s="233">
        <v>823</v>
      </c>
      <c r="E40" s="84">
        <v>14</v>
      </c>
      <c r="F40" s="68" t="s">
        <v>101</v>
      </c>
      <c r="G40" s="68">
        <v>2</v>
      </c>
      <c r="H40" s="202">
        <v>78</v>
      </c>
      <c r="I40" s="202">
        <v>40</v>
      </c>
      <c r="J40" s="202">
        <v>24</v>
      </c>
      <c r="K40" s="202">
        <v>18</v>
      </c>
      <c r="L40" s="203">
        <f t="shared" si="12"/>
        <v>105859.10605536167</v>
      </c>
      <c r="M40" s="84">
        <v>14</v>
      </c>
      <c r="N40" s="84">
        <v>14.3</v>
      </c>
      <c r="O40" s="84">
        <v>14.5</v>
      </c>
      <c r="P40" s="204">
        <v>14.8</v>
      </c>
      <c r="Q40" s="204">
        <v>15</v>
      </c>
      <c r="R40" s="204">
        <v>15.225</v>
      </c>
      <c r="S40" s="84">
        <v>15.45</v>
      </c>
      <c r="T40" s="85">
        <v>15.67</v>
      </c>
      <c r="U40" s="85">
        <v>15.92</v>
      </c>
      <c r="V40" s="85">
        <v>16.149999999999999</v>
      </c>
      <c r="W40" s="85">
        <v>16.41</v>
      </c>
      <c r="X40" s="83">
        <v>16.8</v>
      </c>
      <c r="Y40" s="286">
        <v>16.8</v>
      </c>
      <c r="Z40" s="177">
        <f t="shared" si="2"/>
        <v>2.8000000000000007</v>
      </c>
      <c r="AA40" s="178">
        <f t="shared" si="13"/>
        <v>0.20000000000000004</v>
      </c>
      <c r="AB40" s="177">
        <f t="shared" si="3"/>
        <v>1.4000000000000004</v>
      </c>
      <c r="AC40" s="178">
        <f t="shared" si="4"/>
        <v>0.20000000000000004</v>
      </c>
      <c r="AD40" s="179">
        <f t="shared" si="5"/>
        <v>0.47035296000000004</v>
      </c>
      <c r="AE40" s="178">
        <f t="shared" si="6"/>
        <v>0.44440000000000002</v>
      </c>
      <c r="AF40"/>
      <c r="AG40"/>
      <c r="AH40" s="175">
        <v>1</v>
      </c>
      <c r="AI40" s="175">
        <v>1</v>
      </c>
      <c r="AJ40" s="175" t="s">
        <v>102</v>
      </c>
      <c r="AK40" s="174">
        <v>1</v>
      </c>
      <c r="AL40" s="175">
        <v>35</v>
      </c>
      <c r="AM40" s="175" t="s">
        <v>103</v>
      </c>
      <c r="AN40" s="196">
        <f t="shared" si="7"/>
        <v>2.5</v>
      </c>
      <c r="AO40" s="205">
        <v>10</v>
      </c>
      <c r="AP40" s="205">
        <v>85</v>
      </c>
      <c r="AQ40" s="205">
        <v>45</v>
      </c>
      <c r="AR40" s="205">
        <v>36</v>
      </c>
      <c r="AS40" s="205">
        <v>24</v>
      </c>
      <c r="AT40" s="206">
        <f t="shared" si="8"/>
        <v>259558.3850395887</v>
      </c>
      <c r="AU40" s="205"/>
      <c r="AV40" s="174" t="s">
        <v>102</v>
      </c>
      <c r="AW40" s="174">
        <v>1</v>
      </c>
      <c r="AX40" s="175">
        <v>30</v>
      </c>
      <c r="AY40" s="175" t="s">
        <v>103</v>
      </c>
      <c r="AZ40" s="196">
        <f t="shared" si="9"/>
        <v>2.5</v>
      </c>
      <c r="BA40" s="205">
        <v>10</v>
      </c>
      <c r="BB40" s="199"/>
      <c r="BC40" s="207">
        <v>5</v>
      </c>
      <c r="BD40" s="207">
        <v>4</v>
      </c>
      <c r="BE40" s="207">
        <v>1</v>
      </c>
      <c r="BF40" s="97">
        <v>2</v>
      </c>
      <c r="BG40" s="97">
        <v>5</v>
      </c>
      <c r="BH40" s="97">
        <v>4</v>
      </c>
      <c r="BI40" s="97">
        <v>5</v>
      </c>
      <c r="BJ40" s="97">
        <v>2</v>
      </c>
      <c r="BK40" s="166">
        <v>5</v>
      </c>
      <c r="BL40" s="166">
        <v>3</v>
      </c>
      <c r="BM40" s="166">
        <v>3</v>
      </c>
      <c r="BN40" s="306">
        <v>2</v>
      </c>
      <c r="BP40" s="43">
        <v>2.2999999999999998</v>
      </c>
      <c r="BQ40" s="43">
        <v>1.6</v>
      </c>
      <c r="BR40" s="43">
        <v>2.5</v>
      </c>
      <c r="BS40" s="43">
        <v>2.9</v>
      </c>
      <c r="BT40" s="43">
        <v>2.9</v>
      </c>
      <c r="BU40" s="43">
        <v>2.9</v>
      </c>
      <c r="BV40" s="43">
        <v>2.5</v>
      </c>
      <c r="BW40" s="43">
        <v>1.7</v>
      </c>
      <c r="BX40" s="43">
        <v>1.7</v>
      </c>
      <c r="BY40" s="43">
        <v>3.1</v>
      </c>
      <c r="BZ40" s="43">
        <f t="shared" si="10"/>
        <v>2.7</v>
      </c>
      <c r="CA40" s="289">
        <v>2.2999999999999998</v>
      </c>
      <c r="CB40" s="30"/>
      <c r="CC40" s="212"/>
      <c r="CD40" s="24" t="s">
        <v>138</v>
      </c>
      <c r="CE40" s="24">
        <v>823</v>
      </c>
      <c r="CF40" s="43">
        <v>0.31820348590808262</v>
      </c>
      <c r="CG40" s="43">
        <v>0.2766986833983327</v>
      </c>
      <c r="CH40" s="109">
        <v>0.48425872667910452</v>
      </c>
      <c r="CI40" s="43">
        <v>0.41012893739263984</v>
      </c>
      <c r="CJ40" s="43">
        <v>0.51711909497332842</v>
      </c>
      <c r="CK40" s="43">
        <v>0.60538037032436021</v>
      </c>
      <c r="CL40" s="43">
        <v>0.61676683496995965</v>
      </c>
      <c r="CM40" s="98">
        <v>0.24196237371898413</v>
      </c>
      <c r="CN40" s="98">
        <v>0.40247280839552241</v>
      </c>
      <c r="CO40" s="98">
        <v>0.71485812033582097</v>
      </c>
      <c r="CP40" s="98">
        <v>0.5648935070204083</v>
      </c>
      <c r="CQ40" s="289">
        <v>0.6</v>
      </c>
      <c r="CR40" s="98"/>
      <c r="CS40" s="98">
        <f t="shared" si="11"/>
        <v>3.6702795488769082</v>
      </c>
      <c r="CT40" s="30"/>
      <c r="CU40" s="49"/>
      <c r="CV40" s="47"/>
      <c r="CW40" s="48"/>
      <c r="CX40" s="48"/>
      <c r="CY40" s="48"/>
      <c r="CZ40" s="184"/>
      <c r="DA40" s="30"/>
      <c r="DB40" s="30"/>
      <c r="DC40" s="30"/>
    </row>
    <row r="41" spans="1:107" ht="15" x14ac:dyDescent="0.2">
      <c r="A41" s="232">
        <v>2</v>
      </c>
      <c r="B41" s="232" t="s">
        <v>136</v>
      </c>
      <c r="C41" s="232" t="s">
        <v>147</v>
      </c>
      <c r="D41" s="233">
        <v>825</v>
      </c>
      <c r="E41" s="84">
        <v>11.6</v>
      </c>
      <c r="F41" s="68" t="s">
        <v>101</v>
      </c>
      <c r="G41" s="68">
        <v>2</v>
      </c>
      <c r="H41" s="202">
        <v>72</v>
      </c>
      <c r="I41" s="202">
        <v>55</v>
      </c>
      <c r="J41" s="202">
        <v>25</v>
      </c>
      <c r="K41" s="202">
        <v>20</v>
      </c>
      <c r="L41" s="203">
        <f t="shared" si="12"/>
        <v>155508.83635269475</v>
      </c>
      <c r="M41" s="84">
        <v>11.6</v>
      </c>
      <c r="N41" s="84">
        <v>11.8</v>
      </c>
      <c r="O41" s="84">
        <v>11.9</v>
      </c>
      <c r="P41" s="204">
        <v>12.1</v>
      </c>
      <c r="Q41" s="204">
        <v>12.2</v>
      </c>
      <c r="R41" s="204">
        <v>12.4</v>
      </c>
      <c r="S41" s="84">
        <v>12.4</v>
      </c>
      <c r="T41" s="85">
        <v>12.46</v>
      </c>
      <c r="U41" s="85">
        <v>12.6</v>
      </c>
      <c r="V41" s="85">
        <v>12.63</v>
      </c>
      <c r="W41" s="85">
        <v>12.78</v>
      </c>
      <c r="X41" s="83">
        <v>12.9</v>
      </c>
      <c r="Y41" s="286">
        <v>13.1</v>
      </c>
      <c r="Z41" s="177">
        <f t="shared" si="2"/>
        <v>1.3000000000000007</v>
      </c>
      <c r="AA41" s="178">
        <f t="shared" si="13"/>
        <v>0.11206896551724145</v>
      </c>
      <c r="AB41" s="177">
        <f t="shared" si="3"/>
        <v>0.65000000000000036</v>
      </c>
      <c r="AC41" s="178">
        <f t="shared" si="4"/>
        <v>0.11206896551724145</v>
      </c>
      <c r="AD41" s="179">
        <f t="shared" si="5"/>
        <v>0.17370989999999997</v>
      </c>
      <c r="AE41" s="178">
        <f t="shared" si="6"/>
        <v>0.23906435790725322</v>
      </c>
      <c r="AF41"/>
      <c r="AG41"/>
      <c r="AH41" s="175">
        <v>2.5</v>
      </c>
      <c r="AI41" s="175">
        <v>1</v>
      </c>
      <c r="AJ41" s="175" t="s">
        <v>102</v>
      </c>
      <c r="AK41" s="174">
        <v>1</v>
      </c>
      <c r="AL41" s="175">
        <v>40</v>
      </c>
      <c r="AM41" s="175" t="s">
        <v>103</v>
      </c>
      <c r="AN41" s="196">
        <f t="shared" si="7"/>
        <v>2.5</v>
      </c>
      <c r="AO41" s="205">
        <v>5</v>
      </c>
      <c r="AP41" s="205">
        <v>75</v>
      </c>
      <c r="AQ41" s="205">
        <v>40</v>
      </c>
      <c r="AR41" s="205">
        <v>32</v>
      </c>
      <c r="AS41" s="205">
        <v>20</v>
      </c>
      <c r="AT41" s="206">
        <f t="shared" si="8"/>
        <v>150796.44737231007</v>
      </c>
      <c r="AU41" s="205"/>
      <c r="AV41" s="174" t="s">
        <v>101</v>
      </c>
      <c r="AW41" s="174">
        <v>2</v>
      </c>
      <c r="AX41" s="175">
        <v>35</v>
      </c>
      <c r="AY41" s="175" t="s">
        <v>103</v>
      </c>
      <c r="AZ41" s="196">
        <f t="shared" si="9"/>
        <v>2.5</v>
      </c>
      <c r="BA41" s="205">
        <v>15</v>
      </c>
      <c r="BB41" s="199"/>
      <c r="BC41" s="207">
        <v>4</v>
      </c>
      <c r="BD41" s="207">
        <v>2</v>
      </c>
      <c r="BE41" s="207">
        <v>1</v>
      </c>
      <c r="BF41" s="97">
        <v>1</v>
      </c>
      <c r="BG41" s="97">
        <v>5</v>
      </c>
      <c r="BH41" s="97">
        <v>4</v>
      </c>
      <c r="BI41" s="97">
        <v>5</v>
      </c>
      <c r="BJ41" s="97">
        <v>1</v>
      </c>
      <c r="BK41" s="166">
        <v>5</v>
      </c>
      <c r="BL41" s="166">
        <v>4</v>
      </c>
      <c r="BM41" s="166">
        <v>1</v>
      </c>
      <c r="BN41" s="306">
        <v>1</v>
      </c>
      <c r="BP41" s="43">
        <v>1.9</v>
      </c>
      <c r="BQ41" s="43">
        <v>2.5</v>
      </c>
      <c r="BR41" s="43">
        <v>2</v>
      </c>
      <c r="BS41" s="43">
        <v>2.2000000000000002</v>
      </c>
      <c r="BT41" s="43">
        <v>2.4</v>
      </c>
      <c r="BU41" s="43">
        <v>2.6</v>
      </c>
      <c r="BV41" s="43">
        <v>1.9</v>
      </c>
      <c r="BW41" s="43">
        <v>1.8</v>
      </c>
      <c r="BX41" s="43">
        <v>2.4</v>
      </c>
      <c r="BY41" s="43">
        <v>2.4</v>
      </c>
      <c r="BZ41" s="43">
        <f t="shared" si="10"/>
        <v>2.129166666666666</v>
      </c>
      <c r="CA41" s="289">
        <v>1.8</v>
      </c>
      <c r="CB41" s="30"/>
      <c r="CC41" s="212"/>
      <c r="CD41" s="24" t="s">
        <v>138</v>
      </c>
      <c r="CE41" s="24">
        <v>825</v>
      </c>
      <c r="CF41" s="43">
        <v>0.32711933237313995</v>
      </c>
      <c r="CG41" s="43">
        <v>0.32127791572361958</v>
      </c>
      <c r="CH41" s="109">
        <v>0.52884127611940313</v>
      </c>
      <c r="CI41" s="43">
        <v>0.4734621915927027</v>
      </c>
      <c r="CJ41" s="43">
        <v>0.5460187352393765</v>
      </c>
      <c r="CK41" s="43">
        <v>0.7072259707655536</v>
      </c>
      <c r="CL41" s="43">
        <v>0.58292373171776157</v>
      </c>
      <c r="CM41" s="98">
        <v>0.29604808078558065</v>
      </c>
      <c r="CN41" s="98">
        <v>0.4796467388059702</v>
      </c>
      <c r="CO41" s="98">
        <v>0.60509280895522388</v>
      </c>
      <c r="CP41" s="98">
        <v>0.40079696057142861</v>
      </c>
      <c r="CQ41" s="289">
        <v>0.42</v>
      </c>
      <c r="CR41" s="98"/>
      <c r="CS41" s="98">
        <f t="shared" si="11"/>
        <v>3.894125425662665</v>
      </c>
      <c r="CT41" s="30"/>
      <c r="CU41" s="49"/>
      <c r="CV41" s="47"/>
      <c r="CW41" s="48"/>
      <c r="CX41" s="48"/>
      <c r="CY41" s="48"/>
      <c r="CZ41" s="184"/>
      <c r="DA41" s="30"/>
      <c r="DB41" s="30"/>
      <c r="DC41" s="30"/>
    </row>
    <row r="42" spans="1:107" ht="15" x14ac:dyDescent="0.2">
      <c r="A42" s="232">
        <v>2</v>
      </c>
      <c r="B42" s="232" t="s">
        <v>136</v>
      </c>
      <c r="C42" s="232" t="s">
        <v>148</v>
      </c>
      <c r="D42" s="233">
        <v>826</v>
      </c>
      <c r="E42" s="84">
        <v>14.8</v>
      </c>
      <c r="F42" s="68" t="s">
        <v>101</v>
      </c>
      <c r="G42" s="68">
        <v>2</v>
      </c>
      <c r="H42" s="202">
        <v>72</v>
      </c>
      <c r="I42" s="202">
        <v>40</v>
      </c>
      <c r="J42" s="202">
        <v>24</v>
      </c>
      <c r="K42" s="202">
        <v>24</v>
      </c>
      <c r="L42" s="203">
        <f t="shared" si="12"/>
        <v>130288.13052967589</v>
      </c>
      <c r="M42" s="84">
        <v>14.8</v>
      </c>
      <c r="N42" s="84">
        <v>15</v>
      </c>
      <c r="O42" s="84">
        <v>15.4</v>
      </c>
      <c r="P42" s="204">
        <v>15.6</v>
      </c>
      <c r="Q42" s="204">
        <v>15.7</v>
      </c>
      <c r="R42" s="204">
        <v>15.8</v>
      </c>
      <c r="S42" s="84">
        <v>15.8</v>
      </c>
      <c r="T42" s="85">
        <v>15.85</v>
      </c>
      <c r="U42" s="85">
        <v>15.94</v>
      </c>
      <c r="V42" s="85">
        <v>16.149999999999999</v>
      </c>
      <c r="W42" s="85">
        <v>16.18</v>
      </c>
      <c r="X42" s="83">
        <v>16.3</v>
      </c>
      <c r="Y42" s="286">
        <v>16.5</v>
      </c>
      <c r="Z42" s="177">
        <f t="shared" si="2"/>
        <v>1.5</v>
      </c>
      <c r="AA42" s="178">
        <f t="shared" si="13"/>
        <v>0.10135135135135134</v>
      </c>
      <c r="AB42" s="177">
        <f t="shared" si="3"/>
        <v>0.75</v>
      </c>
      <c r="AC42" s="178">
        <f t="shared" si="4"/>
        <v>0.10135135135135134</v>
      </c>
      <c r="AD42" s="179">
        <f t="shared" si="5"/>
        <v>0.25442909999999985</v>
      </c>
      <c r="AE42" s="178">
        <f t="shared" si="6"/>
        <v>0.2151045471146821</v>
      </c>
      <c r="AF42"/>
      <c r="AG42"/>
      <c r="AH42" s="175">
        <v>2</v>
      </c>
      <c r="AI42" s="175">
        <v>1</v>
      </c>
      <c r="AJ42" s="175" t="s">
        <v>101</v>
      </c>
      <c r="AK42" s="174">
        <v>2</v>
      </c>
      <c r="AL42" s="175">
        <v>55</v>
      </c>
      <c r="AM42" s="175" t="s">
        <v>103</v>
      </c>
      <c r="AN42" s="196">
        <f t="shared" si="7"/>
        <v>2.5</v>
      </c>
      <c r="AO42" s="205">
        <v>10</v>
      </c>
      <c r="AP42" s="205">
        <v>80</v>
      </c>
      <c r="AQ42" s="205">
        <v>50</v>
      </c>
      <c r="AR42" s="205">
        <v>40</v>
      </c>
      <c r="AS42" s="205">
        <v>24</v>
      </c>
      <c r="AT42" s="206">
        <f t="shared" si="8"/>
        <v>301592.89474462013</v>
      </c>
      <c r="AU42" s="205"/>
      <c r="AV42" s="174" t="s">
        <v>101</v>
      </c>
      <c r="AW42" s="174">
        <v>2</v>
      </c>
      <c r="AX42" s="175">
        <v>45</v>
      </c>
      <c r="AY42" s="175" t="s">
        <v>103</v>
      </c>
      <c r="AZ42" s="196">
        <f t="shared" si="9"/>
        <v>2.5</v>
      </c>
      <c r="BA42" s="205">
        <v>20</v>
      </c>
      <c r="BB42" s="199"/>
      <c r="BC42" s="207">
        <v>4</v>
      </c>
      <c r="BD42" s="207">
        <v>1</v>
      </c>
      <c r="BE42" s="207">
        <v>5</v>
      </c>
      <c r="BF42" s="97">
        <v>1</v>
      </c>
      <c r="BG42" s="97">
        <v>5</v>
      </c>
      <c r="BH42" s="97">
        <v>5</v>
      </c>
      <c r="BI42" s="97">
        <v>5</v>
      </c>
      <c r="BJ42" s="97">
        <v>1</v>
      </c>
      <c r="BK42" s="166">
        <v>5</v>
      </c>
      <c r="BL42" s="166">
        <v>2</v>
      </c>
      <c r="BM42" s="166">
        <v>2</v>
      </c>
      <c r="BN42" s="306">
        <v>3</v>
      </c>
      <c r="BP42" s="43">
        <v>1.9</v>
      </c>
      <c r="BQ42" s="43">
        <v>2.4</v>
      </c>
      <c r="BR42" s="43">
        <v>2</v>
      </c>
      <c r="BS42" s="43">
        <v>2.4</v>
      </c>
      <c r="BT42" s="43">
        <v>2.2000000000000002</v>
      </c>
      <c r="BU42" s="43">
        <v>2.4</v>
      </c>
      <c r="BV42" s="43">
        <v>2</v>
      </c>
      <c r="BW42" s="43">
        <v>1.8</v>
      </c>
      <c r="BX42" s="43">
        <v>1.9</v>
      </c>
      <c r="BY42" s="43">
        <v>2.4</v>
      </c>
      <c r="BZ42" s="43">
        <f t="shared" si="10"/>
        <v>2.1</v>
      </c>
      <c r="CA42" s="289">
        <v>1.8</v>
      </c>
      <c r="CB42" s="30"/>
      <c r="CC42" s="212"/>
      <c r="CD42" s="24" t="s">
        <v>138</v>
      </c>
      <c r="CE42" s="24">
        <v>826</v>
      </c>
      <c r="CF42" s="43">
        <v>0.23365666598081425</v>
      </c>
      <c r="CG42" s="43">
        <v>0.36893157786444364</v>
      </c>
      <c r="CH42" s="109">
        <v>0.45504947014925373</v>
      </c>
      <c r="CI42" s="43">
        <v>0.34679568319257698</v>
      </c>
      <c r="CJ42" s="43">
        <v>0.53433590194033587</v>
      </c>
      <c r="CK42" s="43">
        <v>0.5161863972671662</v>
      </c>
      <c r="CL42" s="43">
        <v>0.50606509535996691</v>
      </c>
      <c r="CM42" s="98">
        <v>0.2618886868487828</v>
      </c>
      <c r="CN42" s="98">
        <v>0.35635292966417909</v>
      </c>
      <c r="CO42" s="98">
        <v>0.56819690597014927</v>
      </c>
      <c r="CP42" s="98">
        <v>0.36124851232653066</v>
      </c>
      <c r="CQ42" s="289">
        <v>0.35</v>
      </c>
      <c r="CR42" s="98"/>
      <c r="CS42" s="98">
        <f t="shared" si="11"/>
        <v>3.3179674513901345</v>
      </c>
      <c r="CT42" s="30"/>
      <c r="CU42" s="49"/>
      <c r="CV42" s="47"/>
      <c r="CW42" s="48"/>
      <c r="CX42" s="48"/>
      <c r="CY42" s="48"/>
      <c r="CZ42" s="184"/>
      <c r="DA42" s="30"/>
      <c r="DB42" s="30"/>
      <c r="DC42" s="30"/>
    </row>
    <row r="43" spans="1:107" ht="15" x14ac:dyDescent="0.2">
      <c r="A43" s="232">
        <v>2</v>
      </c>
      <c r="B43" s="232" t="s">
        <v>136</v>
      </c>
      <c r="C43" s="232" t="s">
        <v>149</v>
      </c>
      <c r="D43" s="233">
        <v>828</v>
      </c>
      <c r="E43" s="84">
        <v>13</v>
      </c>
      <c r="F43" s="68" t="s">
        <v>101</v>
      </c>
      <c r="G43" s="68">
        <v>2</v>
      </c>
      <c r="H43" s="202">
        <v>72</v>
      </c>
      <c r="I43" s="202">
        <v>55</v>
      </c>
      <c r="J43" s="202">
        <v>26</v>
      </c>
      <c r="K43" s="202">
        <v>23</v>
      </c>
      <c r="L43" s="203">
        <f t="shared" si="12"/>
        <v>185988.56827782292</v>
      </c>
      <c r="M43" s="84">
        <v>13</v>
      </c>
      <c r="N43" s="84">
        <v>13.2</v>
      </c>
      <c r="O43" s="84">
        <v>13.3</v>
      </c>
      <c r="P43" s="204">
        <v>13.5</v>
      </c>
      <c r="Q43" s="204">
        <v>13.6</v>
      </c>
      <c r="R43" s="204">
        <v>13.7</v>
      </c>
      <c r="S43" s="84">
        <v>13.9</v>
      </c>
      <c r="T43" s="85">
        <v>14</v>
      </c>
      <c r="U43" s="85">
        <v>14.15</v>
      </c>
      <c r="V43" s="85">
        <v>14.35</v>
      </c>
      <c r="W43" s="85">
        <v>14.48</v>
      </c>
      <c r="X43" s="83">
        <v>14.7</v>
      </c>
      <c r="Y43" s="286">
        <v>14.8</v>
      </c>
      <c r="Z43" s="177">
        <f t="shared" si="2"/>
        <v>1.6999999999999993</v>
      </c>
      <c r="AA43" s="178">
        <f t="shared" si="13"/>
        <v>0.13076923076923072</v>
      </c>
      <c r="AB43" s="177">
        <f t="shared" si="3"/>
        <v>0.84999999999999964</v>
      </c>
      <c r="AC43" s="178">
        <f t="shared" si="4"/>
        <v>0.13076923076923072</v>
      </c>
      <c r="AD43" s="179">
        <f t="shared" si="5"/>
        <v>0.25682885999999983</v>
      </c>
      <c r="AE43" s="178">
        <f t="shared" si="6"/>
        <v>0.28142544378698203</v>
      </c>
      <c r="AF43"/>
      <c r="AG43"/>
      <c r="AH43" s="175">
        <v>1</v>
      </c>
      <c r="AI43" s="175">
        <v>1</v>
      </c>
      <c r="AJ43" s="175" t="s">
        <v>112</v>
      </c>
      <c r="AK43" s="174">
        <v>3</v>
      </c>
      <c r="AL43" s="175">
        <v>60</v>
      </c>
      <c r="AM43" s="175" t="s">
        <v>103</v>
      </c>
      <c r="AN43" s="196">
        <f t="shared" si="7"/>
        <v>2.5</v>
      </c>
      <c r="AO43" s="205">
        <v>20</v>
      </c>
      <c r="AP43" s="205">
        <v>80</v>
      </c>
      <c r="AQ43" s="205">
        <v>55</v>
      </c>
      <c r="AR43" s="205">
        <v>36</v>
      </c>
      <c r="AS43" s="205">
        <v>29</v>
      </c>
      <c r="AT43" s="206">
        <f t="shared" si="8"/>
        <v>360780.50033825182</v>
      </c>
      <c r="AU43" s="205"/>
      <c r="AV43" s="174" t="s">
        <v>112</v>
      </c>
      <c r="AW43" s="174">
        <v>2</v>
      </c>
      <c r="AX43" s="175">
        <v>40</v>
      </c>
      <c r="AY43" s="175" t="s">
        <v>103</v>
      </c>
      <c r="AZ43" s="196">
        <f t="shared" si="9"/>
        <v>2.5</v>
      </c>
      <c r="BA43" s="205">
        <v>25</v>
      </c>
      <c r="BB43" s="199"/>
      <c r="BC43" s="207">
        <v>5</v>
      </c>
      <c r="BD43" s="207">
        <v>1</v>
      </c>
      <c r="BE43" s="207">
        <v>5</v>
      </c>
      <c r="BF43" s="97"/>
      <c r="BG43" s="97">
        <v>5</v>
      </c>
      <c r="BH43" s="97">
        <v>5</v>
      </c>
      <c r="BI43" s="97">
        <v>5</v>
      </c>
      <c r="BJ43" s="97"/>
      <c r="BK43" s="166">
        <v>5</v>
      </c>
      <c r="BL43" s="166">
        <v>2</v>
      </c>
      <c r="BM43" s="166">
        <v>1</v>
      </c>
      <c r="BN43" s="306">
        <v>1</v>
      </c>
      <c r="BP43" s="43">
        <v>1.6</v>
      </c>
      <c r="BQ43" s="43">
        <v>1.9</v>
      </c>
      <c r="BR43" s="43">
        <v>1.2</v>
      </c>
      <c r="BS43" s="43">
        <v>1.7</v>
      </c>
      <c r="BT43" s="43">
        <v>1.7999999999999998</v>
      </c>
      <c r="BU43" s="43">
        <v>2.1</v>
      </c>
      <c r="BV43" s="43">
        <v>1.5</v>
      </c>
      <c r="BW43" s="43">
        <v>1.8</v>
      </c>
      <c r="BX43" s="43">
        <v>1.6</v>
      </c>
      <c r="BY43" s="43">
        <v>1.9</v>
      </c>
      <c r="BZ43" s="43">
        <f t="shared" si="10"/>
        <v>1.6342105263157896</v>
      </c>
      <c r="CA43" s="289">
        <v>1.5</v>
      </c>
      <c r="CB43" s="30"/>
      <c r="CC43" s="212"/>
      <c r="CD43" s="24" t="s">
        <v>138</v>
      </c>
      <c r="CE43" s="24">
        <v>828</v>
      </c>
      <c r="CF43" s="43">
        <v>0.22627803442352548</v>
      </c>
      <c r="CG43" s="43">
        <v>0.23949808263033462</v>
      </c>
      <c r="CH43" s="109">
        <v>0.19554828582089553</v>
      </c>
      <c r="CI43" s="43">
        <v>0.36585714804890662</v>
      </c>
      <c r="CJ43" s="43">
        <v>0.41504802509749911</v>
      </c>
      <c r="CK43" s="43">
        <v>0.45166309760877033</v>
      </c>
      <c r="CL43" s="43">
        <v>0.28466161613998137</v>
      </c>
      <c r="CM43" s="98">
        <v>0.19926313129798692</v>
      </c>
      <c r="CN43" s="98">
        <v>0.32960340000000005</v>
      </c>
      <c r="CO43" s="98">
        <v>0.432296996641791</v>
      </c>
      <c r="CP43" s="98">
        <v>0.21249912489795922</v>
      </c>
      <c r="CQ43" s="289">
        <v>0.23</v>
      </c>
      <c r="CR43" s="98"/>
      <c r="CS43" s="98">
        <f t="shared" si="11"/>
        <v>2.5117742541677526</v>
      </c>
      <c r="CT43" s="30"/>
      <c r="CU43" s="49"/>
      <c r="CV43" s="47"/>
      <c r="CW43" s="48"/>
      <c r="CX43" s="48"/>
      <c r="CY43" s="48"/>
      <c r="CZ43" s="184"/>
      <c r="DA43" s="30"/>
      <c r="DB43" s="30"/>
      <c r="DC43" s="30"/>
    </row>
    <row r="44" spans="1:107" ht="15" x14ac:dyDescent="0.2">
      <c r="A44" s="232">
        <v>2</v>
      </c>
      <c r="B44" s="232" t="s">
        <v>136</v>
      </c>
      <c r="C44" s="232" t="s">
        <v>150</v>
      </c>
      <c r="D44" s="233">
        <v>829</v>
      </c>
      <c r="E44" s="84">
        <v>14.6</v>
      </c>
      <c r="F44" s="68" t="s">
        <v>101</v>
      </c>
      <c r="G44" s="68">
        <v>2</v>
      </c>
      <c r="H44" s="202">
        <v>80</v>
      </c>
      <c r="I44" s="202">
        <v>60</v>
      </c>
      <c r="J44" s="202">
        <v>25</v>
      </c>
      <c r="K44" s="202">
        <v>24</v>
      </c>
      <c r="L44" s="203">
        <f t="shared" si="12"/>
        <v>226194.67105846509</v>
      </c>
      <c r="M44" s="84">
        <v>14.6</v>
      </c>
      <c r="N44" s="84">
        <v>14.8</v>
      </c>
      <c r="O44" s="84">
        <v>15</v>
      </c>
      <c r="P44" s="204">
        <v>15.3</v>
      </c>
      <c r="Q44" s="204">
        <v>15.5</v>
      </c>
      <c r="R44" s="204">
        <v>15.6</v>
      </c>
      <c r="S44" s="84">
        <v>15.65</v>
      </c>
      <c r="T44" s="85">
        <v>15.8</v>
      </c>
      <c r="U44" s="85">
        <v>15.95</v>
      </c>
      <c r="V44" s="85">
        <v>16.04</v>
      </c>
      <c r="W44" s="85">
        <v>16.2</v>
      </c>
      <c r="X44" s="83">
        <v>16.399999999999999</v>
      </c>
      <c r="Y44" s="286">
        <v>16.5</v>
      </c>
      <c r="Z44" s="177">
        <f t="shared" si="2"/>
        <v>1.7999999999999989</v>
      </c>
      <c r="AA44" s="178">
        <f t="shared" si="13"/>
        <v>0.12328767123287664</v>
      </c>
      <c r="AB44" s="177">
        <f t="shared" si="3"/>
        <v>0.89999999999999947</v>
      </c>
      <c r="AC44" s="178">
        <f t="shared" si="4"/>
        <v>0.12328767123287664</v>
      </c>
      <c r="AD44" s="179">
        <f t="shared" si="5"/>
        <v>0.30433319999999986</v>
      </c>
      <c r="AE44" s="178">
        <f t="shared" si="6"/>
        <v>0.26439294426721699</v>
      </c>
      <c r="AF44"/>
      <c r="AG44"/>
      <c r="AH44" s="175">
        <v>1</v>
      </c>
      <c r="AI44" s="175">
        <v>1</v>
      </c>
      <c r="AJ44" s="175" t="s">
        <v>112</v>
      </c>
      <c r="AK44" s="174">
        <v>3</v>
      </c>
      <c r="AL44" s="175">
        <v>40</v>
      </c>
      <c r="AM44" s="175" t="s">
        <v>103</v>
      </c>
      <c r="AN44" s="196">
        <f t="shared" si="7"/>
        <v>2.5</v>
      </c>
      <c r="AO44" s="205">
        <v>20</v>
      </c>
      <c r="AP44" s="205">
        <v>85</v>
      </c>
      <c r="AQ44" s="205">
        <v>45</v>
      </c>
      <c r="AR44" s="205">
        <v>36</v>
      </c>
      <c r="AS44" s="205">
        <v>24</v>
      </c>
      <c r="AT44" s="206">
        <f t="shared" si="8"/>
        <v>259558.3850395887</v>
      </c>
      <c r="AU44" s="205"/>
      <c r="AV44" s="174" t="s">
        <v>101</v>
      </c>
      <c r="AW44" s="174">
        <v>2</v>
      </c>
      <c r="AX44" s="175">
        <v>40</v>
      </c>
      <c r="AY44" s="175" t="s">
        <v>103</v>
      </c>
      <c r="AZ44" s="196">
        <f t="shared" si="9"/>
        <v>2.5</v>
      </c>
      <c r="BA44" s="205">
        <v>25</v>
      </c>
      <c r="BB44" s="199"/>
      <c r="BC44" s="207">
        <v>5</v>
      </c>
      <c r="BD44" s="207">
        <v>2</v>
      </c>
      <c r="BE44" s="207">
        <v>2</v>
      </c>
      <c r="BF44" s="97">
        <v>1</v>
      </c>
      <c r="BG44" s="97">
        <v>5</v>
      </c>
      <c r="BH44" s="97">
        <v>5</v>
      </c>
      <c r="BI44" s="97">
        <v>5</v>
      </c>
      <c r="BJ44" s="97">
        <v>1</v>
      </c>
      <c r="BK44" s="166">
        <v>5</v>
      </c>
      <c r="BL44" s="166">
        <v>1</v>
      </c>
      <c r="BM44" s="166">
        <v>2</v>
      </c>
      <c r="BN44" s="306">
        <v>3</v>
      </c>
      <c r="BP44" s="43">
        <v>1.9</v>
      </c>
      <c r="BQ44" s="43">
        <v>1.9</v>
      </c>
      <c r="BR44" s="43">
        <v>1.9</v>
      </c>
      <c r="BS44" s="43">
        <v>2</v>
      </c>
      <c r="BT44" s="43">
        <v>2.2000000000000002</v>
      </c>
      <c r="BU44" s="43">
        <v>2.4</v>
      </c>
      <c r="BV44" s="43">
        <v>1.8</v>
      </c>
      <c r="BW44" s="43">
        <v>1.8</v>
      </c>
      <c r="BX44" s="43">
        <v>1.9</v>
      </c>
      <c r="BY44" s="43">
        <v>2.4</v>
      </c>
      <c r="BZ44" s="43">
        <f t="shared" si="10"/>
        <v>1.9818181818181817</v>
      </c>
      <c r="CA44" s="289">
        <v>1.8</v>
      </c>
      <c r="CB44" s="30"/>
      <c r="CC44" s="212"/>
      <c r="CD44" s="24" t="s">
        <v>138</v>
      </c>
      <c r="CE44" s="24">
        <v>829</v>
      </c>
      <c r="CF44" s="43">
        <v>0.27454658252745673</v>
      </c>
      <c r="CG44" s="43">
        <v>0.31728115696342152</v>
      </c>
      <c r="CH44" s="109">
        <v>0.3213018218283582</v>
      </c>
      <c r="CI44" s="43">
        <v>0.43656903380625839</v>
      </c>
      <c r="CJ44" s="43">
        <v>0.58844586669378762</v>
      </c>
      <c r="CK44" s="43">
        <v>0.57691420871036225</v>
      </c>
      <c r="CL44" s="43">
        <v>0.36436686865917611</v>
      </c>
      <c r="CM44" s="98">
        <v>0.42699242420997197</v>
      </c>
      <c r="CN44" s="98">
        <v>0.37387848358208953</v>
      </c>
      <c r="CO44" s="98">
        <v>0.46488837761194035</v>
      </c>
      <c r="CP44" s="98">
        <v>0.34708190399999994</v>
      </c>
      <c r="CQ44" s="289">
        <v>0.28999999999999998</v>
      </c>
      <c r="CR44" s="98"/>
      <c r="CS44" s="98">
        <f t="shared" si="11"/>
        <v>3.316147859674258</v>
      </c>
      <c r="CT44" s="30"/>
      <c r="CU44" s="49"/>
      <c r="CV44" s="47"/>
      <c r="CW44" s="48"/>
      <c r="CX44" s="48"/>
      <c r="CY44" s="48"/>
      <c r="CZ44" s="184"/>
      <c r="DA44" s="30"/>
      <c r="DB44" s="30"/>
      <c r="DC44" s="30"/>
    </row>
    <row r="45" spans="1:107" ht="15" x14ac:dyDescent="0.2">
      <c r="A45" s="232">
        <v>2</v>
      </c>
      <c r="B45" s="232" t="s">
        <v>136</v>
      </c>
      <c r="C45" s="232" t="s">
        <v>151</v>
      </c>
      <c r="D45" s="233">
        <v>832</v>
      </c>
      <c r="E45" s="84">
        <v>19.399999999999999</v>
      </c>
      <c r="F45" s="68" t="s">
        <v>102</v>
      </c>
      <c r="G45" s="68">
        <v>1</v>
      </c>
      <c r="H45" s="202">
        <v>96</v>
      </c>
      <c r="I45" s="202">
        <v>60</v>
      </c>
      <c r="J45" s="202">
        <v>28</v>
      </c>
      <c r="K45" s="202">
        <v>20</v>
      </c>
      <c r="L45" s="203">
        <f t="shared" si="12"/>
        <v>253338.0315854809</v>
      </c>
      <c r="M45" s="84">
        <v>19.399999999999999</v>
      </c>
      <c r="N45" s="84">
        <v>19.7</v>
      </c>
      <c r="O45" s="84">
        <v>20.100000000000001</v>
      </c>
      <c r="P45" s="204">
        <v>20.3</v>
      </c>
      <c r="Q45" s="204">
        <v>20.5</v>
      </c>
      <c r="R45" s="204">
        <v>20.6</v>
      </c>
      <c r="S45" s="84">
        <v>20.7</v>
      </c>
      <c r="T45" s="85">
        <v>20.75</v>
      </c>
      <c r="U45" s="85">
        <v>20.86</v>
      </c>
      <c r="V45" s="85">
        <v>21</v>
      </c>
      <c r="W45" s="85">
        <v>21.16</v>
      </c>
      <c r="X45" s="83">
        <v>21.5</v>
      </c>
      <c r="Y45" s="286">
        <v>21.5</v>
      </c>
      <c r="Z45" s="177">
        <f t="shared" si="2"/>
        <v>2.1000000000000014</v>
      </c>
      <c r="AA45" s="178">
        <f t="shared" si="13"/>
        <v>0.10824742268041246</v>
      </c>
      <c r="AB45" s="177">
        <f t="shared" si="3"/>
        <v>1.0500000000000007</v>
      </c>
      <c r="AC45" s="178">
        <f t="shared" si="4"/>
        <v>0.10824742268041246</v>
      </c>
      <c r="AD45" s="179">
        <f t="shared" si="5"/>
        <v>0.46844406000000038</v>
      </c>
      <c r="AE45" s="178">
        <f t="shared" si="6"/>
        <v>0.2304944733765546</v>
      </c>
      <c r="AF45"/>
      <c r="AG45"/>
      <c r="AH45" s="175">
        <v>1</v>
      </c>
      <c r="AI45" s="175">
        <v>1</v>
      </c>
      <c r="AJ45" s="175" t="s">
        <v>102</v>
      </c>
      <c r="AK45" s="174">
        <v>1</v>
      </c>
      <c r="AL45" s="175">
        <v>75</v>
      </c>
      <c r="AM45" s="175" t="s">
        <v>103</v>
      </c>
      <c r="AN45" s="196">
        <f t="shared" si="7"/>
        <v>2.5</v>
      </c>
      <c r="AO45" s="205">
        <v>10</v>
      </c>
      <c r="AP45" s="205">
        <v>85</v>
      </c>
      <c r="AQ45" s="205">
        <v>75</v>
      </c>
      <c r="AR45" s="205">
        <v>49</v>
      </c>
      <c r="AS45" s="205">
        <v>35</v>
      </c>
      <c r="AT45" s="206">
        <f t="shared" si="8"/>
        <v>858685.62951947271</v>
      </c>
      <c r="AU45" s="205"/>
      <c r="AV45" s="174" t="s">
        <v>102</v>
      </c>
      <c r="AW45" s="174">
        <v>1</v>
      </c>
      <c r="AX45" s="175">
        <v>60</v>
      </c>
      <c r="AY45" s="175" t="s">
        <v>103</v>
      </c>
      <c r="AZ45" s="196">
        <f t="shared" si="9"/>
        <v>2.5</v>
      </c>
      <c r="BA45" s="205">
        <v>20</v>
      </c>
      <c r="BB45" s="199"/>
      <c r="BC45" s="207">
        <v>5</v>
      </c>
      <c r="BD45" s="207">
        <v>2</v>
      </c>
      <c r="BE45" s="207">
        <v>2</v>
      </c>
      <c r="BF45" s="97">
        <v>1</v>
      </c>
      <c r="BG45" s="97">
        <v>5</v>
      </c>
      <c r="BH45" s="97">
        <v>5</v>
      </c>
      <c r="BI45" s="97">
        <v>5</v>
      </c>
      <c r="BJ45" s="97">
        <v>1</v>
      </c>
      <c r="BK45" s="166">
        <v>4</v>
      </c>
      <c r="BL45" s="166">
        <v>2</v>
      </c>
      <c r="BM45" s="166">
        <v>3</v>
      </c>
      <c r="BN45" s="307">
        <v>1</v>
      </c>
      <c r="BP45" s="43">
        <v>1.9</v>
      </c>
      <c r="BQ45" s="43">
        <v>2.4</v>
      </c>
      <c r="BR45" s="43">
        <v>1.9</v>
      </c>
      <c r="BS45" s="43">
        <v>2.7</v>
      </c>
      <c r="BT45" s="43">
        <v>2.6</v>
      </c>
      <c r="BU45" s="43">
        <v>2</v>
      </c>
      <c r="BV45" s="43">
        <v>1.8</v>
      </c>
      <c r="BW45" s="43">
        <v>1.5</v>
      </c>
      <c r="BX45" s="43">
        <v>1.7</v>
      </c>
      <c r="BY45" s="43">
        <v>2.2000000000000002</v>
      </c>
      <c r="BZ45" s="43">
        <f t="shared" si="10"/>
        <v>2.2595744680851064</v>
      </c>
      <c r="CA45" s="289">
        <v>1.7</v>
      </c>
      <c r="CB45" s="30"/>
      <c r="CC45" s="212"/>
      <c r="CD45" s="24" t="s">
        <v>138</v>
      </c>
      <c r="CE45" s="24">
        <v>832</v>
      </c>
      <c r="CF45" s="43">
        <v>0.30375366577505858</v>
      </c>
      <c r="CG45" s="43">
        <v>0.40951405142953246</v>
      </c>
      <c r="CH45" s="109">
        <v>0.432296996641791</v>
      </c>
      <c r="CI45" s="43">
        <v>0.51465955112089901</v>
      </c>
      <c r="CJ45" s="43">
        <v>0.84731285716200555</v>
      </c>
      <c r="CK45" s="43">
        <v>0.45545858582397009</v>
      </c>
      <c r="CL45" s="43">
        <v>0.47253828279236904</v>
      </c>
      <c r="CM45" s="98">
        <v>0.4008984427304737</v>
      </c>
      <c r="CN45" s="98">
        <v>0.53314579813432839</v>
      </c>
      <c r="CO45" s="98">
        <v>0.40585493283582097</v>
      </c>
      <c r="CP45" s="98">
        <v>0.34531107795918375</v>
      </c>
      <c r="CQ45" s="289">
        <v>0.4</v>
      </c>
      <c r="CR45" s="98"/>
      <c r="CS45" s="98">
        <f t="shared" si="11"/>
        <v>3.8203465315569982</v>
      </c>
      <c r="CT45" s="30"/>
      <c r="CU45" s="49"/>
      <c r="CV45" s="47"/>
      <c r="CW45" s="48"/>
      <c r="CX45" s="48"/>
      <c r="CY45" s="48"/>
      <c r="CZ45" s="184"/>
      <c r="DA45" s="30"/>
      <c r="DB45" s="30"/>
      <c r="DC45" s="30"/>
    </row>
    <row r="46" spans="1:107" ht="15" x14ac:dyDescent="0.2">
      <c r="A46" s="232">
        <v>2</v>
      </c>
      <c r="B46" s="232" t="s">
        <v>136</v>
      </c>
      <c r="C46" s="232" t="s">
        <v>152</v>
      </c>
      <c r="D46" s="233">
        <v>836</v>
      </c>
      <c r="E46" s="84">
        <v>16.3</v>
      </c>
      <c r="F46" s="68" t="s">
        <v>102</v>
      </c>
      <c r="G46" s="68">
        <v>1</v>
      </c>
      <c r="H46" s="202">
        <v>80</v>
      </c>
      <c r="I46" s="202">
        <v>55</v>
      </c>
      <c r="J46" s="202">
        <v>32</v>
      </c>
      <c r="K46" s="202">
        <v>15</v>
      </c>
      <c r="L46" s="203">
        <f t="shared" si="12"/>
        <v>165876.09210954106</v>
      </c>
      <c r="M46" s="84">
        <v>16.3</v>
      </c>
      <c r="N46" s="84">
        <v>16.5</v>
      </c>
      <c r="O46" s="84">
        <v>16.7</v>
      </c>
      <c r="P46" s="204">
        <v>17</v>
      </c>
      <c r="Q46" s="204">
        <v>17.100000000000001</v>
      </c>
      <c r="R46" s="204">
        <v>17.375</v>
      </c>
      <c r="S46" s="84">
        <v>17.25</v>
      </c>
      <c r="T46" s="85">
        <v>17.43</v>
      </c>
      <c r="U46" s="85">
        <v>17.510000000000002</v>
      </c>
      <c r="V46" s="85">
        <v>17.77</v>
      </c>
      <c r="W46" s="85">
        <v>17.86</v>
      </c>
      <c r="X46" s="83">
        <v>18.100000000000001</v>
      </c>
      <c r="Y46" s="286">
        <v>18.2</v>
      </c>
      <c r="Z46" s="177">
        <f t="shared" si="2"/>
        <v>1.8000000000000007</v>
      </c>
      <c r="AA46" s="178">
        <f t="shared" si="13"/>
        <v>0.11042944785276078</v>
      </c>
      <c r="AB46" s="177">
        <f t="shared" si="3"/>
        <v>0.90000000000000036</v>
      </c>
      <c r="AC46" s="178">
        <f t="shared" si="4"/>
        <v>0.11042944785276078</v>
      </c>
      <c r="AD46" s="179">
        <f t="shared" si="5"/>
        <v>0.3377116800000004</v>
      </c>
      <c r="AE46" s="178">
        <f t="shared" si="6"/>
        <v>0.2353840942451732</v>
      </c>
      <c r="AF46"/>
      <c r="AG46"/>
      <c r="AH46" s="175">
        <v>2</v>
      </c>
      <c r="AI46" s="175">
        <v>1</v>
      </c>
      <c r="AJ46" s="175" t="s">
        <v>102</v>
      </c>
      <c r="AK46" s="174">
        <v>1</v>
      </c>
      <c r="AL46" s="175">
        <v>70</v>
      </c>
      <c r="AM46" s="175" t="s">
        <v>103</v>
      </c>
      <c r="AN46" s="196">
        <f t="shared" si="7"/>
        <v>2.5</v>
      </c>
      <c r="AO46" s="205">
        <v>20</v>
      </c>
      <c r="AP46" s="205">
        <v>85</v>
      </c>
      <c r="AQ46" s="205">
        <v>55</v>
      </c>
      <c r="AR46" s="205">
        <v>51</v>
      </c>
      <c r="AS46" s="205">
        <v>33</v>
      </c>
      <c r="AT46" s="206">
        <f t="shared" si="8"/>
        <v>617953.23845652083</v>
      </c>
      <c r="AU46" s="205" t="s">
        <v>153</v>
      </c>
      <c r="AV46" s="174" t="s">
        <v>102</v>
      </c>
      <c r="AW46" s="174">
        <v>1</v>
      </c>
      <c r="AX46" s="175">
        <v>45</v>
      </c>
      <c r="AY46" s="175" t="s">
        <v>103</v>
      </c>
      <c r="AZ46" s="196">
        <f t="shared" si="9"/>
        <v>2.5</v>
      </c>
      <c r="BA46" s="205">
        <v>10</v>
      </c>
      <c r="BB46" s="199"/>
      <c r="BC46" s="207">
        <v>5</v>
      </c>
      <c r="BD46" s="207">
        <v>2</v>
      </c>
      <c r="BE46" s="207">
        <v>2</v>
      </c>
      <c r="BF46" s="97">
        <v>1</v>
      </c>
      <c r="BG46" s="97">
        <v>5</v>
      </c>
      <c r="BH46" s="97">
        <v>5</v>
      </c>
      <c r="BI46" s="97">
        <v>5</v>
      </c>
      <c r="BJ46" s="97">
        <v>1</v>
      </c>
      <c r="BK46" s="166">
        <v>5</v>
      </c>
      <c r="BL46" s="166">
        <v>4</v>
      </c>
      <c r="BM46" s="166">
        <v>1</v>
      </c>
      <c r="BN46" s="307">
        <v>1</v>
      </c>
      <c r="BP46" s="43">
        <v>2.9</v>
      </c>
      <c r="BQ46" s="43">
        <v>2.4</v>
      </c>
      <c r="BR46" s="43">
        <v>2.7</v>
      </c>
      <c r="BS46" s="43">
        <v>3.1</v>
      </c>
      <c r="BT46" s="43">
        <v>2.8000000000000003</v>
      </c>
      <c r="BU46" s="43">
        <v>2.8</v>
      </c>
      <c r="BV46" s="43">
        <v>2.2999999999999998</v>
      </c>
      <c r="BW46" s="43">
        <v>2</v>
      </c>
      <c r="BX46" s="43">
        <v>2.4</v>
      </c>
      <c r="BY46" s="43">
        <v>3.1</v>
      </c>
      <c r="BZ46" s="43">
        <f t="shared" si="10"/>
        <v>2.5627118644067797</v>
      </c>
      <c r="CA46" s="289">
        <v>2.1</v>
      </c>
      <c r="CB46" s="30"/>
      <c r="CC46" s="212"/>
      <c r="CD46" s="24" t="s">
        <v>138</v>
      </c>
      <c r="CE46" s="24">
        <v>836</v>
      </c>
      <c r="CF46" s="43">
        <v>0.44579232325286938</v>
      </c>
      <c r="CG46" s="43">
        <v>0.5257274984568322</v>
      </c>
      <c r="CH46" s="109">
        <v>0.61431678470149265</v>
      </c>
      <c r="CI46" s="43">
        <v>0.56231321326172279</v>
      </c>
      <c r="CJ46" s="43">
        <v>0.79197312048233903</v>
      </c>
      <c r="CK46" s="43">
        <v>0.69077885516635473</v>
      </c>
      <c r="CL46" s="43">
        <v>0.669271088613556</v>
      </c>
      <c r="CM46" s="98">
        <v>0.19610022445198713</v>
      </c>
      <c r="CN46" s="98">
        <v>0.6715054343283583</v>
      </c>
      <c r="CO46" s="98">
        <v>0.73392100354477618</v>
      </c>
      <c r="CP46" s="98">
        <v>0.39135255502040822</v>
      </c>
      <c r="CQ46" s="289">
        <v>0.6</v>
      </c>
      <c r="CR46" s="98"/>
      <c r="CS46" s="98">
        <f t="shared" si="11"/>
        <v>4.7213596370082307</v>
      </c>
      <c r="CT46" s="30"/>
      <c r="CU46" s="49"/>
      <c r="CV46" s="47"/>
      <c r="CW46" s="48"/>
      <c r="CX46" s="48"/>
      <c r="CY46" s="48"/>
      <c r="CZ46" s="184"/>
      <c r="DA46" s="30"/>
      <c r="DB46" s="30"/>
      <c r="DC46" s="30"/>
    </row>
    <row r="47" spans="1:107" ht="15" x14ac:dyDescent="0.2">
      <c r="A47" s="232">
        <v>2</v>
      </c>
      <c r="B47" s="232" t="s">
        <v>136</v>
      </c>
      <c r="C47" s="232" t="s">
        <v>154</v>
      </c>
      <c r="D47" s="233">
        <v>839</v>
      </c>
      <c r="E47" s="84">
        <v>12</v>
      </c>
      <c r="F47" s="68" t="s">
        <v>101</v>
      </c>
      <c r="G47" s="68">
        <v>2</v>
      </c>
      <c r="H47" s="202">
        <v>78</v>
      </c>
      <c r="I47" s="202">
        <v>65</v>
      </c>
      <c r="J47" s="202">
        <v>20</v>
      </c>
      <c r="K47" s="202">
        <v>20</v>
      </c>
      <c r="L47" s="203">
        <f t="shared" si="12"/>
        <v>159278.74753700252</v>
      </c>
      <c r="M47" s="84">
        <v>12</v>
      </c>
      <c r="N47" s="84">
        <v>12.2</v>
      </c>
      <c r="O47" s="84">
        <v>12.3</v>
      </c>
      <c r="P47" s="204">
        <v>12.5</v>
      </c>
      <c r="Q47" s="204">
        <v>12.7</v>
      </c>
      <c r="R47" s="204">
        <v>12.85</v>
      </c>
      <c r="S47" s="84">
        <v>12.85</v>
      </c>
      <c r="T47" s="85">
        <v>12.95</v>
      </c>
      <c r="U47" s="85">
        <v>13</v>
      </c>
      <c r="V47" s="85">
        <v>13.14</v>
      </c>
      <c r="W47" s="85">
        <v>13.24</v>
      </c>
      <c r="X47" s="83">
        <v>13.3</v>
      </c>
      <c r="Y47" s="286">
        <v>13.5</v>
      </c>
      <c r="Z47" s="177">
        <f t="shared" si="2"/>
        <v>1.3000000000000007</v>
      </c>
      <c r="AA47" s="178">
        <f t="shared" si="13"/>
        <v>0.10833333333333339</v>
      </c>
      <c r="AB47" s="177">
        <f t="shared" si="3"/>
        <v>0.65000000000000036</v>
      </c>
      <c r="AC47" s="178">
        <f t="shared" si="4"/>
        <v>0.10833333333333339</v>
      </c>
      <c r="AD47" s="179">
        <f t="shared" si="5"/>
        <v>0.17938206000000001</v>
      </c>
      <c r="AE47" s="178">
        <f t="shared" si="6"/>
        <v>0.23068680555555554</v>
      </c>
      <c r="AF47"/>
      <c r="AG47"/>
      <c r="AH47" s="175">
        <v>1</v>
      </c>
      <c r="AI47" s="175">
        <v>1</v>
      </c>
      <c r="AJ47" s="175" t="s">
        <v>112</v>
      </c>
      <c r="AK47" s="174">
        <v>3</v>
      </c>
      <c r="AL47" s="175">
        <v>60</v>
      </c>
      <c r="AM47" s="175" t="s">
        <v>103</v>
      </c>
      <c r="AN47" s="196">
        <f t="shared" si="7"/>
        <v>2.5</v>
      </c>
      <c r="AO47" s="205">
        <v>10</v>
      </c>
      <c r="AP47" s="205">
        <v>80</v>
      </c>
      <c r="AQ47" s="205">
        <v>55</v>
      </c>
      <c r="AR47" s="205">
        <v>36</v>
      </c>
      <c r="AS47" s="205">
        <v>31</v>
      </c>
      <c r="AT47" s="206">
        <f t="shared" si="8"/>
        <v>385661.91415468301</v>
      </c>
      <c r="AU47" s="205"/>
      <c r="AV47" s="174" t="s">
        <v>101</v>
      </c>
      <c r="AW47" s="174">
        <v>2</v>
      </c>
      <c r="AX47" s="175">
        <v>55</v>
      </c>
      <c r="AY47" s="175" t="s">
        <v>103</v>
      </c>
      <c r="AZ47" s="196">
        <f t="shared" si="9"/>
        <v>2.5</v>
      </c>
      <c r="BA47" s="205">
        <v>15</v>
      </c>
      <c r="BB47" s="199"/>
      <c r="BC47" s="207">
        <v>5</v>
      </c>
      <c r="BD47" s="207">
        <v>4</v>
      </c>
      <c r="BE47" s="207">
        <v>3</v>
      </c>
      <c r="BF47" s="97">
        <v>1</v>
      </c>
      <c r="BG47" s="97">
        <v>5</v>
      </c>
      <c r="BH47" s="97">
        <v>5</v>
      </c>
      <c r="BI47" s="97">
        <v>5</v>
      </c>
      <c r="BJ47" s="97">
        <v>1</v>
      </c>
      <c r="BK47" s="166">
        <v>2</v>
      </c>
      <c r="BL47" s="166">
        <v>1</v>
      </c>
      <c r="BM47" s="166">
        <v>2</v>
      </c>
      <c r="BN47" s="307">
        <v>4</v>
      </c>
      <c r="BP47" s="43">
        <v>2.1</v>
      </c>
      <c r="BQ47" s="43">
        <v>3</v>
      </c>
      <c r="BR47" s="43">
        <v>1.9</v>
      </c>
      <c r="BS47" s="43">
        <v>2.5</v>
      </c>
      <c r="BT47" s="43">
        <v>2.6</v>
      </c>
      <c r="BU47" s="43">
        <v>2.6</v>
      </c>
      <c r="BV47" s="43">
        <v>2</v>
      </c>
      <c r="BW47" s="43">
        <v>1.9</v>
      </c>
      <c r="BX47" s="43">
        <v>1.8</v>
      </c>
      <c r="BY47" s="43">
        <v>2.1</v>
      </c>
      <c r="BZ47" s="43">
        <f t="shared" si="10"/>
        <v>2.2941176470588234</v>
      </c>
      <c r="CA47" s="289">
        <v>1.6</v>
      </c>
      <c r="CB47" s="30"/>
      <c r="CC47" s="212"/>
      <c r="CD47" s="24" t="s">
        <v>138</v>
      </c>
      <c r="CE47" s="24">
        <v>839</v>
      </c>
      <c r="CF47" s="43">
        <v>0.16786386792832184</v>
      </c>
      <c r="CG47" s="43">
        <v>0.28038799917697721</v>
      </c>
      <c r="CH47" s="109">
        <v>0.25704145746268653</v>
      </c>
      <c r="CI47" s="43">
        <v>0.2766986833983327</v>
      </c>
      <c r="CJ47" s="43">
        <v>0.52757215634615429</v>
      </c>
      <c r="CK47" s="43">
        <v>0.45229567897797029</v>
      </c>
      <c r="CL47" s="43">
        <v>0.33526812567597797</v>
      </c>
      <c r="CM47" s="98">
        <v>0.18929997473308754</v>
      </c>
      <c r="CN47" s="98">
        <v>0.2379785742537314</v>
      </c>
      <c r="CO47" s="98">
        <v>3.2283915111940308E-2</v>
      </c>
      <c r="CP47" s="98">
        <v>0.2266657332244898</v>
      </c>
      <c r="CQ47" s="289">
        <v>0.21</v>
      </c>
      <c r="CR47" s="98"/>
      <c r="CS47" s="98">
        <f t="shared" si="11"/>
        <v>2.2053523464521438</v>
      </c>
      <c r="CT47" s="30"/>
      <c r="CU47" s="49"/>
      <c r="CV47" s="47"/>
      <c r="CW47" s="48"/>
      <c r="CX47" s="48"/>
      <c r="CY47" s="48"/>
      <c r="CZ47" s="184"/>
      <c r="DA47" s="30"/>
      <c r="DB47" s="30"/>
      <c r="DC47" s="30"/>
    </row>
    <row r="48" spans="1:107" ht="15" x14ac:dyDescent="0.2">
      <c r="A48" s="232">
        <v>2</v>
      </c>
      <c r="B48" s="232" t="s">
        <v>136</v>
      </c>
      <c r="C48" s="232" t="s">
        <v>155</v>
      </c>
      <c r="D48" s="233">
        <v>840</v>
      </c>
      <c r="E48" s="84">
        <v>10.8</v>
      </c>
      <c r="F48" s="68" t="s">
        <v>101</v>
      </c>
      <c r="G48" s="68">
        <v>2</v>
      </c>
      <c r="H48" s="202">
        <v>65</v>
      </c>
      <c r="I48" s="202">
        <v>60</v>
      </c>
      <c r="J48" s="202">
        <v>18</v>
      </c>
      <c r="K48" s="202">
        <v>17</v>
      </c>
      <c r="L48" s="203">
        <f t="shared" si="12"/>
        <v>93729.416819851482</v>
      </c>
      <c r="M48" s="84">
        <v>10.8</v>
      </c>
      <c r="N48" s="84">
        <v>10.9</v>
      </c>
      <c r="O48" s="84">
        <v>11</v>
      </c>
      <c r="P48" s="204">
        <v>11.1</v>
      </c>
      <c r="Q48" s="204">
        <v>11.2</v>
      </c>
      <c r="R48" s="204">
        <v>11.3</v>
      </c>
      <c r="S48" s="84">
        <v>11.25</v>
      </c>
      <c r="T48" s="85">
        <v>11.3</v>
      </c>
      <c r="U48" s="85">
        <v>11.36</v>
      </c>
      <c r="V48" s="85">
        <v>11.41</v>
      </c>
      <c r="W48" s="85">
        <v>11.55</v>
      </c>
      <c r="X48" s="83">
        <v>11.7</v>
      </c>
      <c r="Y48" s="286">
        <v>11.7</v>
      </c>
      <c r="Z48" s="177">
        <f t="shared" si="2"/>
        <v>0.89999999999999858</v>
      </c>
      <c r="AA48" s="178">
        <f t="shared" si="13"/>
        <v>8.333333333333319E-2</v>
      </c>
      <c r="AB48" s="177">
        <f t="shared" si="3"/>
        <v>0.44999999999999929</v>
      </c>
      <c r="AC48" s="178">
        <f t="shared" si="4"/>
        <v>8.333333333333319E-2</v>
      </c>
      <c r="AD48" s="179">
        <f t="shared" si="5"/>
        <v>0.11044349999999981</v>
      </c>
      <c r="AE48" s="178">
        <f t="shared" si="6"/>
        <v>0.1753472222222219</v>
      </c>
      <c r="AF48"/>
      <c r="AG48"/>
      <c r="AH48" s="175">
        <v>1</v>
      </c>
      <c r="AI48" s="175">
        <v>1</v>
      </c>
      <c r="AJ48" s="175" t="s">
        <v>112</v>
      </c>
      <c r="AK48" s="174">
        <v>3</v>
      </c>
      <c r="AL48" s="175">
        <v>60</v>
      </c>
      <c r="AM48" s="175" t="s">
        <v>103</v>
      </c>
      <c r="AN48" s="196">
        <f t="shared" si="7"/>
        <v>2.5</v>
      </c>
      <c r="AO48" s="205">
        <v>20</v>
      </c>
      <c r="AP48" s="205">
        <v>75</v>
      </c>
      <c r="AQ48" s="205">
        <v>55</v>
      </c>
      <c r="AR48" s="205">
        <v>33</v>
      </c>
      <c r="AS48" s="205">
        <v>24</v>
      </c>
      <c r="AT48" s="206">
        <f t="shared" si="8"/>
        <v>256589.57998194639</v>
      </c>
      <c r="AU48" s="205"/>
      <c r="AV48" s="174" t="s">
        <v>112</v>
      </c>
      <c r="AW48" s="174">
        <v>3</v>
      </c>
      <c r="AX48" s="175">
        <v>60</v>
      </c>
      <c r="AY48" s="175" t="s">
        <v>103</v>
      </c>
      <c r="AZ48" s="196">
        <f t="shared" si="9"/>
        <v>2.5</v>
      </c>
      <c r="BA48" s="205">
        <v>30</v>
      </c>
      <c r="BB48" s="199"/>
      <c r="BC48" s="207">
        <v>5</v>
      </c>
      <c r="BD48" s="207">
        <v>1</v>
      </c>
      <c r="BE48" s="207">
        <v>5</v>
      </c>
      <c r="BF48" s="97">
        <v>1</v>
      </c>
      <c r="BG48" s="97">
        <v>5</v>
      </c>
      <c r="BH48" s="97">
        <v>4</v>
      </c>
      <c r="BI48" s="97">
        <v>5</v>
      </c>
      <c r="BJ48" s="97">
        <v>1</v>
      </c>
      <c r="BK48" s="166">
        <v>5</v>
      </c>
      <c r="BL48" s="166">
        <v>4</v>
      </c>
      <c r="BM48" s="166">
        <v>2</v>
      </c>
      <c r="BN48" s="307">
        <v>3</v>
      </c>
      <c r="BP48" s="43">
        <v>2.4</v>
      </c>
      <c r="BQ48" s="43">
        <v>2.2000000000000002</v>
      </c>
      <c r="BR48" s="43">
        <v>2.2000000000000002</v>
      </c>
      <c r="BS48" s="43">
        <v>2.2999999999999998</v>
      </c>
      <c r="BT48" s="43">
        <v>2.4</v>
      </c>
      <c r="BU48" s="43">
        <v>2.8</v>
      </c>
      <c r="BV48" s="43">
        <v>2.1</v>
      </c>
      <c r="BW48" s="43">
        <v>1.8</v>
      </c>
      <c r="BX48" s="43">
        <v>2.1</v>
      </c>
      <c r="BY48" s="43">
        <v>2.4</v>
      </c>
      <c r="BZ48" s="43">
        <f t="shared" si="10"/>
        <v>2.2352941176470589</v>
      </c>
      <c r="CA48" s="289">
        <v>1.8</v>
      </c>
      <c r="CB48" s="30"/>
      <c r="CC48" s="212"/>
      <c r="CD48" s="24" t="s">
        <v>138</v>
      </c>
      <c r="CE48" s="24">
        <v>840</v>
      </c>
      <c r="CF48" s="43">
        <v>0.22135894671866618</v>
      </c>
      <c r="CG48" s="43">
        <v>0.24749160015073093</v>
      </c>
      <c r="CH48" s="109">
        <v>0.20292746641791048</v>
      </c>
      <c r="CI48" s="43">
        <v>0.19799328012058473</v>
      </c>
      <c r="CJ48" s="43">
        <v>0.45747515655191012</v>
      </c>
      <c r="CK48" s="43">
        <v>0.42509468010237206</v>
      </c>
      <c r="CL48" s="43">
        <v>0.2988946969469804</v>
      </c>
      <c r="CM48" s="98">
        <v>0.17933681816818825</v>
      </c>
      <c r="CN48" s="98">
        <v>0.213073839738806</v>
      </c>
      <c r="CO48" s="98">
        <v>0.39847575223880599</v>
      </c>
      <c r="CP48" s="98">
        <v>0.18416590824489798</v>
      </c>
      <c r="CQ48" s="289">
        <v>0.22</v>
      </c>
      <c r="CR48" s="98"/>
      <c r="CS48" s="98">
        <f t="shared" si="11"/>
        <v>2.2736977897239639</v>
      </c>
      <c r="CT48" s="30"/>
      <c r="CU48" s="49"/>
      <c r="CV48" s="47"/>
      <c r="CW48" s="48"/>
      <c r="CX48" s="48"/>
      <c r="CY48" s="48"/>
      <c r="CZ48" s="184"/>
      <c r="DA48" s="30"/>
      <c r="DB48" s="30"/>
      <c r="DC48" s="30"/>
    </row>
    <row r="49" spans="1:107" ht="15" x14ac:dyDescent="0.2">
      <c r="A49" s="232">
        <v>2</v>
      </c>
      <c r="B49" s="232" t="s">
        <v>136</v>
      </c>
      <c r="C49" s="232" t="s">
        <v>156</v>
      </c>
      <c r="D49" s="233">
        <v>841</v>
      </c>
      <c r="E49" s="84">
        <v>17.100000000000001</v>
      </c>
      <c r="F49" s="68" t="s">
        <v>102</v>
      </c>
      <c r="G49" s="68">
        <v>1</v>
      </c>
      <c r="H49" s="202">
        <v>80</v>
      </c>
      <c r="I49" s="202">
        <v>55</v>
      </c>
      <c r="J49" s="202">
        <v>23</v>
      </c>
      <c r="K49" s="202">
        <v>15</v>
      </c>
      <c r="L49" s="203">
        <f t="shared" si="12"/>
        <v>119223.44120373265</v>
      </c>
      <c r="M49" s="84">
        <v>17.100000000000001</v>
      </c>
      <c r="N49" s="84">
        <v>17.2</v>
      </c>
      <c r="O49" s="84">
        <v>17.5</v>
      </c>
      <c r="P49" s="204">
        <v>17.8</v>
      </c>
      <c r="Q49" s="204">
        <v>17.899999999999999</v>
      </c>
      <c r="R49" s="204">
        <v>18.100000000000001</v>
      </c>
      <c r="S49" s="84">
        <v>18.05</v>
      </c>
      <c r="T49" s="85">
        <v>18.175000000000001</v>
      </c>
      <c r="U49" s="85">
        <v>18.25</v>
      </c>
      <c r="V49" s="85">
        <v>18.45</v>
      </c>
      <c r="W49" s="85">
        <v>18.510000000000002</v>
      </c>
      <c r="X49" s="83">
        <v>18.7</v>
      </c>
      <c r="Y49" s="286">
        <v>19</v>
      </c>
      <c r="Z49" s="177">
        <f t="shared" si="2"/>
        <v>1.5999999999999979</v>
      </c>
      <c r="AA49" s="178">
        <f t="shared" si="13"/>
        <v>9.3567251461988174E-2</v>
      </c>
      <c r="AB49" s="177">
        <f t="shared" si="3"/>
        <v>0.79999999999999893</v>
      </c>
      <c r="AC49" s="178">
        <f t="shared" si="4"/>
        <v>9.3567251461988174E-2</v>
      </c>
      <c r="AD49" s="179">
        <f t="shared" si="5"/>
        <v>0.31240511999999998</v>
      </c>
      <c r="AE49" s="178">
        <f t="shared" si="6"/>
        <v>0.1978482268048288</v>
      </c>
      <c r="AF49"/>
      <c r="AG49"/>
      <c r="AH49" s="175">
        <v>2</v>
      </c>
      <c r="AI49" s="175">
        <v>1</v>
      </c>
      <c r="AJ49" s="175" t="s">
        <v>102</v>
      </c>
      <c r="AK49" s="174">
        <v>1</v>
      </c>
      <c r="AL49" s="175">
        <v>70</v>
      </c>
      <c r="AM49" s="175" t="s">
        <v>103</v>
      </c>
      <c r="AN49" s="196">
        <f t="shared" si="7"/>
        <v>2.5</v>
      </c>
      <c r="AO49" s="205">
        <v>15</v>
      </c>
      <c r="AP49" s="205">
        <v>85</v>
      </c>
      <c r="AQ49" s="205">
        <v>40</v>
      </c>
      <c r="AR49" s="205">
        <v>35</v>
      </c>
      <c r="AS49" s="205">
        <v>29</v>
      </c>
      <c r="AT49" s="206">
        <f t="shared" si="8"/>
        <v>271040.90618845943</v>
      </c>
      <c r="AU49" s="205"/>
      <c r="AV49" s="174" t="s">
        <v>102</v>
      </c>
      <c r="AW49" s="174">
        <v>1</v>
      </c>
      <c r="AX49" s="175">
        <v>35</v>
      </c>
      <c r="AY49" s="175" t="s">
        <v>103</v>
      </c>
      <c r="AZ49" s="196">
        <f t="shared" si="9"/>
        <v>2.5</v>
      </c>
      <c r="BA49" s="205">
        <v>15</v>
      </c>
      <c r="BB49" s="199"/>
      <c r="BC49" s="207">
        <v>5</v>
      </c>
      <c r="BD49" s="207">
        <v>2</v>
      </c>
      <c r="BE49" s="207">
        <v>2</v>
      </c>
      <c r="BF49" s="97">
        <v>2</v>
      </c>
      <c r="BG49" s="97">
        <v>5</v>
      </c>
      <c r="BH49" s="97">
        <v>5</v>
      </c>
      <c r="BI49" s="97">
        <v>5</v>
      </c>
      <c r="BJ49" s="97">
        <v>2</v>
      </c>
      <c r="BK49" s="166">
        <v>5</v>
      </c>
      <c r="BL49" s="166">
        <v>2</v>
      </c>
      <c r="BM49" s="166">
        <v>1</v>
      </c>
      <c r="BN49" s="307">
        <v>1</v>
      </c>
      <c r="BP49" s="43">
        <v>2.1</v>
      </c>
      <c r="BQ49" s="43">
        <v>2.7</v>
      </c>
      <c r="BR49" s="43">
        <v>1.5</v>
      </c>
      <c r="BS49" s="43">
        <v>2.1</v>
      </c>
      <c r="BT49" s="43">
        <v>2.1</v>
      </c>
      <c r="BU49" s="43">
        <v>2.6</v>
      </c>
      <c r="BV49" s="43">
        <v>1.9</v>
      </c>
      <c r="BW49" s="43">
        <v>1.6</v>
      </c>
      <c r="BX49" s="43">
        <v>1.8</v>
      </c>
      <c r="BY49" s="43">
        <v>2</v>
      </c>
      <c r="BZ49" s="43">
        <f t="shared" si="10"/>
        <v>1.9893617021276595</v>
      </c>
      <c r="CA49" s="289">
        <v>1.7</v>
      </c>
      <c r="CB49" s="30"/>
      <c r="CC49" s="212"/>
      <c r="CD49" s="24" t="s">
        <v>138</v>
      </c>
      <c r="CE49" s="24">
        <v>841</v>
      </c>
      <c r="CF49" s="43">
        <v>0.36800924891978254</v>
      </c>
      <c r="CG49" s="43">
        <v>0.36893157786444364</v>
      </c>
      <c r="CH49" s="109">
        <v>0.37357101772388068</v>
      </c>
      <c r="CI49" s="43">
        <v>0.38092185414503804</v>
      </c>
      <c r="CJ49" s="43">
        <v>0.71019328738905396</v>
      </c>
      <c r="CK49" s="43">
        <v>0.7072259707655536</v>
      </c>
      <c r="CL49" s="43">
        <v>0.58292373171776157</v>
      </c>
      <c r="CM49" s="98">
        <v>0.36942751961277576</v>
      </c>
      <c r="CN49" s="98">
        <v>0.52576661753731346</v>
      </c>
      <c r="CO49" s="98">
        <v>0.54113991044776122</v>
      </c>
      <c r="CP49" s="98">
        <v>0.34708190400000005</v>
      </c>
      <c r="CQ49" s="289">
        <v>0.44</v>
      </c>
      <c r="CR49" s="98"/>
      <c r="CS49" s="98">
        <f t="shared" si="11"/>
        <v>3.9424885888986916</v>
      </c>
      <c r="CT49" s="30"/>
      <c r="CU49" s="49"/>
      <c r="CV49" s="47"/>
      <c r="CW49" s="48"/>
      <c r="CX49" s="48"/>
      <c r="CY49" s="48"/>
      <c r="CZ49" s="184"/>
      <c r="DA49" s="30"/>
      <c r="DB49" s="30"/>
      <c r="DC49" s="30"/>
    </row>
    <row r="50" spans="1:107" ht="15" x14ac:dyDescent="0.2">
      <c r="A50" s="232">
        <v>2</v>
      </c>
      <c r="B50" s="232" t="s">
        <v>136</v>
      </c>
      <c r="C50" s="232" t="s">
        <v>157</v>
      </c>
      <c r="D50" s="233">
        <v>843</v>
      </c>
      <c r="E50" s="84">
        <v>15</v>
      </c>
      <c r="F50" s="68" t="s">
        <v>102</v>
      </c>
      <c r="G50" s="68">
        <v>1</v>
      </c>
      <c r="H50" s="202">
        <v>88</v>
      </c>
      <c r="I50" s="202">
        <v>65</v>
      </c>
      <c r="J50" s="202">
        <v>28</v>
      </c>
      <c r="K50" s="202">
        <v>24</v>
      </c>
      <c r="L50" s="203">
        <f t="shared" si="12"/>
        <v>301894.48763936479</v>
      </c>
      <c r="M50" s="84">
        <v>15</v>
      </c>
      <c r="N50" s="84">
        <v>15.2</v>
      </c>
      <c r="O50" s="84">
        <v>15.5</v>
      </c>
      <c r="P50" s="204">
        <v>15.7</v>
      </c>
      <c r="Q50" s="204">
        <v>15.9</v>
      </c>
      <c r="R50" s="204">
        <v>16</v>
      </c>
      <c r="S50" s="84">
        <v>16.100000000000001</v>
      </c>
      <c r="T50" s="85">
        <v>16.25</v>
      </c>
      <c r="U50" s="85">
        <v>16.38</v>
      </c>
      <c r="V50" s="85">
        <v>16.559999999999999</v>
      </c>
      <c r="W50" s="85">
        <v>16.649999999999999</v>
      </c>
      <c r="X50" s="83">
        <v>17</v>
      </c>
      <c r="Y50" s="286">
        <v>17</v>
      </c>
      <c r="Z50" s="177">
        <f t="shared" si="2"/>
        <v>2</v>
      </c>
      <c r="AA50" s="178">
        <f t="shared" si="13"/>
        <v>0.13333333333333333</v>
      </c>
      <c r="AB50" s="177">
        <f t="shared" si="3"/>
        <v>1</v>
      </c>
      <c r="AC50" s="178">
        <f t="shared" si="4"/>
        <v>0.13333333333333333</v>
      </c>
      <c r="AD50" s="179">
        <f t="shared" si="5"/>
        <v>0.34905600000000003</v>
      </c>
      <c r="AE50" s="178">
        <f t="shared" si="6"/>
        <v>0.28728888888888887</v>
      </c>
      <c r="AF50"/>
      <c r="AG50" t="s">
        <v>158</v>
      </c>
      <c r="AH50" s="175">
        <v>2</v>
      </c>
      <c r="AI50" s="175">
        <v>1</v>
      </c>
      <c r="AJ50" s="175" t="s">
        <v>101</v>
      </c>
      <c r="AK50" s="174">
        <v>2</v>
      </c>
      <c r="AL50" s="175">
        <v>50</v>
      </c>
      <c r="AM50" s="175" t="s">
        <v>103</v>
      </c>
      <c r="AN50" s="196">
        <f t="shared" si="7"/>
        <v>2.5</v>
      </c>
      <c r="AO50" s="205">
        <v>15</v>
      </c>
      <c r="AP50" s="205">
        <v>80</v>
      </c>
      <c r="AQ50" s="205">
        <v>45</v>
      </c>
      <c r="AR50" s="205">
        <v>35</v>
      </c>
      <c r="AS50" s="205">
        <v>35</v>
      </c>
      <c r="AT50" s="206">
        <f t="shared" si="8"/>
        <v>346360.59005827468</v>
      </c>
      <c r="AU50" s="205"/>
      <c r="AV50" s="174" t="s">
        <v>101</v>
      </c>
      <c r="AW50" s="174">
        <v>2</v>
      </c>
      <c r="AX50" s="175">
        <v>45</v>
      </c>
      <c r="AY50" s="175" t="s">
        <v>103</v>
      </c>
      <c r="AZ50" s="196">
        <f t="shared" si="9"/>
        <v>2.5</v>
      </c>
      <c r="BA50" s="205">
        <v>20</v>
      </c>
      <c r="BB50" s="199"/>
      <c r="BC50" s="207">
        <v>5</v>
      </c>
      <c r="BD50" s="207">
        <v>4</v>
      </c>
      <c r="BE50" s="207">
        <v>3</v>
      </c>
      <c r="BF50" s="97">
        <v>2</v>
      </c>
      <c r="BG50" s="97">
        <v>5</v>
      </c>
      <c r="BH50" s="97">
        <v>5</v>
      </c>
      <c r="BI50" s="97">
        <v>5</v>
      </c>
      <c r="BJ50" s="97">
        <v>2</v>
      </c>
      <c r="BK50" s="166">
        <v>5</v>
      </c>
      <c r="BL50" s="166">
        <v>5</v>
      </c>
      <c r="BM50" s="166">
        <v>2</v>
      </c>
      <c r="BN50" s="307">
        <v>1</v>
      </c>
      <c r="BP50" s="43">
        <v>2.5</v>
      </c>
      <c r="BQ50" s="43">
        <v>2.4</v>
      </c>
      <c r="BR50" s="43">
        <v>2.2999999999999998</v>
      </c>
      <c r="BS50" s="43">
        <v>2.6</v>
      </c>
      <c r="BT50" s="43">
        <v>2.2999999999999998</v>
      </c>
      <c r="BU50" s="43">
        <v>1.6</v>
      </c>
      <c r="BV50" s="43">
        <v>2</v>
      </c>
      <c r="BW50" s="43">
        <v>1.8</v>
      </c>
      <c r="BX50" s="43">
        <v>2.4</v>
      </c>
      <c r="BY50" s="43">
        <v>2.7</v>
      </c>
      <c r="BZ50" s="43">
        <f t="shared" si="10"/>
        <v>2.1857142857142855</v>
      </c>
      <c r="CA50" s="289">
        <v>2</v>
      </c>
      <c r="CB50" s="30"/>
      <c r="CC50" s="212"/>
      <c r="CD50" s="24" t="s">
        <v>138</v>
      </c>
      <c r="CE50" s="24">
        <v>843</v>
      </c>
      <c r="CF50" s="43">
        <v>0.16909363985453668</v>
      </c>
      <c r="CG50" s="43">
        <v>0.29514526229155491</v>
      </c>
      <c r="CH50" s="109">
        <v>0.36065745167910451</v>
      </c>
      <c r="CI50" s="43">
        <v>0.30375366577505858</v>
      </c>
      <c r="CJ50" s="43">
        <v>0.36770180593822882</v>
      </c>
      <c r="CK50" s="43">
        <v>0.2631538495871828</v>
      </c>
      <c r="CL50" s="43">
        <v>0.31629068459997928</v>
      </c>
      <c r="CM50" s="98">
        <v>0.17933681816818825</v>
      </c>
      <c r="CN50" s="98">
        <v>0.28778804328358215</v>
      </c>
      <c r="CO50" s="98">
        <v>0.38187259589552247</v>
      </c>
      <c r="CP50" s="98">
        <v>0.27447803632653062</v>
      </c>
      <c r="CQ50" s="289">
        <v>0.17</v>
      </c>
      <c r="CR50" s="98"/>
      <c r="CS50" s="98">
        <f t="shared" si="11"/>
        <v>2.3398350536583505</v>
      </c>
      <c r="CT50" s="30"/>
      <c r="CU50" s="49"/>
      <c r="CV50" s="47"/>
      <c r="CW50" s="48"/>
      <c r="CX50" s="48"/>
      <c r="CY50" s="48"/>
      <c r="CZ50" s="184"/>
      <c r="DA50" s="30"/>
      <c r="DB50" s="30"/>
      <c r="DC50" s="30"/>
    </row>
    <row r="51" spans="1:107" ht="15" x14ac:dyDescent="0.2">
      <c r="A51" s="232">
        <v>2</v>
      </c>
      <c r="B51" s="232" t="s">
        <v>136</v>
      </c>
      <c r="C51" s="232" t="s">
        <v>159</v>
      </c>
      <c r="D51" s="233">
        <v>850</v>
      </c>
      <c r="E51" s="84">
        <v>12.4</v>
      </c>
      <c r="F51" s="68" t="s">
        <v>101</v>
      </c>
      <c r="G51" s="68">
        <v>2</v>
      </c>
      <c r="H51" s="202">
        <v>72</v>
      </c>
      <c r="I51" s="202">
        <v>30</v>
      </c>
      <c r="J51" s="202">
        <v>23</v>
      </c>
      <c r="K51" s="202">
        <v>13</v>
      </c>
      <c r="L51" s="203">
        <f t="shared" si="12"/>
        <v>50724.154984860797</v>
      </c>
      <c r="M51" s="84">
        <v>12.4</v>
      </c>
      <c r="N51" s="84">
        <v>12.5</v>
      </c>
      <c r="O51" s="84">
        <v>12.7</v>
      </c>
      <c r="P51" s="204">
        <v>12.9</v>
      </c>
      <c r="Q51" s="204">
        <v>13</v>
      </c>
      <c r="R51" s="204">
        <v>13.15</v>
      </c>
      <c r="S51" s="84">
        <v>13.1</v>
      </c>
      <c r="T51" s="85">
        <v>13.22</v>
      </c>
      <c r="U51" s="85">
        <v>13.3</v>
      </c>
      <c r="V51" s="85">
        <v>13.39</v>
      </c>
      <c r="W51" s="85">
        <v>13.46</v>
      </c>
      <c r="X51" s="83">
        <v>13.6</v>
      </c>
      <c r="Y51" s="286">
        <v>13.7</v>
      </c>
      <c r="Z51" s="177">
        <f t="shared" si="2"/>
        <v>1.1999999999999993</v>
      </c>
      <c r="AA51" s="178">
        <f t="shared" si="13"/>
        <v>9.6774193548387039E-2</v>
      </c>
      <c r="AB51" s="177">
        <f t="shared" si="3"/>
        <v>0.59999999999999964</v>
      </c>
      <c r="AC51" s="178">
        <f t="shared" si="4"/>
        <v>9.6774193548387039E-2</v>
      </c>
      <c r="AD51" s="179">
        <f t="shared" si="5"/>
        <v>0.17016479999999978</v>
      </c>
      <c r="AE51" s="178">
        <f t="shared" si="6"/>
        <v>0.20494276795005173</v>
      </c>
      <c r="AF51"/>
      <c r="AG51"/>
      <c r="AH51" s="175">
        <v>2</v>
      </c>
      <c r="AI51" s="175">
        <v>1</v>
      </c>
      <c r="AJ51" s="175" t="s">
        <v>101</v>
      </c>
      <c r="AK51" s="174">
        <v>2</v>
      </c>
      <c r="AL51" s="175">
        <v>35</v>
      </c>
      <c r="AM51" s="175" t="s">
        <v>103</v>
      </c>
      <c r="AN51" s="196">
        <f t="shared" si="7"/>
        <v>2.5</v>
      </c>
      <c r="AO51" s="205">
        <v>10</v>
      </c>
      <c r="AP51" s="205">
        <v>75</v>
      </c>
      <c r="AQ51" s="205">
        <v>30</v>
      </c>
      <c r="AR51" s="205">
        <v>28</v>
      </c>
      <c r="AS51" s="205">
        <v>23</v>
      </c>
      <c r="AT51" s="206">
        <f t="shared" si="8"/>
        <v>113804.19387629026</v>
      </c>
      <c r="AU51" s="205" t="s">
        <v>160</v>
      </c>
      <c r="AV51" s="174" t="s">
        <v>101</v>
      </c>
      <c r="AW51" s="174">
        <v>2</v>
      </c>
      <c r="AX51" s="175">
        <v>40</v>
      </c>
      <c r="AY51" s="175" t="s">
        <v>103</v>
      </c>
      <c r="AZ51" s="196">
        <f t="shared" si="9"/>
        <v>2.5</v>
      </c>
      <c r="BA51" s="205">
        <v>20</v>
      </c>
      <c r="BB51" s="199"/>
      <c r="BC51" s="207">
        <v>4</v>
      </c>
      <c r="BD51" s="207">
        <v>1</v>
      </c>
      <c r="BE51" s="207">
        <v>2</v>
      </c>
      <c r="BF51" s="97">
        <v>1</v>
      </c>
      <c r="BG51" s="97">
        <v>5</v>
      </c>
      <c r="BH51" s="97">
        <v>2</v>
      </c>
      <c r="BI51" s="97">
        <v>5</v>
      </c>
      <c r="BJ51" s="97">
        <v>1</v>
      </c>
      <c r="BK51" s="166">
        <v>2</v>
      </c>
      <c r="BL51" s="166">
        <v>3</v>
      </c>
      <c r="BM51" s="166">
        <v>2</v>
      </c>
      <c r="BN51" s="307">
        <v>2</v>
      </c>
      <c r="BP51" s="43">
        <v>2.1</v>
      </c>
      <c r="BQ51" s="43">
        <v>2.2999999999999998</v>
      </c>
      <c r="BR51" s="43">
        <v>1.5</v>
      </c>
      <c r="BS51" s="43">
        <v>2.2000000000000002</v>
      </c>
      <c r="BT51" s="43">
        <v>2.1</v>
      </c>
      <c r="BU51" s="43">
        <v>2.6</v>
      </c>
      <c r="BV51" s="43">
        <v>1.7</v>
      </c>
      <c r="BW51" s="43">
        <v>1.6</v>
      </c>
      <c r="BX51" s="43">
        <v>2.1</v>
      </c>
      <c r="BY51" s="43">
        <v>2.2999999999999998</v>
      </c>
      <c r="BZ51" s="43">
        <f t="shared" si="10"/>
        <v>1.8833333333333333</v>
      </c>
      <c r="CA51" s="289">
        <v>2.1</v>
      </c>
      <c r="CB51" s="30"/>
      <c r="CC51" s="212"/>
      <c r="CD51" s="24" t="s">
        <v>138</v>
      </c>
      <c r="CE51" s="24">
        <v>850</v>
      </c>
      <c r="CF51" s="43">
        <v>0.15495126270306631</v>
      </c>
      <c r="CG51" s="43">
        <v>0.12728139436323305</v>
      </c>
      <c r="CH51" s="109">
        <v>0.1291356604477612</v>
      </c>
      <c r="CI51" s="43">
        <v>0.17585738544871815</v>
      </c>
      <c r="CJ51" s="43">
        <v>0.33572773585664367</v>
      </c>
      <c r="CK51" s="43">
        <v>0.21381250278958597</v>
      </c>
      <c r="CL51" s="43">
        <v>0.24196237371898413</v>
      </c>
      <c r="CM51" s="98">
        <v>7.0849113350395357E-2</v>
      </c>
      <c r="CN51" s="98">
        <v>0.18078992462686569</v>
      </c>
      <c r="CO51" s="98">
        <v>0.22629487164179105</v>
      </c>
      <c r="CP51" s="98">
        <v>0.21072829885714284</v>
      </c>
      <c r="CQ51" s="289">
        <v>0.28999999999999998</v>
      </c>
      <c r="CR51" s="98"/>
      <c r="CS51" s="98">
        <f t="shared" si="11"/>
        <v>1.4853297799576359</v>
      </c>
      <c r="CT51" s="30"/>
      <c r="CU51" s="49"/>
      <c r="CV51" s="47"/>
      <c r="CW51" s="48"/>
      <c r="CX51" s="48"/>
      <c r="CY51" s="48"/>
      <c r="CZ51" s="184"/>
      <c r="DA51" s="30"/>
      <c r="DB51" s="30"/>
      <c r="DC51" s="30"/>
    </row>
    <row r="52" spans="1:107" ht="15" x14ac:dyDescent="0.2">
      <c r="A52" s="232">
        <v>2</v>
      </c>
      <c r="B52" s="232" t="s">
        <v>136</v>
      </c>
      <c r="C52" s="232" t="s">
        <v>161</v>
      </c>
      <c r="D52" s="233">
        <v>852</v>
      </c>
      <c r="E52" s="84">
        <v>13.7</v>
      </c>
      <c r="F52" s="68" t="s">
        <v>101</v>
      </c>
      <c r="G52" s="68">
        <v>2</v>
      </c>
      <c r="H52" s="202">
        <v>80</v>
      </c>
      <c r="I52" s="202">
        <v>35</v>
      </c>
      <c r="J52" s="202">
        <v>16</v>
      </c>
      <c r="K52" s="202">
        <v>16</v>
      </c>
      <c r="L52" s="203">
        <f t="shared" si="12"/>
        <v>56297.340352329091</v>
      </c>
      <c r="M52" s="84">
        <v>13.7</v>
      </c>
      <c r="N52" s="84">
        <v>13.7</v>
      </c>
      <c r="O52" s="84">
        <v>13.8</v>
      </c>
      <c r="P52" s="204">
        <v>14</v>
      </c>
      <c r="Q52" s="204">
        <v>14.1</v>
      </c>
      <c r="R52" s="204">
        <v>14.25</v>
      </c>
      <c r="S52" s="84">
        <v>14.3</v>
      </c>
      <c r="T52" s="85">
        <v>14.37</v>
      </c>
      <c r="U52" s="85">
        <v>14.5</v>
      </c>
      <c r="V52" s="85">
        <v>14.6</v>
      </c>
      <c r="W52" s="85">
        <v>14.66</v>
      </c>
      <c r="X52" s="83">
        <v>14.8</v>
      </c>
      <c r="Y52" s="286">
        <v>14.9</v>
      </c>
      <c r="Z52" s="177">
        <f t="shared" si="2"/>
        <v>1.1000000000000014</v>
      </c>
      <c r="AA52" s="178">
        <f t="shared" si="13"/>
        <v>8.0291970802919818E-2</v>
      </c>
      <c r="AB52" s="177">
        <f t="shared" si="3"/>
        <v>0.55000000000000071</v>
      </c>
      <c r="AC52" s="178">
        <f t="shared" si="4"/>
        <v>8.0291970802919818E-2</v>
      </c>
      <c r="AD52" s="179">
        <f t="shared" si="5"/>
        <v>0.17098290000000027</v>
      </c>
      <c r="AE52" s="178">
        <f t="shared" si="6"/>
        <v>0.16870104960306917</v>
      </c>
      <c r="AF52"/>
      <c r="AG52"/>
      <c r="AH52" s="175">
        <v>1</v>
      </c>
      <c r="AI52" s="175">
        <v>1</v>
      </c>
      <c r="AJ52" s="175" t="s">
        <v>102</v>
      </c>
      <c r="AK52" s="174">
        <v>1</v>
      </c>
      <c r="AL52" s="175">
        <v>30</v>
      </c>
      <c r="AM52" s="175" t="s">
        <v>103</v>
      </c>
      <c r="AN52" s="196">
        <f t="shared" si="7"/>
        <v>2.5</v>
      </c>
      <c r="AO52" s="205">
        <v>10</v>
      </c>
      <c r="AP52" s="205">
        <v>80</v>
      </c>
      <c r="AQ52" s="205">
        <v>35</v>
      </c>
      <c r="AR52" s="205">
        <v>35</v>
      </c>
      <c r="AS52" s="205">
        <v>22</v>
      </c>
      <c r="AT52" s="206">
        <f t="shared" si="8"/>
        <v>169331.84402848987</v>
      </c>
      <c r="AU52" s="205"/>
      <c r="AV52" s="174" t="s">
        <v>101</v>
      </c>
      <c r="AW52" s="174">
        <v>2</v>
      </c>
      <c r="AX52" s="175">
        <v>20</v>
      </c>
      <c r="AY52" s="175" t="s">
        <v>103</v>
      </c>
      <c r="AZ52" s="196">
        <f t="shared" si="9"/>
        <v>2.5</v>
      </c>
      <c r="BA52" s="205">
        <v>16</v>
      </c>
      <c r="BB52" s="199"/>
      <c r="BC52" s="207">
        <v>4</v>
      </c>
      <c r="BD52" s="207">
        <v>1</v>
      </c>
      <c r="BE52" s="207">
        <v>2</v>
      </c>
      <c r="BF52" s="97">
        <v>1</v>
      </c>
      <c r="BG52" s="97">
        <v>5</v>
      </c>
      <c r="BH52" s="97">
        <v>4</v>
      </c>
      <c r="BI52" s="97">
        <v>3</v>
      </c>
      <c r="BJ52" s="97">
        <v>1</v>
      </c>
      <c r="BK52" s="166">
        <v>1</v>
      </c>
      <c r="BL52" s="166">
        <v>2</v>
      </c>
      <c r="BM52" s="166">
        <v>3</v>
      </c>
      <c r="BN52" s="307">
        <v>2</v>
      </c>
      <c r="BP52" s="43">
        <v>1.9</v>
      </c>
      <c r="BQ52" s="43">
        <v>2.2999999999999998</v>
      </c>
      <c r="BR52" s="43">
        <v>1.9</v>
      </c>
      <c r="BS52" s="43">
        <v>1.9</v>
      </c>
      <c r="BT52" s="43">
        <v>1.7</v>
      </c>
      <c r="BU52" s="43">
        <v>2.2000000000000002</v>
      </c>
      <c r="BV52" s="43">
        <v>1.5</v>
      </c>
      <c r="BW52" s="43">
        <v>1.3</v>
      </c>
      <c r="BX52" s="43">
        <v>1.6</v>
      </c>
      <c r="BY52" s="43">
        <v>2.2000000000000002</v>
      </c>
      <c r="BZ52" s="43">
        <f t="shared" si="10"/>
        <v>1.5926829268292686</v>
      </c>
      <c r="CA52" s="289">
        <v>1.5</v>
      </c>
      <c r="CB52" s="30"/>
      <c r="CC52" s="212"/>
      <c r="CD52" s="24" t="s">
        <v>138</v>
      </c>
      <c r="CE52" s="24">
        <v>852</v>
      </c>
      <c r="CF52" s="43">
        <v>0.14019399958848855</v>
      </c>
      <c r="CG52" s="43">
        <v>0.15187683288752929</v>
      </c>
      <c r="CH52" s="109">
        <v>0.16357183656716417</v>
      </c>
      <c r="CI52" s="43">
        <v>9.34626663923257E-2</v>
      </c>
      <c r="CJ52" s="43">
        <v>0.29791224912553826</v>
      </c>
      <c r="CK52" s="43">
        <v>0.34791975305997724</v>
      </c>
      <c r="CL52" s="43">
        <v>0.2087518518359863</v>
      </c>
      <c r="CM52" s="98">
        <v>0.12746514589379163</v>
      </c>
      <c r="CN52" s="98">
        <v>0.21645596417910451</v>
      </c>
      <c r="CO52" s="98">
        <v>0.22998446194029853</v>
      </c>
      <c r="CP52" s="98">
        <v>0.15583269159183674</v>
      </c>
      <c r="CQ52" s="289">
        <v>0.23</v>
      </c>
      <c r="CR52" s="98"/>
      <c r="CS52" s="98">
        <f t="shared" si="11"/>
        <v>1.5820758091761633</v>
      </c>
      <c r="CT52" s="30"/>
      <c r="CU52" s="49"/>
      <c r="CV52" s="47"/>
      <c r="CW52" s="48"/>
      <c r="CX52" s="48"/>
      <c r="CY52" s="48"/>
      <c r="CZ52" s="184"/>
      <c r="DA52" s="30"/>
      <c r="DB52" s="30"/>
      <c r="DC52" s="30"/>
    </row>
    <row r="53" spans="1:107" ht="15" x14ac:dyDescent="0.2">
      <c r="A53" s="232">
        <v>2</v>
      </c>
      <c r="B53" s="232" t="s">
        <v>136</v>
      </c>
      <c r="C53" s="232" t="s">
        <v>162</v>
      </c>
      <c r="D53" s="233">
        <v>854</v>
      </c>
      <c r="E53" s="84">
        <v>15.3</v>
      </c>
      <c r="F53" s="68" t="s">
        <v>102</v>
      </c>
      <c r="G53" s="68">
        <v>1</v>
      </c>
      <c r="H53" s="202">
        <v>80</v>
      </c>
      <c r="I53" s="202">
        <v>35</v>
      </c>
      <c r="J53" s="202">
        <v>20</v>
      </c>
      <c r="K53" s="202">
        <v>9</v>
      </c>
      <c r="L53" s="203">
        <f t="shared" si="12"/>
        <v>39584.067435231394</v>
      </c>
      <c r="M53" s="84">
        <v>15.3</v>
      </c>
      <c r="N53" s="84">
        <v>15.3</v>
      </c>
      <c r="O53" s="84">
        <v>15.4</v>
      </c>
      <c r="P53" s="204">
        <v>15.5</v>
      </c>
      <c r="Q53" s="204">
        <v>15.5</v>
      </c>
      <c r="R53" s="204">
        <v>15.55</v>
      </c>
      <c r="S53" s="84">
        <v>15.52</v>
      </c>
      <c r="T53" s="85">
        <v>15.6</v>
      </c>
      <c r="U53" s="85">
        <v>15.65</v>
      </c>
      <c r="V53" s="85">
        <v>15.72</v>
      </c>
      <c r="W53" s="85">
        <v>15.76</v>
      </c>
      <c r="X53" s="83">
        <v>15.9</v>
      </c>
      <c r="Y53" s="286">
        <v>16</v>
      </c>
      <c r="Z53" s="177">
        <f t="shared" si="2"/>
        <v>0.59999999999999964</v>
      </c>
      <c r="AA53" s="178">
        <f t="shared" si="13"/>
        <v>3.9215686274509776E-2</v>
      </c>
      <c r="AB53" s="177">
        <f t="shared" si="3"/>
        <v>0.29999999999999982</v>
      </c>
      <c r="AC53" s="178">
        <f t="shared" si="4"/>
        <v>3.9215686274509776E-2</v>
      </c>
      <c r="AD53" s="179">
        <f t="shared" si="5"/>
        <v>0.10209887999999978</v>
      </c>
      <c r="AE53" s="178">
        <f t="shared" si="6"/>
        <v>8.0768935024990204E-2</v>
      </c>
      <c r="AF53"/>
      <c r="AG53"/>
      <c r="AH53" s="175">
        <v>1</v>
      </c>
      <c r="AI53" s="175">
        <v>1</v>
      </c>
      <c r="AJ53" s="175" t="s">
        <v>101</v>
      </c>
      <c r="AK53" s="174">
        <v>2</v>
      </c>
      <c r="AL53" s="175">
        <v>55</v>
      </c>
      <c r="AM53" s="175" t="s">
        <v>163</v>
      </c>
      <c r="AN53" s="196">
        <f>(6+10)/2</f>
        <v>8</v>
      </c>
      <c r="AO53" s="205">
        <v>5</v>
      </c>
      <c r="AP53" s="205">
        <v>80</v>
      </c>
      <c r="AQ53" s="205">
        <v>45</v>
      </c>
      <c r="AR53" s="205">
        <v>29</v>
      </c>
      <c r="AS53" s="205">
        <v>27</v>
      </c>
      <c r="AT53" s="206">
        <f t="shared" si="8"/>
        <v>221388.03429847272</v>
      </c>
      <c r="AU53" s="205"/>
      <c r="AV53" s="174" t="s">
        <v>101</v>
      </c>
      <c r="AW53" s="174">
        <v>2</v>
      </c>
      <c r="AX53" s="175">
        <v>50</v>
      </c>
      <c r="AY53" s="175" t="s">
        <v>103</v>
      </c>
      <c r="AZ53" s="196">
        <f t="shared" si="9"/>
        <v>2.5</v>
      </c>
      <c r="BA53" s="205">
        <v>20</v>
      </c>
      <c r="BB53" s="199"/>
      <c r="BC53" s="207">
        <v>5</v>
      </c>
      <c r="BD53" s="207">
        <v>2</v>
      </c>
      <c r="BE53" s="207">
        <v>3</v>
      </c>
      <c r="BF53" s="97">
        <v>2</v>
      </c>
      <c r="BG53" s="97">
        <v>5</v>
      </c>
      <c r="BH53" s="97">
        <v>5</v>
      </c>
      <c r="BI53" s="97">
        <v>5</v>
      </c>
      <c r="BJ53" s="97">
        <v>2</v>
      </c>
      <c r="BK53" s="166">
        <v>2</v>
      </c>
      <c r="BL53" s="166">
        <v>3</v>
      </c>
      <c r="BM53" s="166">
        <v>2</v>
      </c>
      <c r="BN53" s="307">
        <v>2</v>
      </c>
      <c r="BP53" s="43">
        <v>2.2000000000000002</v>
      </c>
      <c r="BQ53" s="43">
        <v>2.5</v>
      </c>
      <c r="BR53" s="43">
        <v>2.1</v>
      </c>
      <c r="BS53" s="43">
        <v>2</v>
      </c>
      <c r="BT53" s="43">
        <v>2</v>
      </c>
      <c r="BU53" s="43">
        <v>2.6</v>
      </c>
      <c r="BV53" s="43">
        <v>1.8</v>
      </c>
      <c r="BW53" s="43">
        <v>1.6</v>
      </c>
      <c r="BX53" s="43">
        <v>1.7</v>
      </c>
      <c r="BY53" s="43">
        <v>2.2999999999999998</v>
      </c>
      <c r="BZ53" s="43">
        <f t="shared" si="10"/>
        <v>1.8869565217391304</v>
      </c>
      <c r="CA53" s="289">
        <v>1.7</v>
      </c>
      <c r="CB53" s="30"/>
      <c r="CC53" s="212"/>
      <c r="CD53" s="24" t="s">
        <v>138</v>
      </c>
      <c r="CE53" s="24">
        <v>854</v>
      </c>
      <c r="CF53" s="43">
        <v>0.19614862223126253</v>
      </c>
      <c r="CG53" s="43">
        <v>0.26163397730220128</v>
      </c>
      <c r="CH53" s="109">
        <v>0.29701201902985075</v>
      </c>
      <c r="CI53" s="43">
        <v>0.22135894671866618</v>
      </c>
      <c r="CJ53" s="43">
        <v>0.37508043749551767</v>
      </c>
      <c r="CK53" s="43">
        <v>0.47696635237676865</v>
      </c>
      <c r="CL53" s="43">
        <v>0.28466161613998137</v>
      </c>
      <c r="CM53" s="98">
        <v>0.18724408528318773</v>
      </c>
      <c r="CN53" s="98">
        <v>0.27702673824626867</v>
      </c>
      <c r="CO53" s="98">
        <v>0.38894431063432838</v>
      </c>
      <c r="CP53" s="98">
        <v>0.23729068946938778</v>
      </c>
      <c r="CQ53" s="289">
        <v>0.3</v>
      </c>
      <c r="CR53" s="98"/>
      <c r="CS53" s="98">
        <f t="shared" si="11"/>
        <v>2.372861684366427</v>
      </c>
      <c r="CT53" s="30"/>
      <c r="CU53" s="49"/>
      <c r="CV53" s="47"/>
      <c r="CW53" s="48"/>
      <c r="CX53" s="48"/>
      <c r="CY53" s="48"/>
      <c r="CZ53" s="184"/>
      <c r="DA53" s="30"/>
      <c r="DB53" s="30"/>
      <c r="DC53" s="30"/>
    </row>
    <row r="54" spans="1:107" ht="15" x14ac:dyDescent="0.2">
      <c r="A54" s="232">
        <v>2</v>
      </c>
      <c r="B54" s="232" t="s">
        <v>136</v>
      </c>
      <c r="C54" s="232" t="s">
        <v>164</v>
      </c>
      <c r="D54" s="233">
        <v>855</v>
      </c>
      <c r="E54" s="84">
        <v>15.5</v>
      </c>
      <c r="F54" s="68" t="s">
        <v>101</v>
      </c>
      <c r="G54" s="68">
        <v>2</v>
      </c>
      <c r="H54" s="202">
        <v>72</v>
      </c>
      <c r="I54" s="202">
        <v>40</v>
      </c>
      <c r="J54" s="202">
        <v>25</v>
      </c>
      <c r="K54" s="202">
        <v>19</v>
      </c>
      <c r="L54" s="203">
        <f t="shared" si="12"/>
        <v>107442.46875277093</v>
      </c>
      <c r="M54" s="84">
        <v>15.5</v>
      </c>
      <c r="N54" s="84">
        <v>15.7</v>
      </c>
      <c r="O54" s="84">
        <v>15.9</v>
      </c>
      <c r="P54" s="204">
        <v>16.3</v>
      </c>
      <c r="Q54" s="204">
        <v>16.100000000000001</v>
      </c>
      <c r="R54" s="204">
        <v>16.649999999999999</v>
      </c>
      <c r="S54" s="84">
        <v>16.600000000000001</v>
      </c>
      <c r="T54" s="85">
        <v>16.75</v>
      </c>
      <c r="U54" s="85">
        <v>16.88</v>
      </c>
      <c r="V54" s="85">
        <v>17</v>
      </c>
      <c r="W54" s="85">
        <v>17.2</v>
      </c>
      <c r="X54" s="83">
        <v>17.399999999999999</v>
      </c>
      <c r="Y54" s="286">
        <v>17.5</v>
      </c>
      <c r="Z54" s="177">
        <f t="shared" si="2"/>
        <v>1.8999999999999986</v>
      </c>
      <c r="AA54" s="178">
        <f t="shared" si="13"/>
        <v>0.12258064516129023</v>
      </c>
      <c r="AB54" s="177">
        <f t="shared" si="3"/>
        <v>0.94999999999999929</v>
      </c>
      <c r="AC54" s="178">
        <f t="shared" si="4"/>
        <v>0.12258064516129023</v>
      </c>
      <c r="AD54" s="179">
        <f t="shared" si="5"/>
        <v>0.34092953999999964</v>
      </c>
      <c r="AE54" s="178">
        <f t="shared" si="6"/>
        <v>0.2627891779396459</v>
      </c>
      <c r="AF54"/>
      <c r="AG54"/>
      <c r="AH54" s="175">
        <v>1</v>
      </c>
      <c r="AI54" s="175">
        <v>1</v>
      </c>
      <c r="AJ54" s="175" t="s">
        <v>102</v>
      </c>
      <c r="AK54" s="174">
        <v>1</v>
      </c>
      <c r="AL54" s="175">
        <v>40</v>
      </c>
      <c r="AM54" s="175" t="s">
        <v>103</v>
      </c>
      <c r="AN54" s="196">
        <f t="shared" si="7"/>
        <v>2.5</v>
      </c>
      <c r="AO54" s="205">
        <v>15</v>
      </c>
      <c r="AP54" s="205">
        <v>80</v>
      </c>
      <c r="AQ54" s="205">
        <v>35</v>
      </c>
      <c r="AR54" s="205">
        <v>38</v>
      </c>
      <c r="AS54" s="205">
        <v>35</v>
      </c>
      <c r="AT54" s="206">
        <f t="shared" si="8"/>
        <v>292482.27604920976</v>
      </c>
      <c r="AU54" s="205"/>
      <c r="AV54" s="174" t="s">
        <v>101</v>
      </c>
      <c r="AW54" s="174">
        <v>2</v>
      </c>
      <c r="AX54" s="175">
        <v>45</v>
      </c>
      <c r="AY54" s="175" t="s">
        <v>103</v>
      </c>
      <c r="AZ54" s="196">
        <f t="shared" si="9"/>
        <v>2.5</v>
      </c>
      <c r="BA54" s="205">
        <v>15</v>
      </c>
      <c r="BB54" s="199"/>
      <c r="BC54" s="207">
        <v>5</v>
      </c>
      <c r="BD54" s="207">
        <v>4</v>
      </c>
      <c r="BE54" s="45" t="s">
        <v>165</v>
      </c>
      <c r="BF54" s="97">
        <v>2</v>
      </c>
      <c r="BG54" s="97">
        <v>5</v>
      </c>
      <c r="BH54" s="97"/>
      <c r="BI54" s="97">
        <v>5</v>
      </c>
      <c r="BJ54" s="97">
        <v>2</v>
      </c>
      <c r="BK54" s="166">
        <v>5</v>
      </c>
      <c r="BL54" s="166">
        <v>4</v>
      </c>
      <c r="BM54" s="166">
        <v>2</v>
      </c>
      <c r="BN54" s="307">
        <v>3</v>
      </c>
      <c r="BP54" s="43">
        <v>2.6</v>
      </c>
      <c r="BQ54" s="43">
        <v>1.9</v>
      </c>
      <c r="BR54" s="43"/>
      <c r="BS54" s="43">
        <v>2.8</v>
      </c>
      <c r="BT54" s="43"/>
      <c r="BU54" s="43">
        <v>2.6</v>
      </c>
      <c r="BV54" s="43">
        <v>2</v>
      </c>
      <c r="BW54" s="43">
        <v>1.5</v>
      </c>
      <c r="BX54" s="43">
        <v>2</v>
      </c>
      <c r="BY54" s="43">
        <v>2.7</v>
      </c>
      <c r="BZ54" s="43">
        <f t="shared" si="10"/>
        <v>0.96296296296296291</v>
      </c>
      <c r="CA54" s="289">
        <v>1.8</v>
      </c>
      <c r="CB54" s="30"/>
      <c r="CC54" s="212"/>
      <c r="CD54" s="24" t="s">
        <v>138</v>
      </c>
      <c r="CE54" s="24">
        <v>855</v>
      </c>
      <c r="CF54" s="43">
        <v>0.31974070081585104</v>
      </c>
      <c r="CG54" s="43">
        <v>0.28223265706629935</v>
      </c>
      <c r="CH54" s="109"/>
      <c r="CI54" s="43">
        <v>0.37876975327416207</v>
      </c>
      <c r="CJ54" s="43"/>
      <c r="CK54" s="43">
        <v>0.67433173956715575</v>
      </c>
      <c r="CL54" s="43">
        <v>0.66421043765995647</v>
      </c>
      <c r="CM54" s="98">
        <v>0.18503005049098786</v>
      </c>
      <c r="CN54" s="98">
        <v>0.35666039552238804</v>
      </c>
      <c r="CO54" s="98">
        <v>0.68072941007462706</v>
      </c>
      <c r="CP54" s="98">
        <v>0.34531107795918375</v>
      </c>
      <c r="CQ54" s="289">
        <v>0.53</v>
      </c>
      <c r="CR54" s="98"/>
      <c r="CS54" s="98">
        <f t="shared" si="11"/>
        <v>4.4271314305892844</v>
      </c>
      <c r="CT54" s="30"/>
      <c r="CU54" s="49"/>
      <c r="CV54" s="47"/>
      <c r="CW54" s="48"/>
      <c r="CX54" s="48"/>
      <c r="CY54" s="48"/>
      <c r="CZ54" s="184"/>
      <c r="DA54" s="30"/>
      <c r="DB54" s="30"/>
      <c r="DC54" s="30"/>
    </row>
    <row r="55" spans="1:107" ht="15" x14ac:dyDescent="0.2">
      <c r="A55" s="232">
        <v>2</v>
      </c>
      <c r="B55" s="232" t="s">
        <v>136</v>
      </c>
      <c r="C55" s="232" t="s">
        <v>166</v>
      </c>
      <c r="D55" s="233">
        <v>857</v>
      </c>
      <c r="E55" s="84">
        <v>18</v>
      </c>
      <c r="F55" s="68" t="s">
        <v>102</v>
      </c>
      <c r="G55" s="68">
        <v>1</v>
      </c>
      <c r="H55" s="202">
        <v>80</v>
      </c>
      <c r="I55" s="202">
        <v>50</v>
      </c>
      <c r="J55" s="202">
        <v>28</v>
      </c>
      <c r="K55" s="202">
        <v>20</v>
      </c>
      <c r="L55" s="203">
        <f t="shared" si="12"/>
        <v>175929.18860102841</v>
      </c>
      <c r="M55" s="84">
        <v>18</v>
      </c>
      <c r="N55" s="84">
        <v>18.2</v>
      </c>
      <c r="O55" s="84">
        <v>18.399999999999999</v>
      </c>
      <c r="P55" s="204">
        <v>18.7</v>
      </c>
      <c r="Q55" s="204">
        <v>18.899999999999999</v>
      </c>
      <c r="R55" s="204">
        <v>19.100000000000001</v>
      </c>
      <c r="S55" s="84">
        <v>19.25</v>
      </c>
      <c r="T55" s="85">
        <v>19.45</v>
      </c>
      <c r="U55" s="85">
        <v>19.57</v>
      </c>
      <c r="V55" s="85">
        <v>19.78</v>
      </c>
      <c r="W55" s="85">
        <v>20</v>
      </c>
      <c r="X55" s="83">
        <v>20</v>
      </c>
      <c r="Y55" s="286">
        <v>20.399999999999999</v>
      </c>
      <c r="Z55" s="177">
        <f t="shared" si="2"/>
        <v>2</v>
      </c>
      <c r="AA55" s="178">
        <f t="shared" si="13"/>
        <v>0.1111111111111111</v>
      </c>
      <c r="AB55" s="177">
        <f t="shared" si="3"/>
        <v>1</v>
      </c>
      <c r="AC55" s="178">
        <f t="shared" si="4"/>
        <v>0.1111111111111111</v>
      </c>
      <c r="AD55" s="179">
        <f t="shared" si="5"/>
        <v>0.41450400000000021</v>
      </c>
      <c r="AE55" s="178">
        <f t="shared" si="6"/>
        <v>0.2369135802469137</v>
      </c>
      <c r="AF55"/>
      <c r="AG55"/>
      <c r="AH55" s="175">
        <v>1</v>
      </c>
      <c r="AI55" s="175">
        <v>1</v>
      </c>
      <c r="AJ55" s="175" t="s">
        <v>102</v>
      </c>
      <c r="AK55" s="174">
        <v>1</v>
      </c>
      <c r="AL55" s="175">
        <v>45</v>
      </c>
      <c r="AM55" s="175" t="s">
        <v>103</v>
      </c>
      <c r="AN55" s="196">
        <f t="shared" si="7"/>
        <v>2.5</v>
      </c>
      <c r="AO55" s="205">
        <v>15</v>
      </c>
      <c r="AP55" s="205">
        <v>85</v>
      </c>
      <c r="AQ55" s="205">
        <v>40</v>
      </c>
      <c r="AR55" s="205">
        <v>39</v>
      </c>
      <c r="AS55" s="205">
        <v>37</v>
      </c>
      <c r="AT55" s="206">
        <f t="shared" si="8"/>
        <v>385332.04692605609</v>
      </c>
      <c r="AU55" s="205"/>
      <c r="AV55" s="174" t="s">
        <v>102</v>
      </c>
      <c r="AW55" s="174">
        <v>1</v>
      </c>
      <c r="AX55" s="175">
        <v>30</v>
      </c>
      <c r="AY55" s="175" t="s">
        <v>103</v>
      </c>
      <c r="AZ55" s="196">
        <f t="shared" si="9"/>
        <v>2.5</v>
      </c>
      <c r="BA55" s="205">
        <v>20</v>
      </c>
      <c r="BB55" s="199"/>
      <c r="BC55" s="207">
        <v>5</v>
      </c>
      <c r="BD55" s="207">
        <v>1</v>
      </c>
      <c r="BE55" s="207">
        <v>4</v>
      </c>
      <c r="BF55" s="97">
        <v>2</v>
      </c>
      <c r="BG55" s="97">
        <v>5</v>
      </c>
      <c r="BH55" s="97">
        <v>4</v>
      </c>
      <c r="BI55" s="97">
        <v>5</v>
      </c>
      <c r="BJ55" s="97">
        <v>2</v>
      </c>
      <c r="BK55" s="166">
        <v>5</v>
      </c>
      <c r="BL55" s="166">
        <v>1</v>
      </c>
      <c r="BM55" s="166">
        <v>3</v>
      </c>
      <c r="BN55" s="307">
        <v>3</v>
      </c>
      <c r="BP55" s="43">
        <v>2.1</v>
      </c>
      <c r="BQ55" s="43">
        <v>2.7</v>
      </c>
      <c r="BR55" s="43">
        <v>2.2000000000000002</v>
      </c>
      <c r="BS55" s="43">
        <v>2.4</v>
      </c>
      <c r="BT55" s="43">
        <v>2.2999999999999998</v>
      </c>
      <c r="BU55" s="43">
        <v>2.7</v>
      </c>
      <c r="BV55" s="43">
        <v>2.4</v>
      </c>
      <c r="BW55" s="43">
        <v>2</v>
      </c>
      <c r="BX55" s="43">
        <v>2.4</v>
      </c>
      <c r="BY55" s="43">
        <v>2.2999999999999998</v>
      </c>
      <c r="BZ55" s="43">
        <f t="shared" si="10"/>
        <v>2.3529411764705883</v>
      </c>
      <c r="CA55" s="289">
        <v>1.8</v>
      </c>
      <c r="CB55" s="30"/>
      <c r="CC55" s="212"/>
      <c r="CD55" s="24" t="s">
        <v>138</v>
      </c>
      <c r="CE55" s="24">
        <v>857</v>
      </c>
      <c r="CF55" s="43">
        <v>0.46485378810919897</v>
      </c>
      <c r="CG55" s="43">
        <v>0.52296051162284896</v>
      </c>
      <c r="CH55" s="109">
        <v>0.5276114126865673</v>
      </c>
      <c r="CI55" s="43">
        <v>0.56815462991124321</v>
      </c>
      <c r="CJ55" s="43">
        <v>0.67883410327057625</v>
      </c>
      <c r="CK55" s="43">
        <v>0.8710645453883431</v>
      </c>
      <c r="CL55" s="43">
        <v>0.66800592587515628</v>
      </c>
      <c r="CM55" s="98">
        <v>0.65788462396795688</v>
      </c>
      <c r="CN55" s="98">
        <v>0.78219314328358214</v>
      </c>
      <c r="CO55" s="98">
        <v>0.65059775597014924</v>
      </c>
      <c r="CP55" s="98">
        <v>0.47163000220408158</v>
      </c>
      <c r="CQ55" s="289">
        <v>0.5</v>
      </c>
      <c r="CR55" s="98"/>
      <c r="CS55" s="98">
        <f t="shared" si="11"/>
        <v>5.1137283520684971</v>
      </c>
      <c r="CT55" s="30"/>
      <c r="CU55" s="49"/>
      <c r="CV55" s="47"/>
      <c r="CW55" s="48"/>
      <c r="CX55" s="48"/>
      <c r="CY55" s="48"/>
      <c r="CZ55" s="184"/>
      <c r="DA55" s="30"/>
      <c r="DB55" s="30"/>
      <c r="DC55" s="30"/>
    </row>
    <row r="56" spans="1:107" ht="15" x14ac:dyDescent="0.2">
      <c r="A56" s="232">
        <v>2</v>
      </c>
      <c r="B56" s="232" t="s">
        <v>136</v>
      </c>
      <c r="C56" s="232" t="s">
        <v>167</v>
      </c>
      <c r="D56" s="233">
        <v>858</v>
      </c>
      <c r="E56" s="84">
        <v>19.100000000000001</v>
      </c>
      <c r="F56" s="68" t="s">
        <v>102</v>
      </c>
      <c r="G56" s="68">
        <v>1</v>
      </c>
      <c r="H56" s="202">
        <v>85</v>
      </c>
      <c r="I56" s="202">
        <v>65</v>
      </c>
      <c r="J56" s="202">
        <v>24</v>
      </c>
      <c r="K56" s="202">
        <v>20</v>
      </c>
      <c r="L56" s="203">
        <f t="shared" si="12"/>
        <v>208287.59293300327</v>
      </c>
      <c r="M56" s="84">
        <v>19.100000000000001</v>
      </c>
      <c r="N56" s="84">
        <v>19.3</v>
      </c>
      <c r="O56" s="84">
        <v>19.5</v>
      </c>
      <c r="P56" s="204">
        <v>19.7</v>
      </c>
      <c r="Q56" s="204">
        <v>19.8</v>
      </c>
      <c r="R56" s="204">
        <v>19.95</v>
      </c>
      <c r="S56" s="84">
        <v>19.95</v>
      </c>
      <c r="T56" s="85">
        <v>20</v>
      </c>
      <c r="U56" s="85">
        <v>20.12</v>
      </c>
      <c r="V56" s="85">
        <v>20.23</v>
      </c>
      <c r="W56" s="85">
        <v>20.420000000000002</v>
      </c>
      <c r="X56" s="83">
        <v>20.7</v>
      </c>
      <c r="Y56" s="286">
        <v>20.7</v>
      </c>
      <c r="Z56" s="177">
        <f t="shared" si="2"/>
        <v>1.5999999999999979</v>
      </c>
      <c r="AA56" s="178">
        <f t="shared" si="13"/>
        <v>8.3769633507853283E-2</v>
      </c>
      <c r="AB56" s="177">
        <f t="shared" si="3"/>
        <v>0.79999999999999893</v>
      </c>
      <c r="AC56" s="178">
        <f t="shared" si="4"/>
        <v>8.3769633507853283E-2</v>
      </c>
      <c r="AD56" s="179">
        <f t="shared" si="5"/>
        <v>0.34731071999999941</v>
      </c>
      <c r="AE56" s="178">
        <f t="shared" si="6"/>
        <v>0.17630218469888401</v>
      </c>
      <c r="AF56"/>
      <c r="AG56"/>
      <c r="AH56" s="175">
        <v>2</v>
      </c>
      <c r="AI56" s="175">
        <v>1</v>
      </c>
      <c r="AJ56" s="175" t="s">
        <v>102</v>
      </c>
      <c r="AK56" s="174">
        <v>1</v>
      </c>
      <c r="AL56" s="175">
        <v>65</v>
      </c>
      <c r="AM56" s="175" t="s">
        <v>103</v>
      </c>
      <c r="AN56" s="196">
        <f t="shared" si="7"/>
        <v>2.5</v>
      </c>
      <c r="AO56" s="205">
        <v>15</v>
      </c>
      <c r="AP56" s="205">
        <v>80</v>
      </c>
      <c r="AQ56" s="205">
        <v>70</v>
      </c>
      <c r="AR56" s="205">
        <v>35</v>
      </c>
      <c r="AS56" s="205">
        <v>29</v>
      </c>
      <c r="AT56" s="206">
        <f t="shared" si="8"/>
        <v>446420.31607510964</v>
      </c>
      <c r="AU56" s="205" t="s">
        <v>153</v>
      </c>
      <c r="AV56" s="174" t="s">
        <v>102</v>
      </c>
      <c r="AW56" s="174">
        <v>1</v>
      </c>
      <c r="AX56" s="175">
        <v>60</v>
      </c>
      <c r="AY56" s="175" t="s">
        <v>103</v>
      </c>
      <c r="AZ56" s="196">
        <f t="shared" si="9"/>
        <v>2.5</v>
      </c>
      <c r="BA56" s="205">
        <v>20</v>
      </c>
      <c r="BB56" s="199"/>
      <c r="BC56" s="207">
        <v>2</v>
      </c>
      <c r="BD56" s="207">
        <v>1</v>
      </c>
      <c r="BE56" s="207">
        <v>3</v>
      </c>
      <c r="BF56" s="97">
        <v>1</v>
      </c>
      <c r="BG56" s="97">
        <v>5</v>
      </c>
      <c r="BH56" s="97">
        <v>5</v>
      </c>
      <c r="BI56" s="97">
        <v>1</v>
      </c>
      <c r="BJ56" s="97">
        <v>1</v>
      </c>
      <c r="BK56" s="166">
        <v>2</v>
      </c>
      <c r="BL56" s="166">
        <v>1</v>
      </c>
      <c r="BM56" s="166">
        <v>4</v>
      </c>
      <c r="BN56" s="307">
        <v>5</v>
      </c>
      <c r="BP56" s="43">
        <v>3.7</v>
      </c>
      <c r="BQ56" s="43">
        <v>2.1</v>
      </c>
      <c r="BR56" s="43">
        <v>2.8</v>
      </c>
      <c r="BS56" s="43">
        <v>3.3</v>
      </c>
      <c r="BT56" s="43">
        <v>3.0000000000000004</v>
      </c>
      <c r="BU56" s="43">
        <v>3.6</v>
      </c>
      <c r="BV56" s="43">
        <v>2.9</v>
      </c>
      <c r="BW56" s="43">
        <v>2.2000000000000002</v>
      </c>
      <c r="BX56" s="43">
        <v>1.9</v>
      </c>
      <c r="BY56" s="43">
        <v>3.4</v>
      </c>
      <c r="BZ56" s="43">
        <f t="shared" si="10"/>
        <v>2.9478260869565216</v>
      </c>
      <c r="CA56" s="289">
        <v>2.2000000000000002</v>
      </c>
      <c r="CB56" s="30"/>
      <c r="CC56" s="212"/>
      <c r="CD56" s="24" t="s">
        <v>138</v>
      </c>
      <c r="CE56" s="24">
        <v>858</v>
      </c>
      <c r="CF56" s="43">
        <v>0.42088944174701948</v>
      </c>
      <c r="CG56" s="43">
        <v>0.33449796393042885</v>
      </c>
      <c r="CH56" s="109">
        <v>0.39601602537313429</v>
      </c>
      <c r="CI56" s="43">
        <v>0.33480540691198252</v>
      </c>
      <c r="CJ56" s="43">
        <v>0.88543578687466462</v>
      </c>
      <c r="CK56" s="43">
        <v>0.63764202015355809</v>
      </c>
      <c r="CL56" s="43">
        <v>0.66041494944475654</v>
      </c>
      <c r="CM56" s="98">
        <v>0.34791975305997724</v>
      </c>
      <c r="CN56" s="98">
        <v>0.432296996641791</v>
      </c>
      <c r="CO56" s="98">
        <v>0.77358409925373128</v>
      </c>
      <c r="CP56" s="98">
        <v>0.46159532130612252</v>
      </c>
      <c r="CQ56" s="289">
        <v>0.4</v>
      </c>
      <c r="CR56" s="98"/>
      <c r="CS56" s="98">
        <f t="shared" si="11"/>
        <v>4.178801954712835</v>
      </c>
      <c r="CT56" s="30"/>
      <c r="CU56" s="49"/>
      <c r="CV56" s="47"/>
      <c r="CW56" s="48"/>
      <c r="CX56" s="48"/>
      <c r="CY56" s="48"/>
      <c r="CZ56" s="184"/>
      <c r="DA56" s="30"/>
      <c r="DB56" s="30"/>
      <c r="DC56" s="30"/>
    </row>
    <row r="57" spans="1:107" ht="15" x14ac:dyDescent="0.2">
      <c r="A57" s="232">
        <v>2</v>
      </c>
      <c r="B57" s="232" t="s">
        <v>136</v>
      </c>
      <c r="C57" s="232" t="s">
        <v>168</v>
      </c>
      <c r="D57" s="233">
        <v>870</v>
      </c>
      <c r="E57" s="84">
        <v>14.6</v>
      </c>
      <c r="F57" s="68" t="s">
        <v>101</v>
      </c>
      <c r="G57" s="68">
        <v>2</v>
      </c>
      <c r="H57" s="202">
        <v>80</v>
      </c>
      <c r="I57" s="202">
        <v>40</v>
      </c>
      <c r="J57" s="202">
        <v>25</v>
      </c>
      <c r="K57" s="202">
        <v>25</v>
      </c>
      <c r="L57" s="203">
        <f t="shared" si="12"/>
        <v>157079.63267948967</v>
      </c>
      <c r="M57" s="84">
        <v>14.6</v>
      </c>
      <c r="N57" s="84">
        <v>14.5</v>
      </c>
      <c r="O57" s="84">
        <v>14.6</v>
      </c>
      <c r="P57" s="204">
        <v>14.8</v>
      </c>
      <c r="Q57" s="204">
        <v>14.8</v>
      </c>
      <c r="R57" s="204">
        <v>14.85</v>
      </c>
      <c r="S57" s="84">
        <v>14.8</v>
      </c>
      <c r="T57" s="85">
        <v>14.824999999999999</v>
      </c>
      <c r="U57" s="85">
        <v>14.84</v>
      </c>
      <c r="V57" s="85">
        <v>14.89</v>
      </c>
      <c r="W57" s="85">
        <v>14.94</v>
      </c>
      <c r="X57" s="83">
        <v>15</v>
      </c>
      <c r="Y57" s="286">
        <v>15.1</v>
      </c>
      <c r="Z57" s="177">
        <f t="shared" si="2"/>
        <v>0.40000000000000036</v>
      </c>
      <c r="AA57" s="178">
        <f t="shared" si="13"/>
        <v>2.7397260273972629E-2</v>
      </c>
      <c r="AB57" s="177">
        <f t="shared" si="3"/>
        <v>0.20000000000000018</v>
      </c>
      <c r="AC57" s="178">
        <f t="shared" si="4"/>
        <v>2.7397260273972629E-2</v>
      </c>
      <c r="AD57" s="179">
        <f t="shared" si="5"/>
        <v>6.4575360000000082E-2</v>
      </c>
      <c r="AE57" s="178">
        <f t="shared" si="6"/>
        <v>5.6100581722649721E-2</v>
      </c>
      <c r="AF57"/>
      <c r="AG57"/>
      <c r="AH57" s="175">
        <v>1</v>
      </c>
      <c r="AI57" s="175">
        <v>1</v>
      </c>
      <c r="AJ57" s="175" t="s">
        <v>101</v>
      </c>
      <c r="AK57" s="174">
        <v>2</v>
      </c>
      <c r="AL57" s="175">
        <v>40</v>
      </c>
      <c r="AM57" s="175" t="s">
        <v>103</v>
      </c>
      <c r="AN57" s="196">
        <f t="shared" si="7"/>
        <v>2.5</v>
      </c>
      <c r="AO57" s="205">
        <v>30</v>
      </c>
      <c r="AP57" s="205">
        <v>80</v>
      </c>
      <c r="AQ57" s="205">
        <v>35</v>
      </c>
      <c r="AR57" s="205">
        <v>33</v>
      </c>
      <c r="AS57" s="205">
        <v>26</v>
      </c>
      <c r="AT57" s="206">
        <f t="shared" si="8"/>
        <v>188684.05477460299</v>
      </c>
      <c r="AU57" s="205"/>
      <c r="AV57" s="174" t="s">
        <v>102</v>
      </c>
      <c r="AW57" s="174">
        <v>1</v>
      </c>
      <c r="AX57" s="175">
        <v>35</v>
      </c>
      <c r="AY57" s="175" t="s">
        <v>103</v>
      </c>
      <c r="AZ57" s="196">
        <f t="shared" si="9"/>
        <v>2.5</v>
      </c>
      <c r="BA57" s="205">
        <v>25</v>
      </c>
      <c r="BB57" s="199"/>
      <c r="BC57" s="207">
        <v>5</v>
      </c>
      <c r="BD57" s="207">
        <v>3</v>
      </c>
      <c r="BE57" s="207">
        <v>4</v>
      </c>
      <c r="BF57" s="97">
        <v>1</v>
      </c>
      <c r="BG57" s="97">
        <v>5</v>
      </c>
      <c r="BH57" s="97">
        <v>5</v>
      </c>
      <c r="BI57" s="97">
        <v>5</v>
      </c>
      <c r="BJ57" s="97">
        <v>1</v>
      </c>
      <c r="BK57" s="166">
        <v>5</v>
      </c>
      <c r="BL57" s="166">
        <v>4</v>
      </c>
      <c r="BM57" s="166">
        <v>1</v>
      </c>
      <c r="BN57" s="307">
        <v>1</v>
      </c>
      <c r="BP57" s="43">
        <v>2.6</v>
      </c>
      <c r="BQ57" s="43">
        <v>1.8</v>
      </c>
      <c r="BR57" s="43">
        <v>1.7</v>
      </c>
      <c r="BS57" s="43">
        <v>2.1</v>
      </c>
      <c r="BT57" s="43">
        <v>2.2999999999999998</v>
      </c>
      <c r="BU57" s="43">
        <v>2.2000000000000002</v>
      </c>
      <c r="BV57" s="43">
        <v>1.7</v>
      </c>
      <c r="BW57" s="43">
        <v>1.8</v>
      </c>
      <c r="BX57" s="43">
        <v>2.2999999999999998</v>
      </c>
      <c r="BY57" s="43">
        <v>2.9</v>
      </c>
      <c r="BZ57" s="43">
        <f t="shared" si="10"/>
        <v>1.9930232558139531</v>
      </c>
      <c r="CA57" s="289">
        <v>1.7</v>
      </c>
      <c r="CB57" s="30"/>
      <c r="CC57" s="212"/>
      <c r="CD57" s="24" t="s">
        <v>138</v>
      </c>
      <c r="CE57" s="24">
        <v>870</v>
      </c>
      <c r="CF57" s="43">
        <v>0.30375366577505858</v>
      </c>
      <c r="CG57" s="43">
        <v>0.2803879991769771</v>
      </c>
      <c r="CH57" s="109">
        <v>0.27179981865671643</v>
      </c>
      <c r="CI57" s="43">
        <v>0.32281513063138817</v>
      </c>
      <c r="CJ57" s="43">
        <v>0.60105102893748941</v>
      </c>
      <c r="CK57" s="43">
        <v>0.4453372839167708</v>
      </c>
      <c r="CL57" s="43">
        <v>0.37638591467397531</v>
      </c>
      <c r="CM57" s="98">
        <v>0.29035484846278092</v>
      </c>
      <c r="CN57" s="98">
        <v>0.62231089701492537</v>
      </c>
      <c r="CO57" s="98">
        <v>0.55282361305970151</v>
      </c>
      <c r="CP57" s="98">
        <v>0.16291599575510207</v>
      </c>
      <c r="CQ57" s="289">
        <v>0.28000000000000003</v>
      </c>
      <c r="CR57" s="98"/>
      <c r="CS57" s="98">
        <f t="shared" si="11"/>
        <v>3.2536161602446265</v>
      </c>
      <c r="CT57" s="30"/>
      <c r="CU57" s="49"/>
      <c r="CV57" s="47"/>
      <c r="CW57" s="48"/>
      <c r="CX57" s="48"/>
      <c r="CY57" s="48"/>
      <c r="CZ57" s="184"/>
      <c r="DA57" s="30"/>
      <c r="DB57" s="30"/>
      <c r="DC57" s="30"/>
    </row>
    <row r="58" spans="1:107" ht="15" x14ac:dyDescent="0.2">
      <c r="A58" s="232">
        <v>2</v>
      </c>
      <c r="B58" s="232" t="s">
        <v>136</v>
      </c>
      <c r="C58" s="232" t="s">
        <v>169</v>
      </c>
      <c r="D58" s="233">
        <v>875</v>
      </c>
      <c r="E58" s="84">
        <v>13.5</v>
      </c>
      <c r="F58" s="68" t="s">
        <v>101</v>
      </c>
      <c r="G58" s="68">
        <v>2</v>
      </c>
      <c r="H58" s="202">
        <v>72</v>
      </c>
      <c r="I58" s="202">
        <v>40</v>
      </c>
      <c r="J58" s="202">
        <v>30</v>
      </c>
      <c r="K58" s="202">
        <v>21</v>
      </c>
      <c r="L58" s="203">
        <f t="shared" si="12"/>
        <v>142502.64276683301</v>
      </c>
      <c r="M58" s="84">
        <v>13.5</v>
      </c>
      <c r="N58" s="84">
        <v>13.6</v>
      </c>
      <c r="O58" s="84">
        <v>13.6</v>
      </c>
      <c r="P58" s="204">
        <v>13.8</v>
      </c>
      <c r="Q58" s="204">
        <v>13.9</v>
      </c>
      <c r="R58" s="204">
        <v>14.05</v>
      </c>
      <c r="S58" s="84">
        <v>14.1</v>
      </c>
      <c r="T58" s="85">
        <v>14.15</v>
      </c>
      <c r="U58" s="85">
        <v>14.24</v>
      </c>
      <c r="V58" s="85">
        <v>14.33</v>
      </c>
      <c r="W58" s="85">
        <v>14.45</v>
      </c>
      <c r="X58" s="83">
        <v>14.9</v>
      </c>
      <c r="Y58" s="286">
        <v>14.9</v>
      </c>
      <c r="Z58" s="177">
        <f t="shared" si="2"/>
        <v>1.4000000000000004</v>
      </c>
      <c r="AA58" s="178">
        <f t="shared" si="13"/>
        <v>0.10370370370370373</v>
      </c>
      <c r="AB58" s="177">
        <f t="shared" si="3"/>
        <v>0.70000000000000018</v>
      </c>
      <c r="AC58" s="178">
        <f t="shared" si="4"/>
        <v>0.10370370370370373</v>
      </c>
      <c r="AD58" s="179">
        <f t="shared" si="5"/>
        <v>0.21685104000000011</v>
      </c>
      <c r="AE58" s="178">
        <f t="shared" si="6"/>
        <v>0.2203434842249658</v>
      </c>
      <c r="AF58"/>
      <c r="AG58"/>
      <c r="AH58" s="175">
        <v>1</v>
      </c>
      <c r="AI58" s="175">
        <v>1</v>
      </c>
      <c r="AJ58" s="175" t="s">
        <v>102</v>
      </c>
      <c r="AK58" s="174">
        <v>1</v>
      </c>
      <c r="AL58" s="175">
        <v>45</v>
      </c>
      <c r="AM58" s="175" t="s">
        <v>103</v>
      </c>
      <c r="AN58" s="196">
        <f t="shared" si="7"/>
        <v>2.5</v>
      </c>
      <c r="AO58" s="205">
        <v>20</v>
      </c>
      <c r="AP58" s="205">
        <v>80</v>
      </c>
      <c r="AQ58" s="205">
        <v>35</v>
      </c>
      <c r="AR58" s="205">
        <v>41</v>
      </c>
      <c r="AS58" s="205">
        <v>20</v>
      </c>
      <c r="AT58" s="206">
        <f t="shared" si="8"/>
        <v>180327.41831605413</v>
      </c>
      <c r="AU58" s="205"/>
      <c r="AV58" s="174" t="s">
        <v>101</v>
      </c>
      <c r="AW58" s="174">
        <v>2</v>
      </c>
      <c r="AX58" s="175">
        <v>40</v>
      </c>
      <c r="AY58" s="175" t="s">
        <v>103</v>
      </c>
      <c r="AZ58" s="196">
        <f t="shared" si="9"/>
        <v>2.5</v>
      </c>
      <c r="BA58" s="205">
        <v>15</v>
      </c>
      <c r="BB58" s="199"/>
      <c r="BC58" s="207">
        <v>5</v>
      </c>
      <c r="BD58" s="207">
        <v>5</v>
      </c>
      <c r="BE58" s="207">
        <v>5</v>
      </c>
      <c r="BF58" s="97">
        <v>1</v>
      </c>
      <c r="BG58" s="97">
        <v>5</v>
      </c>
      <c r="BH58" s="97">
        <v>5</v>
      </c>
      <c r="BI58" s="97">
        <v>5</v>
      </c>
      <c r="BJ58" s="97">
        <v>1</v>
      </c>
      <c r="BK58" s="166">
        <v>5</v>
      </c>
      <c r="BL58" s="166">
        <v>4</v>
      </c>
      <c r="BM58" s="166">
        <v>1</v>
      </c>
      <c r="BN58" s="307">
        <v>3</v>
      </c>
      <c r="BP58" s="43">
        <v>2.2999999999999998</v>
      </c>
      <c r="BQ58" s="43">
        <v>1.8</v>
      </c>
      <c r="BR58" s="43">
        <v>2.2999999999999998</v>
      </c>
      <c r="BS58" s="43">
        <v>2.5</v>
      </c>
      <c r="BT58" s="43">
        <v>2.6</v>
      </c>
      <c r="BU58" s="43">
        <v>2.6</v>
      </c>
      <c r="BV58" s="43">
        <v>2.1</v>
      </c>
      <c r="BW58" s="43">
        <v>1.7</v>
      </c>
      <c r="BX58" s="43">
        <v>2.2999999999999998</v>
      </c>
      <c r="BY58" s="43">
        <v>2.7</v>
      </c>
      <c r="BZ58" s="43">
        <f t="shared" si="10"/>
        <v>2.3450980392156868</v>
      </c>
      <c r="CA58" s="289">
        <v>2.2000000000000002</v>
      </c>
      <c r="CB58" s="30"/>
      <c r="CC58" s="212"/>
      <c r="CD58" s="24" t="s">
        <v>138</v>
      </c>
      <c r="CE58" s="24">
        <v>875</v>
      </c>
      <c r="CF58" s="43">
        <v>0.31113229733234748</v>
      </c>
      <c r="CG58" s="43">
        <v>0.36155294630715468</v>
      </c>
      <c r="CH58" s="109">
        <v>0.38187259589552242</v>
      </c>
      <c r="CI58" s="43">
        <v>0.39967587601981397</v>
      </c>
      <c r="CJ58" s="43">
        <v>0.71142305931526872</v>
      </c>
      <c r="CK58" s="43">
        <v>0.46051923677756978</v>
      </c>
      <c r="CL58" s="43">
        <v>0.45166309760877033</v>
      </c>
      <c r="CM58" s="98">
        <v>0.24733931535718376</v>
      </c>
      <c r="CN58" s="98">
        <v>0.36065745167910451</v>
      </c>
      <c r="CO58" s="98">
        <v>0.53130100298507477</v>
      </c>
      <c r="CP58" s="98">
        <v>0.28097106514285708</v>
      </c>
      <c r="CQ58" s="289">
        <v>0.44</v>
      </c>
      <c r="CR58" s="98"/>
      <c r="CS58" s="98">
        <f t="shared" si="11"/>
        <v>3.3737095034222486</v>
      </c>
      <c r="CT58" s="30"/>
      <c r="CU58" s="49"/>
      <c r="CV58" s="47"/>
      <c r="CW58" s="48"/>
      <c r="CX58" s="48"/>
      <c r="CY58" s="48"/>
      <c r="CZ58" s="184"/>
      <c r="DA58" s="30"/>
      <c r="DB58" s="30"/>
      <c r="DC58" s="30"/>
    </row>
    <row r="59" spans="1:107" ht="15" x14ac:dyDescent="0.2">
      <c r="A59" s="232">
        <v>2</v>
      </c>
      <c r="B59" s="232" t="s">
        <v>136</v>
      </c>
      <c r="C59" s="232" t="s">
        <v>170</v>
      </c>
      <c r="D59" s="233">
        <v>880</v>
      </c>
      <c r="E59" s="84">
        <v>15.8</v>
      </c>
      <c r="F59" s="68" t="s">
        <v>101</v>
      </c>
      <c r="G59" s="68">
        <v>2</v>
      </c>
      <c r="H59" s="202">
        <v>80</v>
      </c>
      <c r="I59" s="202">
        <v>40</v>
      </c>
      <c r="J59" s="202">
        <v>30</v>
      </c>
      <c r="K59" s="202">
        <v>20</v>
      </c>
      <c r="L59" s="203">
        <f t="shared" si="12"/>
        <v>150796.44737231007</v>
      </c>
      <c r="M59" s="84">
        <v>15.8</v>
      </c>
      <c r="N59" s="84">
        <v>16.100000000000001</v>
      </c>
      <c r="O59" s="84">
        <v>16.100000000000001</v>
      </c>
      <c r="P59" s="204">
        <v>16.3</v>
      </c>
      <c r="Q59" s="204">
        <v>16.7</v>
      </c>
      <c r="R59" s="204">
        <v>16.600000000000001</v>
      </c>
      <c r="S59" s="84">
        <v>16.649999999999999</v>
      </c>
      <c r="T59" s="85">
        <v>16.739999999999998</v>
      </c>
      <c r="U59" s="85">
        <v>16.8</v>
      </c>
      <c r="V59" s="85">
        <v>17</v>
      </c>
      <c r="W59" s="85">
        <v>17.149999999999999</v>
      </c>
      <c r="X59" s="83">
        <v>17.3</v>
      </c>
      <c r="Y59" s="286">
        <v>17.399999999999999</v>
      </c>
      <c r="Z59" s="177">
        <f t="shared" si="2"/>
        <v>1.5</v>
      </c>
      <c r="AA59" s="178">
        <f t="shared" si="13"/>
        <v>9.4936708860759486E-2</v>
      </c>
      <c r="AB59" s="177">
        <f t="shared" si="3"/>
        <v>0.75</v>
      </c>
      <c r="AC59" s="178">
        <f t="shared" si="4"/>
        <v>9.4936708860759486E-2</v>
      </c>
      <c r="AD59" s="179">
        <f t="shared" si="5"/>
        <v>0.27079110000000006</v>
      </c>
      <c r="AE59" s="178">
        <f t="shared" si="6"/>
        <v>0.20087526037493994</v>
      </c>
      <c r="AF59"/>
      <c r="AG59"/>
      <c r="AH59" s="175">
        <v>1</v>
      </c>
      <c r="AI59" s="175">
        <v>1</v>
      </c>
      <c r="AJ59" s="175" t="s">
        <v>101</v>
      </c>
      <c r="AK59" s="174">
        <v>2</v>
      </c>
      <c r="AL59" s="175">
        <v>45</v>
      </c>
      <c r="AM59" s="175" t="s">
        <v>103</v>
      </c>
      <c r="AN59" s="196">
        <f t="shared" si="7"/>
        <v>2.5</v>
      </c>
      <c r="AO59" s="205">
        <v>20</v>
      </c>
      <c r="AP59" s="205">
        <v>75</v>
      </c>
      <c r="AQ59" s="205">
        <v>55</v>
      </c>
      <c r="AR59" s="205">
        <v>31</v>
      </c>
      <c r="AS59" s="205">
        <v>26</v>
      </c>
      <c r="AT59" s="206">
        <f t="shared" si="8"/>
        <v>261125.25437556661</v>
      </c>
      <c r="AU59" s="205"/>
      <c r="AV59" s="174" t="s">
        <v>101</v>
      </c>
      <c r="AW59" s="174">
        <v>2</v>
      </c>
      <c r="AX59" s="175">
        <v>55</v>
      </c>
      <c r="AY59" s="175" t="s">
        <v>103</v>
      </c>
      <c r="AZ59" s="196">
        <f t="shared" si="9"/>
        <v>2.5</v>
      </c>
      <c r="BA59" s="205">
        <v>45</v>
      </c>
      <c r="BB59" s="199"/>
      <c r="BC59" s="207">
        <v>2</v>
      </c>
      <c r="BD59" s="207">
        <v>1</v>
      </c>
      <c r="BE59" s="207">
        <v>4</v>
      </c>
      <c r="BF59" s="97">
        <v>1</v>
      </c>
      <c r="BG59" s="97">
        <v>5</v>
      </c>
      <c r="BH59" s="97">
        <v>5</v>
      </c>
      <c r="BI59" s="97">
        <v>4</v>
      </c>
      <c r="BJ59" s="97">
        <v>1</v>
      </c>
      <c r="BK59" s="166">
        <v>4</v>
      </c>
      <c r="BL59" s="166">
        <v>1</v>
      </c>
      <c r="BM59" s="166">
        <v>1</v>
      </c>
      <c r="BN59" s="307">
        <v>2</v>
      </c>
      <c r="BP59" s="43">
        <v>2.9</v>
      </c>
      <c r="BQ59" s="43">
        <v>2.6</v>
      </c>
      <c r="BR59" s="43">
        <v>3</v>
      </c>
      <c r="BS59" s="43">
        <v>3</v>
      </c>
      <c r="BT59" s="43">
        <v>3.3</v>
      </c>
      <c r="BU59" s="43">
        <v>3.1</v>
      </c>
      <c r="BV59" s="43">
        <v>2.5</v>
      </c>
      <c r="BW59" s="43">
        <v>2.2999999999999998</v>
      </c>
      <c r="BX59" s="43">
        <v>2.2000000000000002</v>
      </c>
      <c r="BY59" s="43">
        <v>3.1</v>
      </c>
      <c r="BZ59" s="43">
        <f t="shared" si="10"/>
        <v>2.8934426229508197</v>
      </c>
      <c r="CA59" s="289">
        <v>2.1</v>
      </c>
      <c r="CB59" s="30"/>
      <c r="CC59" s="212"/>
      <c r="CD59" s="24" t="s">
        <v>138</v>
      </c>
      <c r="CE59" s="24">
        <v>880</v>
      </c>
      <c r="CF59" s="43">
        <v>0.6597726384142466</v>
      </c>
      <c r="CG59" s="43">
        <v>0.62349436659090973</v>
      </c>
      <c r="CH59" s="109">
        <v>0.7010221567164181</v>
      </c>
      <c r="CI59" s="43">
        <v>0.83009605019499821</v>
      </c>
      <c r="CJ59" s="43">
        <v>1.0855811678661251</v>
      </c>
      <c r="CK59" s="43">
        <v>1.0197211671503332</v>
      </c>
      <c r="CL59" s="43">
        <v>0.77491217726994932</v>
      </c>
      <c r="CM59" s="98">
        <v>0.43648114474797139</v>
      </c>
      <c r="CN59" s="98">
        <v>0.66966063917910468</v>
      </c>
      <c r="CO59" s="98">
        <v>0.80064109477611956</v>
      </c>
      <c r="CP59" s="98">
        <v>0.45156064040816329</v>
      </c>
      <c r="CQ59" s="289">
        <v>0.55000000000000004</v>
      </c>
      <c r="CR59" s="98"/>
      <c r="CS59" s="98">
        <f t="shared" si="11"/>
        <v>6.0811060823249408</v>
      </c>
      <c r="CT59" s="30"/>
      <c r="CU59" s="49"/>
      <c r="CV59" s="47"/>
      <c r="CW59" s="48"/>
      <c r="CX59" s="48"/>
      <c r="CY59" s="48"/>
      <c r="CZ59" s="184"/>
      <c r="DA59" s="30"/>
      <c r="DB59" s="30"/>
      <c r="DC59" s="30"/>
    </row>
    <row r="60" spans="1:107" ht="15" x14ac:dyDescent="0.2">
      <c r="A60" s="232">
        <v>2</v>
      </c>
      <c r="B60" s="232" t="s">
        <v>136</v>
      </c>
      <c r="C60" s="232" t="s">
        <v>171</v>
      </c>
      <c r="D60" s="233">
        <v>883</v>
      </c>
      <c r="E60" s="84">
        <v>14</v>
      </c>
      <c r="F60" s="68" t="s">
        <v>101</v>
      </c>
      <c r="G60" s="68">
        <v>2</v>
      </c>
      <c r="H60" s="202">
        <v>70</v>
      </c>
      <c r="I60" s="202">
        <v>35</v>
      </c>
      <c r="J60" s="202">
        <v>28</v>
      </c>
      <c r="K60" s="202">
        <v>22</v>
      </c>
      <c r="L60" s="203">
        <f t="shared" si="12"/>
        <v>118532.29081994289</v>
      </c>
      <c r="M60" s="84">
        <v>14</v>
      </c>
      <c r="N60" s="84">
        <v>14.2</v>
      </c>
      <c r="O60" s="84">
        <v>14.3</v>
      </c>
      <c r="P60" s="204">
        <v>14.5</v>
      </c>
      <c r="Q60" s="204">
        <v>14.6</v>
      </c>
      <c r="R60" s="204">
        <v>14.7</v>
      </c>
      <c r="S60" s="84">
        <v>14.75</v>
      </c>
      <c r="T60" s="85">
        <v>14.81</v>
      </c>
      <c r="U60" s="85">
        <v>14.9</v>
      </c>
      <c r="V60" s="85">
        <v>15</v>
      </c>
      <c r="W60" s="85">
        <v>15.1</v>
      </c>
      <c r="X60" s="83">
        <v>15.2</v>
      </c>
      <c r="Y60" s="286">
        <v>15.4</v>
      </c>
      <c r="Z60" s="177">
        <f t="shared" si="2"/>
        <v>1.1999999999999993</v>
      </c>
      <c r="AA60" s="178">
        <f t="shared" si="13"/>
        <v>8.571428571428566E-2</v>
      </c>
      <c r="AB60" s="177">
        <f t="shared" si="3"/>
        <v>0.59999999999999964</v>
      </c>
      <c r="AC60" s="178">
        <f t="shared" si="4"/>
        <v>8.571428571428566E-2</v>
      </c>
      <c r="AD60" s="179">
        <f t="shared" si="5"/>
        <v>0.19110815999999997</v>
      </c>
      <c r="AE60" s="178">
        <f t="shared" si="6"/>
        <v>0.18056326530612243</v>
      </c>
      <c r="AF60"/>
      <c r="AG60"/>
      <c r="AH60" s="175">
        <v>1</v>
      </c>
      <c r="AI60" s="175">
        <v>1</v>
      </c>
      <c r="AJ60" s="175" t="s">
        <v>101</v>
      </c>
      <c r="AK60" s="174">
        <v>2</v>
      </c>
      <c r="AL60" s="175">
        <v>80</v>
      </c>
      <c r="AM60" s="175" t="s">
        <v>103</v>
      </c>
      <c r="AN60" s="196">
        <f t="shared" si="7"/>
        <v>2.5</v>
      </c>
      <c r="AO60" s="205">
        <v>15</v>
      </c>
      <c r="AP60" s="205">
        <v>80</v>
      </c>
      <c r="AQ60" s="205">
        <v>55</v>
      </c>
      <c r="AR60" s="205">
        <v>38</v>
      </c>
      <c r="AS60" s="205">
        <v>29</v>
      </c>
      <c r="AT60" s="206">
        <f t="shared" si="8"/>
        <v>380823.8614681547</v>
      </c>
      <c r="AU60" s="205"/>
      <c r="AV60" s="174" t="s">
        <v>101</v>
      </c>
      <c r="AW60" s="174">
        <v>2</v>
      </c>
      <c r="AX60" s="175">
        <v>80</v>
      </c>
      <c r="AY60" s="175" t="s">
        <v>103</v>
      </c>
      <c r="AZ60" s="196">
        <f t="shared" si="9"/>
        <v>2.5</v>
      </c>
      <c r="BA60" s="205">
        <v>20</v>
      </c>
      <c r="BB60" s="199"/>
      <c r="BC60" s="207">
        <v>4</v>
      </c>
      <c r="BD60" s="207">
        <v>3</v>
      </c>
      <c r="BE60" s="207">
        <v>2</v>
      </c>
      <c r="BF60" s="97">
        <v>1</v>
      </c>
      <c r="BG60" s="97">
        <v>5</v>
      </c>
      <c r="BH60" s="97">
        <v>4</v>
      </c>
      <c r="BI60" s="97">
        <v>5</v>
      </c>
      <c r="BJ60" s="97">
        <v>1</v>
      </c>
      <c r="BK60" s="166">
        <v>1</v>
      </c>
      <c r="BL60" s="166">
        <v>2</v>
      </c>
      <c r="BM60" s="166">
        <v>2</v>
      </c>
      <c r="BN60" s="307">
        <v>2</v>
      </c>
      <c r="BP60" s="43">
        <v>2.2999999999999998</v>
      </c>
      <c r="BQ60" s="43">
        <v>2.6</v>
      </c>
      <c r="BR60" s="43">
        <v>2</v>
      </c>
      <c r="BS60" s="43">
        <v>2</v>
      </c>
      <c r="BT60" s="43">
        <v>2.1</v>
      </c>
      <c r="BU60" s="43">
        <v>2.2000000000000002</v>
      </c>
      <c r="BV60" s="43">
        <v>1.9</v>
      </c>
      <c r="BW60" s="43">
        <v>1.9</v>
      </c>
      <c r="BX60" s="43">
        <v>1.8</v>
      </c>
      <c r="BY60" s="43">
        <v>2.9</v>
      </c>
      <c r="BZ60" s="43">
        <f t="shared" si="10"/>
        <v>1.9952380952380948</v>
      </c>
      <c r="CA60" s="289">
        <v>1.5</v>
      </c>
      <c r="CB60" s="30"/>
      <c r="CC60" s="212"/>
      <c r="CD60" s="24" t="s">
        <v>138</v>
      </c>
      <c r="CE60" s="24">
        <v>883</v>
      </c>
      <c r="CF60" s="43">
        <v>0.49498320030146187</v>
      </c>
      <c r="CG60" s="43">
        <v>0.41197359528196209</v>
      </c>
      <c r="CH60" s="109">
        <v>0.4796467388059702</v>
      </c>
      <c r="CI60" s="43">
        <v>0.49805763011699894</v>
      </c>
      <c r="CJ60" s="43">
        <v>0.65208656387540409</v>
      </c>
      <c r="CK60" s="43">
        <v>0.65408913575275718</v>
      </c>
      <c r="CL60" s="43">
        <v>0.5228285016437656</v>
      </c>
      <c r="CM60" s="98">
        <v>0.48677136359936807</v>
      </c>
      <c r="CN60" s="98">
        <v>0.51469784664179108</v>
      </c>
      <c r="CO60" s="98">
        <v>0.96298306791044774</v>
      </c>
      <c r="CP60" s="98">
        <v>0.33999859983673469</v>
      </c>
      <c r="CQ60" s="289">
        <v>0.34</v>
      </c>
      <c r="CR60" s="98"/>
      <c r="CS60" s="98">
        <f t="shared" si="11"/>
        <v>4.5424941151439411</v>
      </c>
      <c r="CT60" s="30"/>
      <c r="CU60" s="49"/>
      <c r="CV60" s="47"/>
      <c r="CW60" s="48"/>
      <c r="CX60" s="48"/>
      <c r="CY60" s="48"/>
      <c r="CZ60" s="184"/>
      <c r="DA60" s="30"/>
      <c r="DB60" s="30"/>
      <c r="DC60" s="30"/>
    </row>
    <row r="61" spans="1:107" ht="15" x14ac:dyDescent="0.2">
      <c r="A61" s="232">
        <v>2</v>
      </c>
      <c r="B61" s="232" t="s">
        <v>136</v>
      </c>
      <c r="C61" s="232" t="s">
        <v>172</v>
      </c>
      <c r="D61" s="233">
        <v>884</v>
      </c>
      <c r="E61" s="84">
        <v>13.4</v>
      </c>
      <c r="F61" s="68" t="s">
        <v>101</v>
      </c>
      <c r="G61" s="68">
        <v>2</v>
      </c>
      <c r="H61" s="202">
        <v>80</v>
      </c>
      <c r="I61" s="202">
        <v>35</v>
      </c>
      <c r="J61" s="202">
        <v>30</v>
      </c>
      <c r="K61" s="202">
        <v>20</v>
      </c>
      <c r="L61" s="203">
        <f t="shared" si="12"/>
        <v>131946.89145077131</v>
      </c>
      <c r="M61" s="84">
        <v>13.4</v>
      </c>
      <c r="N61" s="84">
        <v>13.6</v>
      </c>
      <c r="O61" s="84">
        <v>13.7</v>
      </c>
      <c r="P61" s="204">
        <v>13.9</v>
      </c>
      <c r="Q61" s="204">
        <v>14</v>
      </c>
      <c r="R61" s="204">
        <v>14.1</v>
      </c>
      <c r="S61" s="84">
        <v>14.05</v>
      </c>
      <c r="T61" s="85">
        <v>14.1</v>
      </c>
      <c r="U61" s="85">
        <v>14.17</v>
      </c>
      <c r="V61" s="85">
        <v>14.27</v>
      </c>
      <c r="W61" s="85">
        <v>14.4</v>
      </c>
      <c r="X61" s="83">
        <v>14.6</v>
      </c>
      <c r="Y61" s="286">
        <v>14.5</v>
      </c>
      <c r="Z61" s="177">
        <f t="shared" si="2"/>
        <v>1.1999999999999993</v>
      </c>
      <c r="AA61" s="178">
        <f t="shared" si="13"/>
        <v>8.9552238805970089E-2</v>
      </c>
      <c r="AB61" s="177">
        <f t="shared" si="3"/>
        <v>0.59999999999999964</v>
      </c>
      <c r="AC61" s="178">
        <f t="shared" si="4"/>
        <v>8.9552238805970089E-2</v>
      </c>
      <c r="AD61" s="179">
        <f t="shared" si="5"/>
        <v>0.18325439999999993</v>
      </c>
      <c r="AE61" s="178">
        <f t="shared" si="6"/>
        <v>0.18899532189797275</v>
      </c>
      <c r="AF61"/>
      <c r="AG61"/>
      <c r="AH61" s="175">
        <v>1</v>
      </c>
      <c r="AI61" s="175">
        <v>1</v>
      </c>
      <c r="AJ61" s="175" t="s">
        <v>101</v>
      </c>
      <c r="AK61" s="174">
        <v>2</v>
      </c>
      <c r="AL61" s="175">
        <v>45</v>
      </c>
      <c r="AM61" s="175" t="s">
        <v>103</v>
      </c>
      <c r="AN61" s="196">
        <f t="shared" si="7"/>
        <v>2.5</v>
      </c>
      <c r="AO61" s="205">
        <v>15</v>
      </c>
      <c r="AP61" s="205">
        <v>80</v>
      </c>
      <c r="AQ61" s="205">
        <v>50</v>
      </c>
      <c r="AR61" s="205">
        <v>37</v>
      </c>
      <c r="AS61" s="205">
        <v>26</v>
      </c>
      <c r="AT61" s="206">
        <f t="shared" si="8"/>
        <v>302221.21327533812</v>
      </c>
      <c r="AU61" s="205"/>
      <c r="AV61" s="174" t="s">
        <v>101</v>
      </c>
      <c r="AW61" s="174">
        <v>2</v>
      </c>
      <c r="AX61" s="175">
        <v>50</v>
      </c>
      <c r="AY61" s="175" t="s">
        <v>103</v>
      </c>
      <c r="AZ61" s="196">
        <f t="shared" si="9"/>
        <v>2.5</v>
      </c>
      <c r="BA61" s="205">
        <v>20</v>
      </c>
      <c r="BB61" s="199"/>
      <c r="BC61" s="207">
        <v>5</v>
      </c>
      <c r="BD61" s="207">
        <v>4</v>
      </c>
      <c r="BE61" s="207">
        <v>3</v>
      </c>
      <c r="BF61" s="97">
        <v>1</v>
      </c>
      <c r="BG61" s="97">
        <v>5</v>
      </c>
      <c r="BH61" s="97">
        <v>4</v>
      </c>
      <c r="BI61" s="97">
        <v>5</v>
      </c>
      <c r="BJ61" s="97">
        <v>1</v>
      </c>
      <c r="BK61" s="166">
        <v>1</v>
      </c>
      <c r="BL61" s="166">
        <v>1</v>
      </c>
      <c r="BM61" s="166">
        <v>2</v>
      </c>
      <c r="BN61" s="307">
        <v>2</v>
      </c>
      <c r="BP61" s="43">
        <v>2</v>
      </c>
      <c r="BQ61" s="43">
        <v>2</v>
      </c>
      <c r="BR61" s="43">
        <v>2.1</v>
      </c>
      <c r="BS61" s="43">
        <v>2</v>
      </c>
      <c r="BT61" s="43">
        <v>1.8</v>
      </c>
      <c r="BU61" s="43">
        <v>2.2999999999999998</v>
      </c>
      <c r="BV61" s="43">
        <v>1.7</v>
      </c>
      <c r="BW61" s="43">
        <v>1.5</v>
      </c>
      <c r="BX61" s="43">
        <v>1.7</v>
      </c>
      <c r="BY61" s="43">
        <v>2</v>
      </c>
      <c r="BZ61" s="43">
        <f t="shared" si="10"/>
        <v>1.7465116279069768</v>
      </c>
      <c r="CA61" s="289">
        <v>1.5</v>
      </c>
      <c r="CB61" s="30"/>
      <c r="CC61" s="212"/>
      <c r="CD61" s="27" t="s">
        <v>138</v>
      </c>
      <c r="CE61" s="27">
        <v>884</v>
      </c>
      <c r="CF61" s="43">
        <v>0.30744298155370303</v>
      </c>
      <c r="CG61" s="43">
        <v>0.31974070081585115</v>
      </c>
      <c r="CH61" s="109">
        <v>0.33575271716417915</v>
      </c>
      <c r="CI61" s="43">
        <v>0.31974070081585115</v>
      </c>
      <c r="CJ61" s="43">
        <v>0.32650444641003257</v>
      </c>
      <c r="CK61" s="43">
        <v>0.50922800220596665</v>
      </c>
      <c r="CL61" s="44">
        <v>0.22583154880438519</v>
      </c>
      <c r="CM61" s="98">
        <v>0.23721801344998447</v>
      </c>
      <c r="CN61" s="98">
        <v>0.29270749701492538</v>
      </c>
      <c r="CO61" s="234"/>
      <c r="CP61" s="234">
        <v>0.21604077697959184</v>
      </c>
      <c r="CQ61" s="289">
        <v>0.36</v>
      </c>
      <c r="CR61" s="234"/>
      <c r="CS61" s="98">
        <f t="shared" si="11"/>
        <v>2.838683069861609</v>
      </c>
      <c r="CT61" s="30"/>
      <c r="CU61" s="49"/>
      <c r="CV61" s="46" t="s">
        <v>173</v>
      </c>
      <c r="CW61" s="48"/>
      <c r="CX61" s="48"/>
      <c r="CY61" s="48"/>
      <c r="CZ61" s="184"/>
      <c r="DA61" s="30"/>
      <c r="DB61" s="30"/>
      <c r="DC61" s="30"/>
    </row>
    <row r="62" spans="1:107" ht="15" x14ac:dyDescent="0.2">
      <c r="A62" s="235">
        <v>2</v>
      </c>
      <c r="B62" s="235" t="s">
        <v>136</v>
      </c>
      <c r="C62" s="235" t="s">
        <v>174</v>
      </c>
      <c r="D62" s="236">
        <v>886</v>
      </c>
      <c r="E62" s="121">
        <v>12.9</v>
      </c>
      <c r="F62" s="120" t="s">
        <v>101</v>
      </c>
      <c r="G62" s="120">
        <v>2</v>
      </c>
      <c r="H62" s="216">
        <v>75</v>
      </c>
      <c r="I62" s="216">
        <v>40</v>
      </c>
      <c r="J62" s="216">
        <v>24</v>
      </c>
      <c r="K62" s="216">
        <v>20</v>
      </c>
      <c r="L62" s="217">
        <f t="shared" si="12"/>
        <v>113097.33552923254</v>
      </c>
      <c r="M62" s="121">
        <v>12.9</v>
      </c>
      <c r="N62" s="121">
        <v>12.9</v>
      </c>
      <c r="O62" s="121">
        <v>13.1</v>
      </c>
      <c r="P62" s="121">
        <v>13.4</v>
      </c>
      <c r="Q62" s="218">
        <v>13.5</v>
      </c>
      <c r="R62" s="218">
        <v>13.55</v>
      </c>
      <c r="S62" s="121">
        <v>13.6</v>
      </c>
      <c r="T62" s="122">
        <v>13.69</v>
      </c>
      <c r="U62" s="122">
        <v>13.77</v>
      </c>
      <c r="V62" s="122">
        <v>13.89</v>
      </c>
      <c r="W62" s="122">
        <v>14</v>
      </c>
      <c r="X62" s="123">
        <v>14.2</v>
      </c>
      <c r="Y62" s="286">
        <v>14.3</v>
      </c>
      <c r="Z62" s="177">
        <f t="shared" si="2"/>
        <v>1.2999999999999989</v>
      </c>
      <c r="AA62" s="181">
        <f t="shared" si="13"/>
        <v>0.10077519379844953</v>
      </c>
      <c r="AB62" s="180">
        <f t="shared" si="3"/>
        <v>0.64999999999999947</v>
      </c>
      <c r="AC62" s="181">
        <f t="shared" si="4"/>
        <v>0.10077519379844953</v>
      </c>
      <c r="AD62" s="179">
        <f t="shared" si="5"/>
        <v>0.19214441999999987</v>
      </c>
      <c r="AE62" s="181">
        <f t="shared" si="6"/>
        <v>0.21382308755483428</v>
      </c>
      <c r="AF62" s="9"/>
      <c r="AG62" s="9"/>
      <c r="AH62" s="219">
        <v>1</v>
      </c>
      <c r="AI62" s="219">
        <v>1</v>
      </c>
      <c r="AJ62" s="219" t="s">
        <v>102</v>
      </c>
      <c r="AK62" s="220">
        <v>1</v>
      </c>
      <c r="AL62" s="219">
        <v>70</v>
      </c>
      <c r="AM62" s="219" t="s">
        <v>103</v>
      </c>
      <c r="AN62" s="221">
        <f t="shared" si="7"/>
        <v>2.5</v>
      </c>
      <c r="AO62" s="222">
        <v>30</v>
      </c>
      <c r="AP62" s="222">
        <v>80</v>
      </c>
      <c r="AQ62" s="222">
        <v>55</v>
      </c>
      <c r="AR62" s="222">
        <v>34</v>
      </c>
      <c r="AS62" s="222">
        <v>27</v>
      </c>
      <c r="AT62" s="223">
        <f t="shared" si="8"/>
        <v>317238.02615949733</v>
      </c>
      <c r="AU62" s="222"/>
      <c r="AV62" s="219" t="s">
        <v>101</v>
      </c>
      <c r="AW62" s="220">
        <v>2</v>
      </c>
      <c r="AX62" s="219">
        <v>45</v>
      </c>
      <c r="AY62" s="219" t="s">
        <v>103</v>
      </c>
      <c r="AZ62" s="221">
        <f t="shared" si="9"/>
        <v>2.5</v>
      </c>
      <c r="BA62" s="222">
        <v>15</v>
      </c>
      <c r="BB62" s="224"/>
      <c r="BC62" s="225">
        <v>5</v>
      </c>
      <c r="BD62" s="225">
        <v>2</v>
      </c>
      <c r="BE62" s="225">
        <v>2</v>
      </c>
      <c r="BF62" s="126">
        <v>2</v>
      </c>
      <c r="BG62" s="126">
        <v>4</v>
      </c>
      <c r="BH62" s="126">
        <v>4</v>
      </c>
      <c r="BI62" s="126">
        <v>5</v>
      </c>
      <c r="BJ62" s="126">
        <v>2</v>
      </c>
      <c r="BK62" s="126">
        <v>5</v>
      </c>
      <c r="BL62" s="126">
        <v>2</v>
      </c>
      <c r="BM62" s="126">
        <v>2</v>
      </c>
      <c r="BN62" s="308">
        <v>2</v>
      </c>
      <c r="BO62" s="9"/>
      <c r="BP62" s="128">
        <v>3</v>
      </c>
      <c r="BQ62" s="128">
        <v>3.2</v>
      </c>
      <c r="BR62" s="128"/>
      <c r="BS62" s="128">
        <v>2.8</v>
      </c>
      <c r="BT62" s="128">
        <v>2.5999999999999996</v>
      </c>
      <c r="BU62" s="128">
        <v>3.2</v>
      </c>
      <c r="BV62" s="128">
        <v>2.2999999999999998</v>
      </c>
      <c r="BW62" s="128">
        <v>2</v>
      </c>
      <c r="BX62" s="128">
        <v>2.2000000000000002</v>
      </c>
      <c r="BY62" s="128">
        <v>2.9</v>
      </c>
      <c r="BZ62" s="128">
        <f t="shared" si="10"/>
        <v>2.4399999999999995</v>
      </c>
      <c r="CA62" s="290">
        <v>1.9</v>
      </c>
      <c r="CB62" s="226"/>
      <c r="CC62" s="237"/>
      <c r="CD62" s="129" t="s">
        <v>138</v>
      </c>
      <c r="CE62" s="129">
        <v>886</v>
      </c>
      <c r="CF62" s="128">
        <v>0.51650420901022109</v>
      </c>
      <c r="CG62" s="128">
        <v>0.47223241966648782</v>
      </c>
      <c r="CH62" s="130"/>
      <c r="CI62" s="128">
        <v>0.59397984036175411</v>
      </c>
      <c r="CJ62" s="128">
        <v>0.78336471699883525</v>
      </c>
      <c r="CK62" s="128">
        <v>0.76921894494714982</v>
      </c>
      <c r="CL62" s="128">
        <v>0.64017234563035796</v>
      </c>
      <c r="CM62" s="227">
        <v>0.43015533105597176</v>
      </c>
      <c r="CN62" s="227">
        <v>0.58848965261194031</v>
      </c>
      <c r="CO62" s="227">
        <v>0.76681985037313438</v>
      </c>
      <c r="CP62" s="227">
        <v>0.25145729779591841</v>
      </c>
      <c r="CQ62" s="289">
        <v>0.44</v>
      </c>
      <c r="CR62" s="227"/>
      <c r="CS62" s="227">
        <f t="shared" si="11"/>
        <v>5.4922837636107191</v>
      </c>
      <c r="CT62" s="226"/>
      <c r="CU62" s="131"/>
      <c r="CV62" s="132"/>
      <c r="CW62" s="133"/>
      <c r="CX62" s="133"/>
      <c r="CY62" s="133"/>
      <c r="CZ62" s="184"/>
      <c r="DA62" s="30"/>
      <c r="DB62" s="30"/>
      <c r="DC62" s="30"/>
    </row>
    <row r="63" spans="1:107" ht="15" x14ac:dyDescent="0.2">
      <c r="A63" s="238">
        <v>3</v>
      </c>
      <c r="B63" s="238" t="s">
        <v>175</v>
      </c>
      <c r="C63" s="238" t="s">
        <v>176</v>
      </c>
      <c r="D63" s="239">
        <v>802</v>
      </c>
      <c r="E63" s="82">
        <v>11.4</v>
      </c>
      <c r="F63" s="67" t="s">
        <v>101</v>
      </c>
      <c r="G63" s="67">
        <v>2</v>
      </c>
      <c r="H63" s="193">
        <v>80</v>
      </c>
      <c r="I63" s="193">
        <v>40</v>
      </c>
      <c r="J63" s="193">
        <v>25</v>
      </c>
      <c r="K63" s="193">
        <v>15</v>
      </c>
      <c r="L63" s="194">
        <f t="shared" si="12"/>
        <v>94247.779607693796</v>
      </c>
      <c r="M63" s="82">
        <v>11.4</v>
      </c>
      <c r="N63" s="82">
        <v>11.6</v>
      </c>
      <c r="O63" s="82">
        <v>11.8</v>
      </c>
      <c r="P63" s="195">
        <v>11.9</v>
      </c>
      <c r="Q63" s="195">
        <v>12</v>
      </c>
      <c r="R63" s="195">
        <v>12.1</v>
      </c>
      <c r="S63" s="82">
        <v>12.05</v>
      </c>
      <c r="T63" s="83">
        <v>12.15</v>
      </c>
      <c r="U63" s="83">
        <v>12.2</v>
      </c>
      <c r="V63" s="83">
        <v>12.2</v>
      </c>
      <c r="W63" s="83">
        <v>12.28</v>
      </c>
      <c r="X63" s="83">
        <v>12.4</v>
      </c>
      <c r="Y63" s="287">
        <v>12.6</v>
      </c>
      <c r="Z63" s="177">
        <f t="shared" si="2"/>
        <v>1</v>
      </c>
      <c r="AA63" s="178">
        <f t="shared" si="13"/>
        <v>8.771929824561403E-2</v>
      </c>
      <c r="AB63" s="177">
        <f t="shared" si="3"/>
        <v>0.5</v>
      </c>
      <c r="AC63" s="178">
        <f t="shared" si="4"/>
        <v>8.771929824561403E-2</v>
      </c>
      <c r="AD63" s="179">
        <f t="shared" si="5"/>
        <v>0.12980520000000006</v>
      </c>
      <c r="AE63" s="178">
        <f t="shared" si="6"/>
        <v>0.18496460449369043</v>
      </c>
      <c r="AF63"/>
      <c r="AG63"/>
      <c r="AH63" s="196">
        <v>1</v>
      </c>
      <c r="AI63" s="196">
        <v>1</v>
      </c>
      <c r="AJ63" s="196" t="s">
        <v>101</v>
      </c>
      <c r="AK63" s="174">
        <v>2</v>
      </c>
      <c r="AL63" s="196">
        <v>30</v>
      </c>
      <c r="AM63" s="196" t="s">
        <v>103</v>
      </c>
      <c r="AN63" s="196">
        <f t="shared" si="7"/>
        <v>2.5</v>
      </c>
      <c r="AO63" s="197">
        <v>10</v>
      </c>
      <c r="AP63" s="197">
        <v>85</v>
      </c>
      <c r="AQ63" s="197">
        <v>35</v>
      </c>
      <c r="AR63" s="197">
        <v>19</v>
      </c>
      <c r="AS63" s="197">
        <v>14</v>
      </c>
      <c r="AT63" s="198">
        <f t="shared" si="8"/>
        <v>62152.483660457074</v>
      </c>
      <c r="AU63" s="197"/>
      <c r="AV63" s="174" t="s">
        <v>101</v>
      </c>
      <c r="AW63" s="174">
        <v>2</v>
      </c>
      <c r="AX63" s="196">
        <v>30</v>
      </c>
      <c r="AY63" s="196" t="s">
        <v>103</v>
      </c>
      <c r="AZ63" s="196">
        <f t="shared" si="9"/>
        <v>2.5</v>
      </c>
      <c r="BA63" s="197">
        <v>15</v>
      </c>
      <c r="BB63" s="199"/>
      <c r="BC63" s="174">
        <v>3</v>
      </c>
      <c r="BD63" s="174">
        <v>2</v>
      </c>
      <c r="BE63" s="174">
        <v>2</v>
      </c>
      <c r="BF63" s="115">
        <v>1</v>
      </c>
      <c r="BG63" s="115">
        <v>5</v>
      </c>
      <c r="BH63" s="115">
        <v>5</v>
      </c>
      <c r="BI63" s="115">
        <v>5</v>
      </c>
      <c r="BJ63" s="115">
        <v>1</v>
      </c>
      <c r="BK63" s="166">
        <v>4</v>
      </c>
      <c r="BL63" s="166">
        <v>5</v>
      </c>
      <c r="BM63" s="166">
        <v>1</v>
      </c>
      <c r="BN63" s="307">
        <v>1</v>
      </c>
      <c r="BP63" s="96">
        <v>1.6</v>
      </c>
      <c r="BQ63" s="96">
        <v>1.6</v>
      </c>
      <c r="BR63" s="96">
        <v>1.4</v>
      </c>
      <c r="BS63" s="116">
        <v>1.6</v>
      </c>
      <c r="BT63" s="96">
        <v>1.9493670886075951</v>
      </c>
      <c r="BU63" s="96">
        <v>1.6</v>
      </c>
      <c r="BV63" s="96">
        <v>1.5</v>
      </c>
      <c r="BW63" s="96">
        <v>1.5</v>
      </c>
      <c r="BX63" s="96">
        <v>1.7</v>
      </c>
      <c r="BY63" s="96">
        <v>1.7</v>
      </c>
      <c r="BZ63" s="96">
        <f t="shared" si="10"/>
        <v>1.7246835443037978</v>
      </c>
      <c r="CA63" s="289">
        <v>1.9</v>
      </c>
      <c r="CB63" s="30"/>
      <c r="CC63" s="212"/>
      <c r="CD63" s="24" t="s">
        <v>177</v>
      </c>
      <c r="CE63" s="24">
        <v>802</v>
      </c>
      <c r="CF63" s="96">
        <v>0.55589827164179118</v>
      </c>
      <c r="CG63" s="96">
        <v>0.48087660223880596</v>
      </c>
      <c r="CH63" s="117">
        <v>0.63706925820895521</v>
      </c>
      <c r="CI63" s="96">
        <v>0.63598475176119418</v>
      </c>
      <c r="CJ63" s="96">
        <v>0.92050424597014935</v>
      </c>
      <c r="CK63" s="96">
        <v>1.0798200940298508</v>
      </c>
      <c r="CL63" s="96">
        <v>0.66412625373134326</v>
      </c>
      <c r="CM63" s="116">
        <v>0.4796467388059702</v>
      </c>
      <c r="CN63" s="116">
        <v>0.63245727033582089</v>
      </c>
      <c r="CO63" s="116">
        <v>0.6481380291044776</v>
      </c>
      <c r="CP63" s="116">
        <v>0.45539743016326534</v>
      </c>
      <c r="CQ63" s="289">
        <v>0.23</v>
      </c>
      <c r="CR63" s="116"/>
      <c r="CS63" s="116">
        <f t="shared" si="11"/>
        <v>5.3876172126626862</v>
      </c>
      <c r="CT63" s="30"/>
      <c r="CU63" s="118"/>
      <c r="CV63" s="56"/>
      <c r="CW63" s="119"/>
      <c r="CX63" s="119"/>
      <c r="CY63" s="119"/>
      <c r="CZ63" s="184"/>
      <c r="DA63" s="30"/>
      <c r="DB63" s="30"/>
      <c r="DC63" s="30"/>
    </row>
    <row r="64" spans="1:107" ht="15" x14ac:dyDescent="0.2">
      <c r="A64" s="240">
        <v>3</v>
      </c>
      <c r="B64" s="240" t="s">
        <v>175</v>
      </c>
      <c r="C64" s="240" t="s">
        <v>178</v>
      </c>
      <c r="D64" s="241">
        <v>803</v>
      </c>
      <c r="E64" s="84">
        <v>12.7</v>
      </c>
      <c r="F64" s="68" t="s">
        <v>101</v>
      </c>
      <c r="G64" s="68">
        <v>2</v>
      </c>
      <c r="H64" s="202">
        <v>75</v>
      </c>
      <c r="I64" s="202">
        <v>45</v>
      </c>
      <c r="J64" s="202">
        <v>22</v>
      </c>
      <c r="K64" s="202">
        <v>20</v>
      </c>
      <c r="L64" s="203">
        <f t="shared" si="12"/>
        <v>116631.62726452107</v>
      </c>
      <c r="M64" s="84">
        <v>12.7</v>
      </c>
      <c r="N64" s="84">
        <v>12.8</v>
      </c>
      <c r="O64" s="84">
        <v>13</v>
      </c>
      <c r="P64" s="204">
        <v>13.2</v>
      </c>
      <c r="Q64" s="204">
        <v>13.3</v>
      </c>
      <c r="R64" s="204">
        <v>13.4</v>
      </c>
      <c r="S64" s="84">
        <v>13.45</v>
      </c>
      <c r="T64" s="85">
        <v>13.49</v>
      </c>
      <c r="U64" s="85">
        <v>13.52</v>
      </c>
      <c r="V64" s="85">
        <v>13.64</v>
      </c>
      <c r="W64" s="85">
        <v>13.75</v>
      </c>
      <c r="X64" s="83">
        <v>13</v>
      </c>
      <c r="Y64" s="281">
        <v>14</v>
      </c>
      <c r="Z64" s="177">
        <f t="shared" si="2"/>
        <v>0.30000000000000071</v>
      </c>
      <c r="AA64" s="178">
        <f t="shared" si="13"/>
        <v>2.3622047244094547E-2</v>
      </c>
      <c r="AB64" s="177">
        <f t="shared" si="3"/>
        <v>0.15000000000000036</v>
      </c>
      <c r="AC64" s="178">
        <f t="shared" si="4"/>
        <v>2.3622047244094547E-2</v>
      </c>
      <c r="AD64" s="179">
        <f t="shared" si="5"/>
        <v>4.2050340000000075E-2</v>
      </c>
      <c r="AE64" s="178">
        <f t="shared" si="6"/>
        <v>4.8280116560233205E-2</v>
      </c>
      <c r="AF64"/>
      <c r="AG64"/>
      <c r="AH64" s="175">
        <v>1</v>
      </c>
      <c r="AI64" s="175">
        <v>1</v>
      </c>
      <c r="AJ64" s="175" t="s">
        <v>102</v>
      </c>
      <c r="AK64" s="174">
        <v>1</v>
      </c>
      <c r="AL64" s="175">
        <v>40</v>
      </c>
      <c r="AM64" s="175" t="s">
        <v>103</v>
      </c>
      <c r="AN64" s="196">
        <f t="shared" si="7"/>
        <v>2.5</v>
      </c>
      <c r="AO64" s="205">
        <v>10</v>
      </c>
      <c r="AP64" s="205">
        <v>85</v>
      </c>
      <c r="AQ64" s="205">
        <v>50</v>
      </c>
      <c r="AR64" s="205">
        <v>31</v>
      </c>
      <c r="AS64" s="205">
        <v>16</v>
      </c>
      <c r="AT64" s="206">
        <f t="shared" si="8"/>
        <v>165561.9328441821</v>
      </c>
      <c r="AU64" s="205"/>
      <c r="AV64" s="174" t="s">
        <v>102</v>
      </c>
      <c r="AW64" s="174">
        <v>1</v>
      </c>
      <c r="AX64" s="175">
        <v>45</v>
      </c>
      <c r="AY64" s="175" t="s">
        <v>103</v>
      </c>
      <c r="AZ64" s="196">
        <f t="shared" si="9"/>
        <v>2.5</v>
      </c>
      <c r="BA64" s="205">
        <v>20</v>
      </c>
      <c r="BB64" s="199"/>
      <c r="BC64" s="207">
        <v>4</v>
      </c>
      <c r="BD64" s="207">
        <v>2</v>
      </c>
      <c r="BE64" s="207">
        <v>2</v>
      </c>
      <c r="BF64" s="97">
        <v>1</v>
      </c>
      <c r="BG64" s="97">
        <v>5</v>
      </c>
      <c r="BH64" s="97">
        <v>5</v>
      </c>
      <c r="BI64" s="97">
        <v>5</v>
      </c>
      <c r="BJ64" s="97">
        <v>1</v>
      </c>
      <c r="BK64" s="166">
        <v>5</v>
      </c>
      <c r="BL64" s="166">
        <v>3</v>
      </c>
      <c r="BM64" s="166">
        <v>1</v>
      </c>
      <c r="BN64" s="307">
        <v>2</v>
      </c>
      <c r="BP64" s="43">
        <v>2.4</v>
      </c>
      <c r="BQ64" s="43">
        <v>1.7</v>
      </c>
      <c r="BR64" s="43">
        <v>2.1</v>
      </c>
      <c r="BS64" s="98">
        <v>2.336649214659686</v>
      </c>
      <c r="BT64" s="43">
        <v>2.001857585139319</v>
      </c>
      <c r="BU64" s="43">
        <v>1.6</v>
      </c>
      <c r="BV64" s="43">
        <v>2.1</v>
      </c>
      <c r="BW64" s="43">
        <v>1.7</v>
      </c>
      <c r="BX64" s="43">
        <v>1.5</v>
      </c>
      <c r="BY64" s="43">
        <v>1.8909307397468362</v>
      </c>
      <c r="BZ64" s="43">
        <f t="shared" ref="BZ64:BZ91" si="14">((BS64*BT64)+(BU64*BV64))/(BS64+BU64)</f>
        <v>2.0417462963794097</v>
      </c>
      <c r="CA64" s="289">
        <v>2.2999999999999998</v>
      </c>
      <c r="CB64" s="30"/>
      <c r="CC64" s="212"/>
      <c r="CD64" s="24" t="s">
        <v>177</v>
      </c>
      <c r="CE64" s="24">
        <v>803</v>
      </c>
      <c r="CF64" s="43">
        <v>1.0773603671641792</v>
      </c>
      <c r="CG64" s="43">
        <v>0.5940240380597015</v>
      </c>
      <c r="CH64" s="109">
        <v>0.92977675522388059</v>
      </c>
      <c r="CI64" s="43">
        <v>1.3338345616119405</v>
      </c>
      <c r="CJ64" s="43">
        <v>1.1799190789253733</v>
      </c>
      <c r="CK64" s="43">
        <v>1.5321023714552235</v>
      </c>
      <c r="CL64" s="43">
        <v>1.354628343814581</v>
      </c>
      <c r="CM64" s="98">
        <v>0.97237183137198635</v>
      </c>
      <c r="CN64" s="98">
        <v>0.39248180252583231</v>
      </c>
      <c r="CO64" s="98">
        <v>1.2262799064293914</v>
      </c>
      <c r="CP64" s="98">
        <v>0.69652490938775502</v>
      </c>
      <c r="CQ64" s="289">
        <v>0.11</v>
      </c>
      <c r="CR64" s="98"/>
      <c r="CS64" s="98">
        <f t="shared" si="11"/>
        <v>8.4742232452656729</v>
      </c>
      <c r="CT64" s="30"/>
      <c r="CU64" s="50" t="s">
        <v>179</v>
      </c>
      <c r="CV64" s="47"/>
      <c r="CW64" s="48"/>
      <c r="CX64" s="48"/>
      <c r="CY64" s="48"/>
      <c r="CZ64" s="184"/>
      <c r="DA64" s="30"/>
      <c r="DB64" s="30"/>
      <c r="DC64" s="30"/>
    </row>
    <row r="65" spans="1:107" ht="15" x14ac:dyDescent="0.2">
      <c r="A65" s="240">
        <v>3</v>
      </c>
      <c r="B65" s="240" t="s">
        <v>175</v>
      </c>
      <c r="C65" s="240" t="s">
        <v>180</v>
      </c>
      <c r="D65" s="241">
        <v>808</v>
      </c>
      <c r="E65" s="84">
        <v>11.6</v>
      </c>
      <c r="F65" s="68" t="s">
        <v>101</v>
      </c>
      <c r="G65" s="68">
        <v>2</v>
      </c>
      <c r="H65" s="202">
        <v>75</v>
      </c>
      <c r="I65" s="202">
        <v>40</v>
      </c>
      <c r="J65" s="202">
        <v>25</v>
      </c>
      <c r="K65" s="202">
        <v>15</v>
      </c>
      <c r="L65" s="203">
        <f t="shared" si="12"/>
        <v>88357.293382212927</v>
      </c>
      <c r="M65" s="84">
        <v>11.6</v>
      </c>
      <c r="N65" s="84">
        <v>11.8</v>
      </c>
      <c r="O65" s="84">
        <v>11.9</v>
      </c>
      <c r="P65" s="204">
        <v>12.1</v>
      </c>
      <c r="Q65" s="204">
        <v>12.2</v>
      </c>
      <c r="R65" s="204">
        <v>12.3</v>
      </c>
      <c r="S65" s="84">
        <v>12.35</v>
      </c>
      <c r="T65" s="85">
        <v>12.435</v>
      </c>
      <c r="U65" s="85">
        <v>12.49</v>
      </c>
      <c r="V65" s="85">
        <v>12.53</v>
      </c>
      <c r="W65" s="85">
        <v>12.65</v>
      </c>
      <c r="X65" s="83">
        <v>12.7</v>
      </c>
      <c r="Y65" s="281">
        <v>12.9</v>
      </c>
      <c r="Z65" s="177">
        <f t="shared" si="2"/>
        <v>1.0999999999999996</v>
      </c>
      <c r="AA65" s="178">
        <f t="shared" si="13"/>
        <v>9.4827586206896519E-2</v>
      </c>
      <c r="AB65" s="177">
        <f t="shared" si="3"/>
        <v>0.54999999999999982</v>
      </c>
      <c r="AC65" s="178">
        <f t="shared" si="4"/>
        <v>9.4827586206896519E-2</v>
      </c>
      <c r="AD65" s="179">
        <f t="shared" si="5"/>
        <v>0.14578541999999994</v>
      </c>
      <c r="AE65" s="178">
        <f t="shared" si="6"/>
        <v>0.20063391795481561</v>
      </c>
      <c r="AF65"/>
      <c r="AG65"/>
      <c r="AH65" s="175">
        <v>1</v>
      </c>
      <c r="AI65" s="175">
        <v>1</v>
      </c>
      <c r="AJ65" s="175" t="s">
        <v>102</v>
      </c>
      <c r="AK65" s="174">
        <v>1</v>
      </c>
      <c r="AL65" s="175">
        <v>40</v>
      </c>
      <c r="AM65" s="175" t="s">
        <v>103</v>
      </c>
      <c r="AN65" s="196">
        <f t="shared" si="7"/>
        <v>2.5</v>
      </c>
      <c r="AO65" s="205">
        <v>15</v>
      </c>
      <c r="AP65" s="205">
        <v>85</v>
      </c>
      <c r="AQ65" s="205">
        <v>35</v>
      </c>
      <c r="AR65" s="205">
        <v>40</v>
      </c>
      <c r="AS65" s="205">
        <v>15</v>
      </c>
      <c r="AT65" s="206">
        <f t="shared" si="8"/>
        <v>140193.57216644453</v>
      </c>
      <c r="AU65" s="205"/>
      <c r="AV65" s="174" t="s">
        <v>101</v>
      </c>
      <c r="AW65" s="174">
        <v>2</v>
      </c>
      <c r="AX65" s="175">
        <v>30</v>
      </c>
      <c r="AY65" s="175" t="s">
        <v>103</v>
      </c>
      <c r="AZ65" s="196">
        <f t="shared" si="9"/>
        <v>2.5</v>
      </c>
      <c r="BA65" s="205">
        <v>10</v>
      </c>
      <c r="BB65" s="199"/>
      <c r="BC65" s="207">
        <v>5</v>
      </c>
      <c r="BD65" s="207">
        <v>2</v>
      </c>
      <c r="BE65" s="207">
        <v>2</v>
      </c>
      <c r="BF65" s="97">
        <v>1</v>
      </c>
      <c r="BG65" s="97">
        <v>5</v>
      </c>
      <c r="BH65" s="97">
        <v>5</v>
      </c>
      <c r="BI65" s="97">
        <v>5</v>
      </c>
      <c r="BJ65" s="97">
        <v>1</v>
      </c>
      <c r="BK65" s="166">
        <v>5</v>
      </c>
      <c r="BL65" s="166">
        <v>1</v>
      </c>
      <c r="BM65" s="166">
        <v>2</v>
      </c>
      <c r="BN65" s="307">
        <v>1</v>
      </c>
      <c r="BP65" s="43">
        <v>1.6</v>
      </c>
      <c r="BQ65" s="43">
        <v>2.2000000000000002</v>
      </c>
      <c r="BR65" s="43">
        <v>1.4</v>
      </c>
      <c r="BS65" s="98">
        <v>2.4356164383561647</v>
      </c>
      <c r="BT65" s="43">
        <v>1.6290697674418604</v>
      </c>
      <c r="BU65" s="43">
        <v>1.8</v>
      </c>
      <c r="BV65" s="43">
        <v>1.5</v>
      </c>
      <c r="BW65" s="43">
        <v>1.3</v>
      </c>
      <c r="BX65" s="43">
        <v>1.2</v>
      </c>
      <c r="BY65" s="43">
        <v>1.5486165661605613</v>
      </c>
      <c r="BZ65" s="43">
        <f t="shared" si="14"/>
        <v>1.5742192905923762</v>
      </c>
      <c r="CA65" s="289">
        <v>1.6</v>
      </c>
      <c r="CB65" s="30"/>
      <c r="CC65" s="212"/>
      <c r="CD65" s="24" t="s">
        <v>177</v>
      </c>
      <c r="CE65" s="24">
        <v>808</v>
      </c>
      <c r="CF65" s="43">
        <v>0.46242865074626871</v>
      </c>
      <c r="CG65" s="43">
        <v>0.44275083582089558</v>
      </c>
      <c r="CH65" s="109">
        <v>0.48210646567164178</v>
      </c>
      <c r="CI65" s="43">
        <v>0.54811843737313426</v>
      </c>
      <c r="CJ65" s="43">
        <v>0.83741977182089566</v>
      </c>
      <c r="CK65" s="43">
        <v>0.94822470671641779</v>
      </c>
      <c r="CL65" s="43">
        <v>0.71808378013777285</v>
      </c>
      <c r="CM65" s="98">
        <v>0.50203025328358208</v>
      </c>
      <c r="CN65" s="98">
        <v>0.17724127439724452</v>
      </c>
      <c r="CO65" s="98">
        <v>0.70476199977037901</v>
      </c>
      <c r="CP65" s="98">
        <v>0.68353885175510221</v>
      </c>
      <c r="CQ65" s="289">
        <v>0.35</v>
      </c>
      <c r="CR65" s="98"/>
      <c r="CS65" s="98">
        <f t="shared" si="11"/>
        <v>4.658532940590586</v>
      </c>
      <c r="CT65" s="30"/>
      <c r="CU65" s="49"/>
      <c r="CV65" s="47"/>
      <c r="CW65" s="48"/>
      <c r="CX65" s="48"/>
      <c r="CY65" s="48"/>
      <c r="CZ65" s="184"/>
      <c r="DA65" s="30"/>
      <c r="DB65" s="30"/>
      <c r="DC65" s="30"/>
    </row>
    <row r="66" spans="1:107" ht="15" x14ac:dyDescent="0.2">
      <c r="A66" s="240">
        <v>3</v>
      </c>
      <c r="B66" s="240" t="s">
        <v>175</v>
      </c>
      <c r="C66" s="240" t="s">
        <v>181</v>
      </c>
      <c r="D66" s="241">
        <v>811</v>
      </c>
      <c r="E66" s="84">
        <v>13</v>
      </c>
      <c r="F66" s="68" t="s">
        <v>101</v>
      </c>
      <c r="G66" s="68">
        <v>2</v>
      </c>
      <c r="H66" s="202">
        <v>72</v>
      </c>
      <c r="I66" s="202">
        <v>55</v>
      </c>
      <c r="J66" s="202">
        <v>16</v>
      </c>
      <c r="K66" s="202">
        <v>14</v>
      </c>
      <c r="L66" s="203">
        <f t="shared" ref="L66:L91" si="15">(((J66/2)*(K66/2))*PI())*((I66/10)*H66)</f>
        <v>69667.958686007245</v>
      </c>
      <c r="M66" s="84">
        <v>13</v>
      </c>
      <c r="N66" s="84">
        <v>13.1</v>
      </c>
      <c r="O66" s="84">
        <v>13.1</v>
      </c>
      <c r="P66" s="204">
        <v>13.2</v>
      </c>
      <c r="Q66" s="204">
        <v>13.3</v>
      </c>
      <c r="R66" s="204">
        <v>13.3</v>
      </c>
      <c r="S66" s="84">
        <v>13.25</v>
      </c>
      <c r="T66" s="85">
        <v>13.275</v>
      </c>
      <c r="U66" s="85">
        <v>13.28</v>
      </c>
      <c r="V66" s="85">
        <v>13.29</v>
      </c>
      <c r="W66" s="85">
        <v>13.33</v>
      </c>
      <c r="X66" s="83">
        <v>13.4</v>
      </c>
      <c r="Y66" s="281">
        <v>13.4</v>
      </c>
      <c r="Z66" s="177">
        <f t="shared" si="2"/>
        <v>0.40000000000000036</v>
      </c>
      <c r="AA66" s="178">
        <f t="shared" ref="AA66:AA91" si="16">Z66/M66</f>
        <v>3.0769230769230795E-2</v>
      </c>
      <c r="AB66" s="177">
        <f t="shared" si="3"/>
        <v>0.20000000000000018</v>
      </c>
      <c r="AC66" s="178">
        <f t="shared" si="4"/>
        <v>3.0769230769230795E-2</v>
      </c>
      <c r="AD66" s="179">
        <f t="shared" si="5"/>
        <v>5.7594240000000019E-2</v>
      </c>
      <c r="AE66" s="178">
        <f t="shared" si="6"/>
        <v>6.3110059171597649E-2</v>
      </c>
      <c r="AF66"/>
      <c r="AG66"/>
      <c r="AH66" s="175">
        <v>1</v>
      </c>
      <c r="AI66" s="175">
        <v>1</v>
      </c>
      <c r="AJ66" s="175" t="s">
        <v>101</v>
      </c>
      <c r="AK66" s="174">
        <v>2</v>
      </c>
      <c r="AL66" s="175">
        <v>55</v>
      </c>
      <c r="AM66" s="175" t="s">
        <v>103</v>
      </c>
      <c r="AN66" s="196">
        <f t="shared" si="7"/>
        <v>2.5</v>
      </c>
      <c r="AO66" s="205">
        <v>5</v>
      </c>
      <c r="AP66" s="205">
        <v>80</v>
      </c>
      <c r="AQ66" s="205">
        <v>45</v>
      </c>
      <c r="AR66" s="205">
        <v>27</v>
      </c>
      <c r="AS66" s="205">
        <v>24</v>
      </c>
      <c r="AT66" s="206">
        <f t="shared" si="8"/>
        <v>183217.68355735674</v>
      </c>
      <c r="AU66" s="205"/>
      <c r="AV66" s="174" t="s">
        <v>102</v>
      </c>
      <c r="AW66" s="174">
        <v>1</v>
      </c>
      <c r="AX66" s="175">
        <v>50</v>
      </c>
      <c r="AY66" s="175" t="s">
        <v>103</v>
      </c>
      <c r="AZ66" s="196">
        <f t="shared" si="9"/>
        <v>2.5</v>
      </c>
      <c r="BA66" s="205">
        <v>5</v>
      </c>
      <c r="BB66" s="199"/>
      <c r="BC66" s="207">
        <v>1</v>
      </c>
      <c r="BD66" s="207">
        <v>1</v>
      </c>
      <c r="BE66" s="207">
        <v>4</v>
      </c>
      <c r="BF66" s="97">
        <v>2</v>
      </c>
      <c r="BG66" s="97">
        <v>2</v>
      </c>
      <c r="BH66" s="97">
        <v>5</v>
      </c>
      <c r="BI66" s="97">
        <v>1</v>
      </c>
      <c r="BJ66" s="97">
        <v>2</v>
      </c>
      <c r="BK66" s="166">
        <v>5</v>
      </c>
      <c r="BL66" s="166">
        <v>1</v>
      </c>
      <c r="BM66" s="166">
        <v>1</v>
      </c>
      <c r="BN66" s="307">
        <v>2</v>
      </c>
      <c r="BP66" s="43">
        <v>2.4</v>
      </c>
      <c r="BQ66" s="43">
        <v>2.6</v>
      </c>
      <c r="BR66" s="43">
        <v>2.2000000000000002</v>
      </c>
      <c r="BS66" s="98">
        <v>2.3669064748201438</v>
      </c>
      <c r="BT66" s="43">
        <v>2.1705521472392637</v>
      </c>
      <c r="BU66" s="43">
        <v>2.2000000000000002</v>
      </c>
      <c r="BV66" s="43">
        <v>2.4</v>
      </c>
      <c r="BW66" s="43">
        <v>1.7</v>
      </c>
      <c r="BX66" s="43">
        <v>1.9</v>
      </c>
      <c r="BY66" s="43">
        <v>1.8062261912002682</v>
      </c>
      <c r="BZ66" s="43">
        <f t="shared" si="14"/>
        <v>2.2810832647160018</v>
      </c>
      <c r="CA66" s="289">
        <v>2.2000000000000002</v>
      </c>
      <c r="CB66" s="30"/>
      <c r="CC66" s="212"/>
      <c r="CD66" s="24" t="s">
        <v>177</v>
      </c>
      <c r="CE66" s="24">
        <v>811</v>
      </c>
      <c r="CF66" s="43">
        <v>0.95929347761194039</v>
      </c>
      <c r="CG66" s="43">
        <v>0.66412625373134337</v>
      </c>
      <c r="CH66" s="109">
        <v>1.0011088343283583</v>
      </c>
      <c r="CI66" s="43">
        <v>1.0627639930746269</v>
      </c>
      <c r="CJ66" s="43">
        <v>1.2982696248358212</v>
      </c>
      <c r="CK66" s="43">
        <v>0.14881347537313436</v>
      </c>
      <c r="CL66" s="43">
        <v>1.0642144980482204</v>
      </c>
      <c r="CM66" s="98">
        <v>0.65859186828358207</v>
      </c>
      <c r="CN66" s="98">
        <v>0.38132118254879444</v>
      </c>
      <c r="CO66" s="98">
        <v>0.9977361750287026</v>
      </c>
      <c r="CP66" s="98">
        <v>0.66642086669387757</v>
      </c>
      <c r="CQ66" s="289">
        <v>0.43</v>
      </c>
      <c r="CR66" s="98"/>
      <c r="CS66" s="98">
        <f t="shared" si="11"/>
        <v>6.5889915062916184</v>
      </c>
      <c r="CT66" s="30"/>
      <c r="CU66" s="50" t="s">
        <v>182</v>
      </c>
      <c r="CV66" s="47"/>
      <c r="CW66" s="48"/>
      <c r="CX66" s="48"/>
      <c r="CY66" s="48"/>
      <c r="CZ66" s="184"/>
      <c r="DA66" s="30"/>
      <c r="DB66" s="30"/>
      <c r="DC66" s="30"/>
    </row>
    <row r="67" spans="1:107" ht="15" x14ac:dyDescent="0.2">
      <c r="A67" s="240">
        <v>3</v>
      </c>
      <c r="B67" s="240" t="s">
        <v>175</v>
      </c>
      <c r="C67" s="240" t="s">
        <v>183</v>
      </c>
      <c r="D67" s="241">
        <v>812</v>
      </c>
      <c r="E67" s="84">
        <v>14.6</v>
      </c>
      <c r="F67" s="68" t="s">
        <v>101</v>
      </c>
      <c r="G67" s="68">
        <v>2</v>
      </c>
      <c r="H67" s="202">
        <v>80</v>
      </c>
      <c r="I67" s="202">
        <v>60</v>
      </c>
      <c r="J67" s="202">
        <v>25</v>
      </c>
      <c r="K67" s="202">
        <v>23</v>
      </c>
      <c r="L67" s="203">
        <f t="shared" si="15"/>
        <v>216769.89309769572</v>
      </c>
      <c r="M67" s="84">
        <v>14.6</v>
      </c>
      <c r="N67" s="84">
        <v>14.6</v>
      </c>
      <c r="O67" s="84">
        <v>14.6</v>
      </c>
      <c r="P67" s="204">
        <v>14.9</v>
      </c>
      <c r="Q67" s="204">
        <v>14.9</v>
      </c>
      <c r="R67" s="204">
        <v>14.9</v>
      </c>
      <c r="S67" s="84">
        <v>14.9</v>
      </c>
      <c r="T67" s="85">
        <v>14.9</v>
      </c>
      <c r="U67" s="85">
        <v>14.9</v>
      </c>
      <c r="V67" s="85">
        <v>14.96</v>
      </c>
      <c r="W67" s="85">
        <v>15.04</v>
      </c>
      <c r="X67" s="83">
        <v>15</v>
      </c>
      <c r="Y67" s="281">
        <v>15.2</v>
      </c>
      <c r="Z67" s="177">
        <f t="shared" ref="Z67:Z91" si="17">X67-M67</f>
        <v>0.40000000000000036</v>
      </c>
      <c r="AA67" s="178">
        <f t="shared" si="16"/>
        <v>2.7397260273972629E-2</v>
      </c>
      <c r="AB67" s="177">
        <f t="shared" ref="AB67:AB91" si="18">Z67/2</f>
        <v>0.20000000000000018</v>
      </c>
      <c r="AC67" s="178">
        <f t="shared" ref="AC67:AC91" si="19">AA67</f>
        <v>2.7397260273972629E-2</v>
      </c>
      <c r="AD67" s="179">
        <f t="shared" ref="AD67:AD91" si="20">((X67^2*0.005454))-((M67^2*0.005454))</f>
        <v>6.4575360000000082E-2</v>
      </c>
      <c r="AE67" s="178">
        <f t="shared" ref="AE67:AE91" si="21">AD67/((M67^2)*0.0054)</f>
        <v>5.6100581722649721E-2</v>
      </c>
      <c r="AF67"/>
      <c r="AG67"/>
      <c r="AH67" s="175">
        <v>2</v>
      </c>
      <c r="AI67" s="175">
        <v>1</v>
      </c>
      <c r="AJ67" s="175" t="s">
        <v>102</v>
      </c>
      <c r="AK67" s="174">
        <v>1</v>
      </c>
      <c r="AL67" s="175">
        <v>45</v>
      </c>
      <c r="AM67" s="175" t="s">
        <v>103</v>
      </c>
      <c r="AN67" s="196">
        <f t="shared" ref="AN67:AN91" si="22">(5+0)/2</f>
        <v>2.5</v>
      </c>
      <c r="AO67" s="205">
        <v>20</v>
      </c>
      <c r="AP67" s="205">
        <v>75</v>
      </c>
      <c r="AQ67" s="205">
        <v>35</v>
      </c>
      <c r="AR67" s="205">
        <v>40</v>
      </c>
      <c r="AS67" s="205">
        <v>26</v>
      </c>
      <c r="AT67" s="206">
        <f t="shared" ref="AT67:AT91" si="23">(((AR67/2)*(AS67/2))*PI())*((AQ67/10)*AP67)</f>
        <v>214413.69860750338</v>
      </c>
      <c r="AU67" s="205"/>
      <c r="AV67" s="174" t="s">
        <v>101</v>
      </c>
      <c r="AW67" s="174">
        <v>2</v>
      </c>
      <c r="AX67" s="175">
        <v>35</v>
      </c>
      <c r="AY67" s="175" t="s">
        <v>103</v>
      </c>
      <c r="AZ67" s="196">
        <f t="shared" ref="AZ67:AZ91" si="24">(5+0)/2</f>
        <v>2.5</v>
      </c>
      <c r="BA67" s="205">
        <v>10</v>
      </c>
      <c r="BB67" s="199"/>
      <c r="BC67" s="207">
        <v>4</v>
      </c>
      <c r="BD67" s="207">
        <v>3</v>
      </c>
      <c r="BE67" s="207">
        <v>3</v>
      </c>
      <c r="BF67" s="97">
        <v>2</v>
      </c>
      <c r="BG67" s="97">
        <v>5</v>
      </c>
      <c r="BH67" s="97">
        <v>5</v>
      </c>
      <c r="BI67" s="97">
        <v>5</v>
      </c>
      <c r="BJ67" s="97">
        <v>2</v>
      </c>
      <c r="BK67" s="166">
        <v>5</v>
      </c>
      <c r="BL67" s="166">
        <v>1</v>
      </c>
      <c r="BM67" s="166">
        <v>1</v>
      </c>
      <c r="BN67" s="307">
        <v>1</v>
      </c>
      <c r="BP67" s="43">
        <v>2.4</v>
      </c>
      <c r="BQ67" s="43">
        <v>2</v>
      </c>
      <c r="BR67" s="43">
        <v>2</v>
      </c>
      <c r="BS67" s="98">
        <v>2.75</v>
      </c>
      <c r="BT67" s="43">
        <v>2.3447058823529412</v>
      </c>
      <c r="BU67" s="43">
        <v>2</v>
      </c>
      <c r="BV67" s="43">
        <v>1.9</v>
      </c>
      <c r="BW67" s="43">
        <v>1.7</v>
      </c>
      <c r="BX67" s="43">
        <v>2.5</v>
      </c>
      <c r="BY67" s="43">
        <v>2.1</v>
      </c>
      <c r="BZ67" s="43">
        <f t="shared" si="14"/>
        <v>2.1574613003095977</v>
      </c>
      <c r="CA67" s="289">
        <v>1.8</v>
      </c>
      <c r="CB67" s="30"/>
      <c r="CC67" s="212"/>
      <c r="CD67" s="24" t="s">
        <v>177</v>
      </c>
      <c r="CE67" s="24">
        <v>812</v>
      </c>
      <c r="CF67" s="43">
        <v>0.93715593582089551</v>
      </c>
      <c r="CG67" s="43">
        <v>0.66412625373134337</v>
      </c>
      <c r="CH67" s="109">
        <v>0.88550167164179105</v>
      </c>
      <c r="CI67" s="43">
        <v>0.9832658991044777</v>
      </c>
      <c r="CJ67" s="43">
        <v>1.4710136034626866</v>
      </c>
      <c r="CK67" s="43">
        <v>1.0552228253731344</v>
      </c>
      <c r="CL67" s="43">
        <v>1.044121582663605</v>
      </c>
      <c r="CM67" s="98">
        <v>0.73744878336681985</v>
      </c>
      <c r="CN67" s="98">
        <v>0.47122617680826634</v>
      </c>
      <c r="CO67" s="98">
        <v>1.1088824611653272</v>
      </c>
      <c r="CP67" s="98">
        <v>0.645466091877551</v>
      </c>
      <c r="CQ67" s="289">
        <v>0.35</v>
      </c>
      <c r="CR67" s="98"/>
      <c r="CS67" s="98">
        <f t="shared" si="11"/>
        <v>7.4863721545106792</v>
      </c>
      <c r="CT67" s="30"/>
      <c r="CU67" s="50" t="s">
        <v>184</v>
      </c>
      <c r="CV67" s="47" t="s">
        <v>175</v>
      </c>
      <c r="CW67" s="48"/>
      <c r="CX67" s="48"/>
      <c r="CY67" s="48"/>
      <c r="CZ67" s="184"/>
      <c r="DA67" s="30"/>
      <c r="DB67" s="30"/>
      <c r="DC67" s="30"/>
    </row>
    <row r="68" spans="1:107" ht="15" x14ac:dyDescent="0.2">
      <c r="A68" s="240">
        <v>3</v>
      </c>
      <c r="B68" s="240" t="s">
        <v>175</v>
      </c>
      <c r="C68" s="240" t="s">
        <v>185</v>
      </c>
      <c r="D68" s="241">
        <v>815</v>
      </c>
      <c r="E68" s="84">
        <v>10.5</v>
      </c>
      <c r="F68" s="68" t="s">
        <v>101</v>
      </c>
      <c r="G68" s="68">
        <v>2</v>
      </c>
      <c r="H68" s="202">
        <v>64</v>
      </c>
      <c r="I68" s="202">
        <v>60</v>
      </c>
      <c r="J68" s="202">
        <v>26</v>
      </c>
      <c r="K68" s="202">
        <v>17</v>
      </c>
      <c r="L68" s="203">
        <f t="shared" si="15"/>
        <v>133304.05947712209</v>
      </c>
      <c r="M68" s="84">
        <v>10.5</v>
      </c>
      <c r="N68" s="84">
        <v>10.6</v>
      </c>
      <c r="O68" s="84">
        <v>10.8</v>
      </c>
      <c r="P68" s="204">
        <v>10.9</v>
      </c>
      <c r="Q68" s="204">
        <v>11</v>
      </c>
      <c r="R68" s="204">
        <v>11.2</v>
      </c>
      <c r="S68" s="84">
        <v>11.23</v>
      </c>
      <c r="T68" s="85">
        <v>11.37</v>
      </c>
      <c r="U68" s="85">
        <v>11.51</v>
      </c>
      <c r="V68" s="85">
        <v>11.66</v>
      </c>
      <c r="W68" s="85">
        <v>11.83</v>
      </c>
      <c r="X68" s="83">
        <v>12.1</v>
      </c>
      <c r="Y68" s="281">
        <v>12.2</v>
      </c>
      <c r="Z68" s="177">
        <f t="shared" si="17"/>
        <v>1.5999999999999996</v>
      </c>
      <c r="AA68" s="178">
        <f t="shared" si="16"/>
        <v>0.15238095238095234</v>
      </c>
      <c r="AB68" s="177">
        <f t="shared" si="18"/>
        <v>0.79999999999999982</v>
      </c>
      <c r="AC68" s="178">
        <f t="shared" si="19"/>
        <v>0.15238095238095234</v>
      </c>
      <c r="AD68" s="179">
        <f t="shared" si="20"/>
        <v>0.19721663999999994</v>
      </c>
      <c r="AE68" s="178">
        <f t="shared" si="21"/>
        <v>0.33126167800453504</v>
      </c>
      <c r="AF68"/>
      <c r="AG68"/>
      <c r="AH68" s="175">
        <v>1</v>
      </c>
      <c r="AI68" s="175">
        <v>1</v>
      </c>
      <c r="AJ68" s="175" t="s">
        <v>101</v>
      </c>
      <c r="AK68" s="174">
        <v>2</v>
      </c>
      <c r="AL68" s="175">
        <v>60</v>
      </c>
      <c r="AM68" s="175" t="s">
        <v>103</v>
      </c>
      <c r="AN68" s="196">
        <f t="shared" si="22"/>
        <v>2.5</v>
      </c>
      <c r="AO68" s="205">
        <v>20</v>
      </c>
      <c r="AP68" s="205">
        <v>80</v>
      </c>
      <c r="AQ68" s="205">
        <v>45</v>
      </c>
      <c r="AR68" s="205">
        <v>31</v>
      </c>
      <c r="AS68" s="205">
        <v>20</v>
      </c>
      <c r="AT68" s="206">
        <f t="shared" si="23"/>
        <v>175300.87007031046</v>
      </c>
      <c r="AU68" s="205"/>
      <c r="AV68" s="174" t="s">
        <v>102</v>
      </c>
      <c r="AW68" s="174">
        <v>1</v>
      </c>
      <c r="AX68" s="175">
        <v>40</v>
      </c>
      <c r="AY68" s="175" t="s">
        <v>103</v>
      </c>
      <c r="AZ68" s="196">
        <f t="shared" si="24"/>
        <v>2.5</v>
      </c>
      <c r="BA68" s="205">
        <v>15</v>
      </c>
      <c r="BB68" s="199"/>
      <c r="BC68" s="207">
        <v>5</v>
      </c>
      <c r="BD68" s="207">
        <v>4</v>
      </c>
      <c r="BE68" s="207">
        <v>1</v>
      </c>
      <c r="BF68" s="97">
        <v>2</v>
      </c>
      <c r="BG68" s="97">
        <v>5</v>
      </c>
      <c r="BH68" s="97">
        <v>5</v>
      </c>
      <c r="BI68" s="97">
        <v>5</v>
      </c>
      <c r="BJ68" s="97">
        <v>2</v>
      </c>
      <c r="BK68" s="166">
        <v>5</v>
      </c>
      <c r="BL68" s="166">
        <v>4</v>
      </c>
      <c r="BM68" s="166">
        <v>1</v>
      </c>
      <c r="BN68" s="307">
        <v>0</v>
      </c>
      <c r="BP68" s="43">
        <v>2.6</v>
      </c>
      <c r="BQ68" s="43">
        <v>2.4</v>
      </c>
      <c r="BR68" s="43">
        <v>2.1</v>
      </c>
      <c r="BS68" s="98">
        <v>1.5</v>
      </c>
      <c r="BT68" s="43">
        <v>2.5535211267605633</v>
      </c>
      <c r="BU68" s="43">
        <v>2.2999999999999998</v>
      </c>
      <c r="BV68" s="43">
        <v>2</v>
      </c>
      <c r="BW68" s="43">
        <v>1.7</v>
      </c>
      <c r="BX68" s="43">
        <v>2.4</v>
      </c>
      <c r="BY68" s="43">
        <v>2.1923342430577453</v>
      </c>
      <c r="BZ68" s="43">
        <f t="shared" si="14"/>
        <v>2.2184951816160119</v>
      </c>
      <c r="CA68" s="289">
        <v>2</v>
      </c>
      <c r="CB68" s="30"/>
      <c r="CC68" s="212"/>
      <c r="CD68" s="24" t="s">
        <v>177</v>
      </c>
      <c r="CE68" s="24">
        <v>815</v>
      </c>
      <c r="CF68" s="43">
        <v>0.79141711902985079</v>
      </c>
      <c r="CG68" s="43">
        <v>0.6776547514925374</v>
      </c>
      <c r="CH68" s="109">
        <v>0.95560388731343282</v>
      </c>
      <c r="CI68" s="43">
        <v>0.8661108132537314</v>
      </c>
      <c r="CJ68" s="43">
        <v>1.3257652062089555</v>
      </c>
      <c r="CK68" s="43">
        <v>1.2753683798507462</v>
      </c>
      <c r="CL68" s="43">
        <v>1.1091085031572907</v>
      </c>
      <c r="CM68" s="98">
        <v>0.71608798376865679</v>
      </c>
      <c r="CN68" s="98">
        <v>0.46059701492537308</v>
      </c>
      <c r="CO68" s="98">
        <v>1.2336814835677383</v>
      </c>
      <c r="CP68" s="98">
        <v>0.72780950277551026</v>
      </c>
      <c r="CQ68" s="289">
        <v>0.5</v>
      </c>
      <c r="CR68" s="98"/>
      <c r="CS68" s="98">
        <f t="shared" si="11"/>
        <v>7.5291161140546503</v>
      </c>
      <c r="CT68" s="30"/>
      <c r="CU68" s="49"/>
      <c r="CV68" s="47"/>
      <c r="CW68" s="48"/>
      <c r="CX68" s="48"/>
      <c r="CY68" s="48"/>
      <c r="CZ68" s="184"/>
      <c r="DA68" s="30"/>
      <c r="DB68" s="30"/>
      <c r="DC68" s="30"/>
    </row>
    <row r="69" spans="1:107" ht="15" x14ac:dyDescent="0.2">
      <c r="A69" s="240">
        <v>3</v>
      </c>
      <c r="B69" s="240" t="s">
        <v>175</v>
      </c>
      <c r="C69" s="240" t="s">
        <v>186</v>
      </c>
      <c r="D69" s="241">
        <v>816</v>
      </c>
      <c r="E69" s="84">
        <v>11.8</v>
      </c>
      <c r="F69" s="68" t="s">
        <v>101</v>
      </c>
      <c r="G69" s="68">
        <v>2</v>
      </c>
      <c r="H69" s="202">
        <v>72</v>
      </c>
      <c r="I69" s="202">
        <v>60</v>
      </c>
      <c r="J69" s="202">
        <v>24</v>
      </c>
      <c r="K69" s="202">
        <v>17</v>
      </c>
      <c r="L69" s="203">
        <f t="shared" si="15"/>
        <v>138431.13868778065</v>
      </c>
      <c r="M69" s="84">
        <v>11.8</v>
      </c>
      <c r="N69" s="84">
        <v>12</v>
      </c>
      <c r="O69" s="84">
        <v>12.1</v>
      </c>
      <c r="P69" s="204">
        <v>12.3</v>
      </c>
      <c r="Q69" s="204">
        <v>12.4</v>
      </c>
      <c r="R69" s="204">
        <v>12.5</v>
      </c>
      <c r="S69" s="84">
        <v>12.53</v>
      </c>
      <c r="T69" s="85">
        <v>12.6</v>
      </c>
      <c r="U69" s="85">
        <v>12.69</v>
      </c>
      <c r="V69" s="85">
        <v>12.79</v>
      </c>
      <c r="W69" s="85">
        <v>12.92</v>
      </c>
      <c r="X69" s="83">
        <v>13.1</v>
      </c>
      <c r="Y69" s="281">
        <v>13.1</v>
      </c>
      <c r="Z69" s="177">
        <f t="shared" si="17"/>
        <v>1.2999999999999989</v>
      </c>
      <c r="AA69" s="178">
        <f t="shared" si="16"/>
        <v>0.11016949152542363</v>
      </c>
      <c r="AB69" s="177">
        <f t="shared" si="18"/>
        <v>0.64999999999999947</v>
      </c>
      <c r="AC69" s="178">
        <f t="shared" si="19"/>
        <v>0.11016949152542363</v>
      </c>
      <c r="AD69" s="179">
        <f t="shared" si="20"/>
        <v>0.17654597999999988</v>
      </c>
      <c r="AE69" s="178">
        <f t="shared" si="21"/>
        <v>0.23480106291295585</v>
      </c>
      <c r="AF69"/>
      <c r="AG69"/>
      <c r="AH69" s="175">
        <v>1</v>
      </c>
      <c r="AI69" s="175">
        <v>1</v>
      </c>
      <c r="AJ69" s="175" t="s">
        <v>102</v>
      </c>
      <c r="AK69" s="174">
        <v>1</v>
      </c>
      <c r="AL69" s="175">
        <v>85</v>
      </c>
      <c r="AM69" s="175" t="s">
        <v>103</v>
      </c>
      <c r="AN69" s="196">
        <f t="shared" si="22"/>
        <v>2.5</v>
      </c>
      <c r="AO69" s="205">
        <v>20</v>
      </c>
      <c r="AP69" s="205">
        <v>80</v>
      </c>
      <c r="AQ69" s="205">
        <v>55</v>
      </c>
      <c r="AR69" s="205">
        <v>31</v>
      </c>
      <c r="AS69" s="205">
        <v>13</v>
      </c>
      <c r="AT69" s="206">
        <f t="shared" si="23"/>
        <v>139266.80233363551</v>
      </c>
      <c r="AU69" s="205" t="s">
        <v>187</v>
      </c>
      <c r="AV69" s="174" t="s">
        <v>101</v>
      </c>
      <c r="AW69" s="174">
        <v>2</v>
      </c>
      <c r="AX69" s="175">
        <v>50</v>
      </c>
      <c r="AY69" s="175" t="s">
        <v>103</v>
      </c>
      <c r="AZ69" s="196">
        <f t="shared" si="24"/>
        <v>2.5</v>
      </c>
      <c r="BA69" s="205">
        <v>15</v>
      </c>
      <c r="BB69" s="199"/>
      <c r="BC69" s="207">
        <v>4</v>
      </c>
      <c r="BD69" s="207">
        <v>2</v>
      </c>
      <c r="BE69" s="207">
        <v>4</v>
      </c>
      <c r="BF69" s="97">
        <v>2</v>
      </c>
      <c r="BG69" s="97">
        <v>5</v>
      </c>
      <c r="BH69" s="97">
        <v>5</v>
      </c>
      <c r="BI69" s="97">
        <v>5</v>
      </c>
      <c r="BJ69" s="97">
        <v>2</v>
      </c>
      <c r="BK69" s="166">
        <v>5</v>
      </c>
      <c r="BL69" s="166">
        <v>1</v>
      </c>
      <c r="BM69" s="166">
        <v>2</v>
      </c>
      <c r="BN69" s="307">
        <v>2</v>
      </c>
      <c r="BP69" s="43">
        <v>2.5</v>
      </c>
      <c r="BQ69" s="43">
        <v>2.9</v>
      </c>
      <c r="BR69" s="43">
        <v>2</v>
      </c>
      <c r="BS69" s="98">
        <v>1.5</v>
      </c>
      <c r="BT69" s="43">
        <v>2.8</v>
      </c>
      <c r="BU69" s="43">
        <v>2.2000000000000002</v>
      </c>
      <c r="BV69" s="43">
        <v>2.1</v>
      </c>
      <c r="BW69" s="43">
        <v>2</v>
      </c>
      <c r="BX69" s="43">
        <v>2.1</v>
      </c>
      <c r="BY69" s="43">
        <v>2.2581972724873229</v>
      </c>
      <c r="BZ69" s="43">
        <f t="shared" si="14"/>
        <v>2.3837837837837839</v>
      </c>
      <c r="CA69" s="289">
        <v>1.7</v>
      </c>
      <c r="CB69" s="30"/>
      <c r="CC69" s="212"/>
      <c r="CD69" s="24" t="s">
        <v>177</v>
      </c>
      <c r="CE69" s="24">
        <v>816</v>
      </c>
      <c r="CF69" s="43"/>
      <c r="CG69" s="43">
        <v>1.0146373320895523</v>
      </c>
      <c r="CH69" s="109">
        <v>0.91009894029850746</v>
      </c>
      <c r="CI69" s="43">
        <v>1.380756368955224</v>
      </c>
      <c r="CJ69" s="43">
        <v>1.2050237401791046</v>
      </c>
      <c r="CK69" s="43">
        <v>1.3934352694029855</v>
      </c>
      <c r="CL69" s="43">
        <v>1.2867241142221588</v>
      </c>
      <c r="CM69" s="98">
        <v>0.9201034929678531</v>
      </c>
      <c r="CN69" s="98">
        <v>0.1959308840413318</v>
      </c>
      <c r="CO69" s="98">
        <v>1.6059554140355914</v>
      </c>
      <c r="CP69" s="98">
        <v>0.68678536616326524</v>
      </c>
      <c r="CQ69" s="289">
        <v>0.06</v>
      </c>
      <c r="CR69" s="98"/>
      <c r="CS69" s="98">
        <f t="shared" si="11"/>
        <v>9.7902869690788226</v>
      </c>
      <c r="CT69" s="30"/>
      <c r="CU69" s="50" t="s">
        <v>184</v>
      </c>
      <c r="CV69" s="47"/>
      <c r="CW69" s="48"/>
      <c r="CX69" s="48"/>
      <c r="CY69" s="48"/>
      <c r="CZ69" s="184"/>
      <c r="DA69" s="30"/>
      <c r="DB69" s="30"/>
      <c r="DC69" s="30"/>
    </row>
    <row r="70" spans="1:107" ht="15" x14ac:dyDescent="0.2">
      <c r="A70" s="240">
        <v>3</v>
      </c>
      <c r="B70" s="240" t="s">
        <v>175</v>
      </c>
      <c r="C70" s="240" t="s">
        <v>188</v>
      </c>
      <c r="D70" s="241">
        <v>817</v>
      </c>
      <c r="E70" s="84">
        <v>14</v>
      </c>
      <c r="F70" s="68" t="s">
        <v>101</v>
      </c>
      <c r="G70" s="68">
        <v>2</v>
      </c>
      <c r="H70" s="202">
        <v>80</v>
      </c>
      <c r="I70" s="202">
        <v>60</v>
      </c>
      <c r="J70" s="202">
        <v>22</v>
      </c>
      <c r="K70" s="202">
        <v>16</v>
      </c>
      <c r="L70" s="203">
        <f t="shared" si="15"/>
        <v>132700.87368763285</v>
      </c>
      <c r="M70" s="84">
        <v>14</v>
      </c>
      <c r="N70" s="84">
        <v>14</v>
      </c>
      <c r="O70" s="84">
        <v>14.2</v>
      </c>
      <c r="P70" s="204">
        <v>14.4</v>
      </c>
      <c r="Q70" s="204">
        <v>14.4</v>
      </c>
      <c r="R70" s="204">
        <v>14.475</v>
      </c>
      <c r="S70" s="84">
        <v>14.5</v>
      </c>
      <c r="T70" s="85">
        <v>14.5</v>
      </c>
      <c r="U70" s="85">
        <v>14.54</v>
      </c>
      <c r="V70" s="85">
        <v>14.55</v>
      </c>
      <c r="W70" s="85">
        <v>14.63</v>
      </c>
      <c r="X70" s="83">
        <v>14.7</v>
      </c>
      <c r="Y70" s="281">
        <v>14.8</v>
      </c>
      <c r="Z70" s="177">
        <f t="shared" si="17"/>
        <v>0.69999999999999929</v>
      </c>
      <c r="AA70" s="178">
        <f t="shared" si="16"/>
        <v>4.9999999999999947E-2</v>
      </c>
      <c r="AB70" s="177">
        <f t="shared" si="18"/>
        <v>0.34999999999999964</v>
      </c>
      <c r="AC70" s="178">
        <f t="shared" si="19"/>
        <v>4.9999999999999947E-2</v>
      </c>
      <c r="AD70" s="179">
        <f t="shared" si="20"/>
        <v>0.10957085999999983</v>
      </c>
      <c r="AE70" s="178">
        <f t="shared" si="21"/>
        <v>0.10352499999999984</v>
      </c>
      <c r="AF70"/>
      <c r="AG70"/>
      <c r="AH70" s="175">
        <v>2</v>
      </c>
      <c r="AI70" s="175">
        <v>1</v>
      </c>
      <c r="AJ70" s="175" t="s">
        <v>101</v>
      </c>
      <c r="AK70" s="174">
        <v>2</v>
      </c>
      <c r="AL70" s="175">
        <v>55</v>
      </c>
      <c r="AM70" s="175" t="s">
        <v>103</v>
      </c>
      <c r="AN70" s="196">
        <f t="shared" si="22"/>
        <v>2.5</v>
      </c>
      <c r="AO70" s="205">
        <v>10</v>
      </c>
      <c r="AP70" s="205">
        <v>85</v>
      </c>
      <c r="AQ70" s="205">
        <v>45</v>
      </c>
      <c r="AR70" s="205">
        <v>32</v>
      </c>
      <c r="AS70" s="205">
        <v>31</v>
      </c>
      <c r="AT70" s="206">
        <f t="shared" si="23"/>
        <v>298011.47911952774</v>
      </c>
      <c r="AU70" s="205"/>
      <c r="AV70" s="174" t="s">
        <v>101</v>
      </c>
      <c r="AW70" s="174">
        <v>2</v>
      </c>
      <c r="AX70" s="175">
        <v>60</v>
      </c>
      <c r="AY70" s="175" t="s">
        <v>103</v>
      </c>
      <c r="AZ70" s="196">
        <f t="shared" si="24"/>
        <v>2.5</v>
      </c>
      <c r="BA70" s="205">
        <v>10</v>
      </c>
      <c r="BB70" s="199"/>
      <c r="BC70" s="207">
        <v>2</v>
      </c>
      <c r="BD70" s="207">
        <v>1</v>
      </c>
      <c r="BE70" s="207">
        <v>5</v>
      </c>
      <c r="BF70" s="97">
        <v>1</v>
      </c>
      <c r="BG70" s="97">
        <v>4</v>
      </c>
      <c r="BH70" s="97">
        <v>4</v>
      </c>
      <c r="BI70" s="97">
        <v>4</v>
      </c>
      <c r="BJ70" s="97">
        <v>1</v>
      </c>
      <c r="BK70" s="166">
        <v>5</v>
      </c>
      <c r="BL70" s="166">
        <v>2</v>
      </c>
      <c r="BM70" s="166">
        <v>2</v>
      </c>
      <c r="BN70" s="307">
        <v>2</v>
      </c>
      <c r="BP70" s="43">
        <v>1.4</v>
      </c>
      <c r="BQ70" s="43">
        <v>2</v>
      </c>
      <c r="BR70" s="43">
        <v>1.5</v>
      </c>
      <c r="BS70" s="98">
        <v>1.7</v>
      </c>
      <c r="BT70" s="43">
        <v>1.6</v>
      </c>
      <c r="BU70" s="43">
        <v>1.3</v>
      </c>
      <c r="BV70" s="43">
        <v>1.4</v>
      </c>
      <c r="BW70" s="43">
        <v>1.4</v>
      </c>
      <c r="BX70" s="43">
        <v>1.4</v>
      </c>
      <c r="BY70" s="43">
        <v>1.78547765625507</v>
      </c>
      <c r="BZ70" s="43">
        <f t="shared" si="14"/>
        <v>1.5133333333333334</v>
      </c>
      <c r="CA70" s="289">
        <v>1.4</v>
      </c>
      <c r="CB70" s="30"/>
      <c r="CC70" s="212"/>
      <c r="CD70" s="27" t="s">
        <v>177</v>
      </c>
      <c r="CE70" s="27">
        <v>817</v>
      </c>
      <c r="CF70" s="43">
        <v>0.4648883776119403</v>
      </c>
      <c r="CG70" s="43">
        <v>3.4436176119402986E-2</v>
      </c>
      <c r="CH70" s="109">
        <v>0.53960258115671644</v>
      </c>
      <c r="CI70" s="43">
        <v>0.50209322507462695</v>
      </c>
      <c r="CJ70" s="43">
        <v>0.68858499438805987</v>
      </c>
      <c r="CK70" s="43">
        <v>0.72500449365671649</v>
      </c>
      <c r="CL70" s="44">
        <v>9.4699484328358202E-2</v>
      </c>
      <c r="CM70" s="98">
        <v>0.32714367313432841</v>
      </c>
      <c r="CN70" s="98">
        <v>0.20283983926521237</v>
      </c>
      <c r="CO70" s="98">
        <v>0.75142315479334099</v>
      </c>
      <c r="CP70" s="98">
        <v>0.43562320604081634</v>
      </c>
      <c r="CQ70" s="289">
        <v>0.26</v>
      </c>
      <c r="CR70" s="98"/>
      <c r="CS70" s="98">
        <f t="shared" si="11"/>
        <v>3.4645727996229625</v>
      </c>
      <c r="CT70" s="30"/>
      <c r="CU70" s="49"/>
      <c r="CV70" s="46" t="s">
        <v>189</v>
      </c>
      <c r="CW70" s="48"/>
      <c r="CX70" s="48"/>
      <c r="CY70" s="48"/>
      <c r="CZ70" s="184"/>
      <c r="DA70" s="30"/>
      <c r="DB70" s="30"/>
      <c r="DC70" s="30"/>
    </row>
    <row r="71" spans="1:107" ht="15" x14ac:dyDescent="0.2">
      <c r="A71" s="240">
        <v>3</v>
      </c>
      <c r="B71" s="240" t="s">
        <v>175</v>
      </c>
      <c r="C71" s="240" t="s">
        <v>190</v>
      </c>
      <c r="D71" s="241">
        <v>818</v>
      </c>
      <c r="E71" s="84">
        <v>20.6</v>
      </c>
      <c r="F71" s="68" t="s">
        <v>102</v>
      </c>
      <c r="G71" s="68">
        <v>1</v>
      </c>
      <c r="H71" s="202">
        <v>88</v>
      </c>
      <c r="I71" s="202">
        <v>55</v>
      </c>
      <c r="J71" s="202">
        <v>35</v>
      </c>
      <c r="K71" s="202">
        <v>18</v>
      </c>
      <c r="L71" s="203">
        <f t="shared" si="15"/>
        <v>239483.60798314994</v>
      </c>
      <c r="M71" s="84">
        <v>20.6</v>
      </c>
      <c r="N71" s="84">
        <v>20.9</v>
      </c>
      <c r="O71" s="84">
        <v>21</v>
      </c>
      <c r="P71" s="204">
        <v>21.1</v>
      </c>
      <c r="Q71" s="204">
        <v>21.1</v>
      </c>
      <c r="R71" s="204">
        <v>21.2</v>
      </c>
      <c r="S71" s="84">
        <v>21.28</v>
      </c>
      <c r="T71" s="85">
        <v>21.2</v>
      </c>
      <c r="U71" s="85">
        <v>21.25</v>
      </c>
      <c r="V71" s="85">
        <v>21.32</v>
      </c>
      <c r="W71" s="85">
        <v>21.34</v>
      </c>
      <c r="X71" s="83">
        <v>21.5</v>
      </c>
      <c r="Y71" s="281">
        <v>21.5</v>
      </c>
      <c r="Z71" s="177">
        <f t="shared" si="17"/>
        <v>0.89999999999999858</v>
      </c>
      <c r="AA71" s="178">
        <f t="shared" si="16"/>
        <v>4.368932038834944E-2</v>
      </c>
      <c r="AB71" s="177">
        <f t="shared" si="18"/>
        <v>0.44999999999999929</v>
      </c>
      <c r="AC71" s="178">
        <f t="shared" si="19"/>
        <v>4.368932038834944E-2</v>
      </c>
      <c r="AD71" s="179">
        <f t="shared" si="20"/>
        <v>0.20665205999999969</v>
      </c>
      <c r="AE71" s="178">
        <f t="shared" si="21"/>
        <v>9.0180271467621684E-2</v>
      </c>
      <c r="AF71"/>
      <c r="AG71"/>
      <c r="AH71" s="175">
        <v>2</v>
      </c>
      <c r="AI71" s="175">
        <v>1</v>
      </c>
      <c r="AJ71" s="175" t="s">
        <v>102</v>
      </c>
      <c r="AK71" s="174">
        <v>1</v>
      </c>
      <c r="AL71" s="175">
        <v>40</v>
      </c>
      <c r="AM71" s="175" t="s">
        <v>103</v>
      </c>
      <c r="AN71" s="196">
        <f t="shared" si="22"/>
        <v>2.5</v>
      </c>
      <c r="AO71" s="205">
        <v>15</v>
      </c>
      <c r="AP71" s="205">
        <v>85</v>
      </c>
      <c r="AQ71" s="205">
        <v>45</v>
      </c>
      <c r="AR71" s="205">
        <v>40</v>
      </c>
      <c r="AS71" s="205">
        <v>18</v>
      </c>
      <c r="AT71" s="206">
        <f t="shared" si="23"/>
        <v>216298.65419965726</v>
      </c>
      <c r="AU71" s="205"/>
      <c r="AV71" s="174" t="s">
        <v>101</v>
      </c>
      <c r="AW71" s="174">
        <v>2</v>
      </c>
      <c r="AX71" s="175">
        <v>65</v>
      </c>
      <c r="AY71" s="175" t="s">
        <v>103</v>
      </c>
      <c r="AZ71" s="196">
        <f t="shared" si="24"/>
        <v>2.5</v>
      </c>
      <c r="BA71" s="205">
        <v>10</v>
      </c>
      <c r="BB71" s="199"/>
      <c r="BC71" s="207">
        <v>3</v>
      </c>
      <c r="BD71" s="207">
        <v>1</v>
      </c>
      <c r="BE71" s="207">
        <v>2</v>
      </c>
      <c r="BF71" s="97">
        <v>2</v>
      </c>
      <c r="BG71" s="97"/>
      <c r="BH71" s="97">
        <v>5</v>
      </c>
      <c r="BI71" s="97">
        <v>5</v>
      </c>
      <c r="BJ71" s="97">
        <v>2</v>
      </c>
      <c r="BK71" s="166">
        <v>4</v>
      </c>
      <c r="BL71" s="166">
        <v>1</v>
      </c>
      <c r="BM71" s="166">
        <v>2</v>
      </c>
      <c r="BN71" s="307">
        <v>2</v>
      </c>
      <c r="BP71" s="43">
        <v>1.9</v>
      </c>
      <c r="BQ71" s="43">
        <v>2.2999999999999998</v>
      </c>
      <c r="BR71" s="43">
        <v>1.9</v>
      </c>
      <c r="BS71" s="98">
        <v>1.6</v>
      </c>
      <c r="BT71" s="43">
        <v>1.8000000000000003</v>
      </c>
      <c r="BU71" s="43">
        <v>2.2000000000000002</v>
      </c>
      <c r="BV71" s="43">
        <v>2.4</v>
      </c>
      <c r="BW71" s="43">
        <v>1.7</v>
      </c>
      <c r="BX71" s="43">
        <v>2.2999999999999998</v>
      </c>
      <c r="BY71" s="43">
        <v>2.12</v>
      </c>
      <c r="BZ71" s="43">
        <f t="shared" si="14"/>
        <v>2.1473684210526316</v>
      </c>
      <c r="CA71" s="289">
        <v>2.2000000000000002</v>
      </c>
      <c r="CB71" s="30"/>
      <c r="CC71" s="212"/>
      <c r="CD71" s="24" t="s">
        <v>177</v>
      </c>
      <c r="CE71" s="24">
        <v>818</v>
      </c>
      <c r="CF71" s="43"/>
      <c r="CG71" s="43">
        <v>0.91009894029850746</v>
      </c>
      <c r="CH71" s="109">
        <v>0.864593993283582</v>
      </c>
      <c r="CI71" s="43">
        <v>0.64554843223880609</v>
      </c>
      <c r="CJ71" s="43">
        <v>1.1764950876877154</v>
      </c>
      <c r="CK71" s="43">
        <v>1.4254117186567166</v>
      </c>
      <c r="CL71" s="43">
        <v>1.2953617625717568</v>
      </c>
      <c r="CM71" s="98">
        <v>0.97298207349311139</v>
      </c>
      <c r="CN71" s="98">
        <v>1.6407176672359356</v>
      </c>
      <c r="CO71" s="98">
        <v>0.28000000000000003</v>
      </c>
      <c r="CP71" s="98">
        <v>0.23020738530612248</v>
      </c>
      <c r="CQ71" s="289">
        <v>0</v>
      </c>
      <c r="CR71" s="98"/>
      <c r="CS71" s="98">
        <f t="shared" si="11"/>
        <v>9.0974910374974112</v>
      </c>
      <c r="CT71" s="30"/>
      <c r="CU71" s="49" t="s">
        <v>191</v>
      </c>
      <c r="CV71" s="47" t="s">
        <v>192</v>
      </c>
      <c r="CW71" s="48"/>
      <c r="CX71" s="48"/>
      <c r="CY71" s="48"/>
      <c r="CZ71" s="184"/>
      <c r="DA71" s="30"/>
      <c r="DB71" s="30"/>
      <c r="DC71" s="30"/>
    </row>
    <row r="72" spans="1:107" ht="15" x14ac:dyDescent="0.2">
      <c r="A72" s="240">
        <v>3</v>
      </c>
      <c r="B72" s="240" t="s">
        <v>175</v>
      </c>
      <c r="C72" s="240" t="s">
        <v>193</v>
      </c>
      <c r="D72" s="241">
        <v>833</v>
      </c>
      <c r="E72" s="84">
        <v>13.6</v>
      </c>
      <c r="F72" s="68" t="s">
        <v>101</v>
      </c>
      <c r="G72" s="68">
        <v>2</v>
      </c>
      <c r="H72" s="202">
        <v>72</v>
      </c>
      <c r="I72" s="202">
        <v>65</v>
      </c>
      <c r="J72" s="202">
        <v>19</v>
      </c>
      <c r="K72" s="202">
        <v>17</v>
      </c>
      <c r="L72" s="203">
        <f t="shared" si="15"/>
        <v>118723.92797181186</v>
      </c>
      <c r="M72" s="84">
        <v>13.6</v>
      </c>
      <c r="N72" s="84">
        <v>13.9</v>
      </c>
      <c r="O72" s="84">
        <v>14.2</v>
      </c>
      <c r="P72" s="204">
        <v>14.3</v>
      </c>
      <c r="Q72" s="204">
        <v>14.4</v>
      </c>
      <c r="R72" s="204">
        <v>14.6</v>
      </c>
      <c r="S72" s="84">
        <v>14.75</v>
      </c>
      <c r="T72" s="85">
        <v>14.95</v>
      </c>
      <c r="U72" s="85">
        <v>15.14</v>
      </c>
      <c r="V72" s="85">
        <v>15.34</v>
      </c>
      <c r="W72" s="85">
        <v>15.6</v>
      </c>
      <c r="X72" s="83">
        <v>15.9</v>
      </c>
      <c r="Y72" s="281">
        <v>16.2</v>
      </c>
      <c r="Z72" s="177">
        <f t="shared" si="17"/>
        <v>2.3000000000000007</v>
      </c>
      <c r="AA72" s="178">
        <f t="shared" si="16"/>
        <v>0.16911764705882359</v>
      </c>
      <c r="AB72" s="177">
        <f t="shared" si="18"/>
        <v>1.1500000000000004</v>
      </c>
      <c r="AC72" s="178">
        <f t="shared" si="19"/>
        <v>0.16911764705882359</v>
      </c>
      <c r="AD72" s="179">
        <f t="shared" si="20"/>
        <v>0.37005390000000005</v>
      </c>
      <c r="AE72" s="178">
        <f t="shared" si="21"/>
        <v>0.37050443339100353</v>
      </c>
      <c r="AF72"/>
      <c r="AG72"/>
      <c r="AH72" s="175">
        <v>2</v>
      </c>
      <c r="AI72" s="175">
        <v>1</v>
      </c>
      <c r="AJ72" s="175" t="s">
        <v>102</v>
      </c>
      <c r="AK72" s="174">
        <v>1</v>
      </c>
      <c r="AL72" s="175">
        <v>40</v>
      </c>
      <c r="AM72" s="175" t="s">
        <v>103</v>
      </c>
      <c r="AN72" s="196">
        <f t="shared" si="22"/>
        <v>2.5</v>
      </c>
      <c r="AO72" s="205">
        <v>10</v>
      </c>
      <c r="AP72" s="205">
        <v>80</v>
      </c>
      <c r="AQ72" s="205">
        <v>45</v>
      </c>
      <c r="AR72" s="205">
        <v>45</v>
      </c>
      <c r="AS72" s="205">
        <v>25</v>
      </c>
      <c r="AT72" s="206">
        <f t="shared" si="23"/>
        <v>318086.25617596658</v>
      </c>
      <c r="AU72" s="205"/>
      <c r="AV72" s="174" t="s">
        <v>101</v>
      </c>
      <c r="AW72" s="174">
        <v>2</v>
      </c>
      <c r="AX72" s="175">
        <v>45</v>
      </c>
      <c r="AY72" s="175" t="s">
        <v>103</v>
      </c>
      <c r="AZ72" s="196">
        <f t="shared" si="24"/>
        <v>2.5</v>
      </c>
      <c r="BA72" s="205">
        <v>15</v>
      </c>
      <c r="BB72" s="199"/>
      <c r="BC72" s="207">
        <v>5</v>
      </c>
      <c r="BD72" s="207">
        <v>2</v>
      </c>
      <c r="BE72" s="207">
        <v>4</v>
      </c>
      <c r="BF72" s="97">
        <v>2</v>
      </c>
      <c r="BG72" s="97">
        <v>5</v>
      </c>
      <c r="BH72" s="97">
        <v>5</v>
      </c>
      <c r="BI72" s="97">
        <v>5</v>
      </c>
      <c r="BJ72" s="97">
        <v>2</v>
      </c>
      <c r="BK72" s="166">
        <v>5</v>
      </c>
      <c r="BL72" s="166">
        <v>2</v>
      </c>
      <c r="BM72" s="166">
        <v>0</v>
      </c>
      <c r="BN72" s="307">
        <v>1</v>
      </c>
      <c r="BP72" s="43">
        <v>1.7</v>
      </c>
      <c r="BQ72" s="43">
        <v>1.8</v>
      </c>
      <c r="BR72" s="43">
        <v>1.5</v>
      </c>
      <c r="BS72" s="98">
        <v>1.7</v>
      </c>
      <c r="BT72" s="43">
        <v>1.925</v>
      </c>
      <c r="BU72" s="43">
        <v>1.9</v>
      </c>
      <c r="BV72" s="43">
        <v>1.8</v>
      </c>
      <c r="BW72" s="43">
        <v>1.4</v>
      </c>
      <c r="BX72" s="43">
        <v>2</v>
      </c>
      <c r="BY72" s="43">
        <v>1.8408238045661003</v>
      </c>
      <c r="BZ72" s="43">
        <f t="shared" si="14"/>
        <v>1.8590277777777779</v>
      </c>
      <c r="CA72" s="289">
        <v>1.3</v>
      </c>
      <c r="CB72" s="30"/>
      <c r="CC72" s="212"/>
      <c r="CD72" s="24" t="s">
        <v>177</v>
      </c>
      <c r="CE72" s="24">
        <v>833</v>
      </c>
      <c r="CF72" s="43">
        <v>0.59586883320895523</v>
      </c>
      <c r="CG72" s="43">
        <v>0.50055441716417914</v>
      </c>
      <c r="CH72" s="109">
        <v>0.68257420522388057</v>
      </c>
      <c r="CI72" s="43">
        <v>0.73162155653731353</v>
      </c>
      <c r="CJ72" s="43">
        <v>1.1046050951641793</v>
      </c>
      <c r="CK72" s="43">
        <v>0.96298306791044763</v>
      </c>
      <c r="CL72" s="43">
        <v>0.93509054638346734</v>
      </c>
      <c r="CM72" s="98">
        <v>0.69201424921067745</v>
      </c>
      <c r="CN72" s="98">
        <v>1.6228252447330653</v>
      </c>
      <c r="CO72" s="98">
        <v>1.0690910227755452</v>
      </c>
      <c r="CP72" s="98">
        <v>0.69504922102040823</v>
      </c>
      <c r="CQ72" s="289">
        <v>0.41</v>
      </c>
      <c r="CR72" s="98"/>
      <c r="CS72" s="98">
        <f t="shared" si="11"/>
        <v>7.1177825906493677</v>
      </c>
      <c r="CT72" s="30"/>
      <c r="CU72" s="49" t="s">
        <v>191</v>
      </c>
      <c r="CV72" s="47"/>
      <c r="CW72" s="48"/>
      <c r="CX72" s="48"/>
      <c r="CY72" s="48"/>
      <c r="CZ72" s="184"/>
      <c r="DA72" s="30"/>
      <c r="DB72" s="30"/>
      <c r="DC72" s="30"/>
    </row>
    <row r="73" spans="1:107" ht="15" x14ac:dyDescent="0.2">
      <c r="A73" s="240">
        <v>3</v>
      </c>
      <c r="B73" s="240" t="s">
        <v>175</v>
      </c>
      <c r="C73" s="240" t="s">
        <v>194</v>
      </c>
      <c r="D73" s="241">
        <v>834</v>
      </c>
      <c r="E73" s="84">
        <v>15.1</v>
      </c>
      <c r="F73" s="68" t="s">
        <v>101</v>
      </c>
      <c r="G73" s="68">
        <v>2</v>
      </c>
      <c r="H73" s="202">
        <v>72</v>
      </c>
      <c r="I73" s="202">
        <v>60</v>
      </c>
      <c r="J73" s="202">
        <v>19</v>
      </c>
      <c r="K73" s="202">
        <v>19</v>
      </c>
      <c r="L73" s="203">
        <f t="shared" si="15"/>
        <v>122484.41437815885</v>
      </c>
      <c r="M73" s="84">
        <v>15.1</v>
      </c>
      <c r="N73" s="84">
        <v>15.1</v>
      </c>
      <c r="O73" s="84">
        <v>15.3</v>
      </c>
      <c r="P73" s="204">
        <v>15.5</v>
      </c>
      <c r="Q73" s="204">
        <v>15.6</v>
      </c>
      <c r="R73" s="204">
        <v>15.7</v>
      </c>
      <c r="S73" s="84">
        <v>15.7</v>
      </c>
      <c r="T73" s="85">
        <v>15.75</v>
      </c>
      <c r="U73" s="85">
        <v>15.8</v>
      </c>
      <c r="V73" s="85">
        <v>15.82</v>
      </c>
      <c r="W73" s="85">
        <v>15.91</v>
      </c>
      <c r="X73" s="83">
        <v>16</v>
      </c>
      <c r="Y73" s="281">
        <v>16.100000000000001</v>
      </c>
      <c r="Z73" s="177">
        <f t="shared" si="17"/>
        <v>0.90000000000000036</v>
      </c>
      <c r="AA73" s="178">
        <f t="shared" si="16"/>
        <v>5.9602649006622543E-2</v>
      </c>
      <c r="AB73" s="177">
        <f t="shared" si="18"/>
        <v>0.45000000000000018</v>
      </c>
      <c r="AC73" s="178">
        <f t="shared" si="19"/>
        <v>5.9602649006622543E-2</v>
      </c>
      <c r="AD73" s="179">
        <f t="shared" si="20"/>
        <v>0.15265746000000013</v>
      </c>
      <c r="AE73" s="178">
        <f t="shared" si="21"/>
        <v>0.12398535151967029</v>
      </c>
      <c r="AF73"/>
      <c r="AG73"/>
      <c r="AH73" s="175">
        <v>1</v>
      </c>
      <c r="AI73" s="175">
        <v>1</v>
      </c>
      <c r="AJ73" s="175" t="s">
        <v>101</v>
      </c>
      <c r="AK73" s="174">
        <v>2</v>
      </c>
      <c r="AL73" s="175">
        <v>60</v>
      </c>
      <c r="AM73" s="175" t="s">
        <v>103</v>
      </c>
      <c r="AN73" s="196">
        <f t="shared" si="22"/>
        <v>2.5</v>
      </c>
      <c r="AO73" s="205">
        <v>20</v>
      </c>
      <c r="AP73" s="205">
        <v>85</v>
      </c>
      <c r="AQ73" s="205">
        <v>55</v>
      </c>
      <c r="AR73" s="205">
        <v>33</v>
      </c>
      <c r="AS73" s="205">
        <v>32</v>
      </c>
      <c r="AT73" s="206">
        <f t="shared" si="23"/>
        <v>387735.36530605226</v>
      </c>
      <c r="AU73" s="205"/>
      <c r="AV73" s="174" t="s">
        <v>101</v>
      </c>
      <c r="AW73" s="174">
        <v>2</v>
      </c>
      <c r="AX73" s="175">
        <v>35</v>
      </c>
      <c r="AY73" s="175" t="s">
        <v>103</v>
      </c>
      <c r="AZ73" s="196">
        <f t="shared" si="24"/>
        <v>2.5</v>
      </c>
      <c r="BA73" s="205">
        <v>20</v>
      </c>
      <c r="BB73" s="199"/>
      <c r="BC73" s="207">
        <v>2</v>
      </c>
      <c r="BD73" s="207">
        <v>1</v>
      </c>
      <c r="BE73" s="207">
        <v>4</v>
      </c>
      <c r="BF73" s="97">
        <v>2</v>
      </c>
      <c r="BG73" s="97">
        <v>5</v>
      </c>
      <c r="BH73" s="97">
        <v>5</v>
      </c>
      <c r="BI73" s="97">
        <v>5</v>
      </c>
      <c r="BJ73" s="97">
        <v>2</v>
      </c>
      <c r="BK73" s="166">
        <v>1</v>
      </c>
      <c r="BL73" s="166">
        <v>1</v>
      </c>
      <c r="BM73" s="166">
        <v>2</v>
      </c>
      <c r="BN73" s="307">
        <v>2</v>
      </c>
      <c r="BP73" s="43">
        <v>1.5</v>
      </c>
      <c r="BQ73" s="43">
        <v>2.2000000000000002</v>
      </c>
      <c r="BR73" s="43">
        <v>1.5</v>
      </c>
      <c r="BS73" s="98">
        <v>1.9</v>
      </c>
      <c r="BT73" s="43">
        <v>1.7000000000000002</v>
      </c>
      <c r="BU73" s="43">
        <v>1.7</v>
      </c>
      <c r="BV73" s="43">
        <v>1.6</v>
      </c>
      <c r="BW73" s="43">
        <v>1.4</v>
      </c>
      <c r="BX73" s="43">
        <v>1.7</v>
      </c>
      <c r="BY73" s="43">
        <v>2</v>
      </c>
      <c r="BZ73" s="43">
        <f t="shared" si="14"/>
        <v>1.6527777777777779</v>
      </c>
      <c r="CA73" s="289">
        <v>1.7</v>
      </c>
      <c r="CB73" s="30"/>
      <c r="CC73" s="212"/>
      <c r="CD73" s="24" t="s">
        <v>177</v>
      </c>
      <c r="CE73" s="24">
        <v>834</v>
      </c>
      <c r="CF73" s="43">
        <v>0.51654264179104481</v>
      </c>
      <c r="CG73" s="43">
        <v>0.47780194365671641</v>
      </c>
      <c r="CH73" s="109">
        <v>0.57649848414179117</v>
      </c>
      <c r="CI73" s="43">
        <v>0.5929481896119404</v>
      </c>
      <c r="CJ73" s="43">
        <v>0.73162155653731353</v>
      </c>
      <c r="CK73" s="43">
        <v>0.84184151977611954</v>
      </c>
      <c r="CL73" s="43">
        <v>0.85411220941446631</v>
      </c>
      <c r="CM73" s="98">
        <v>0.58971951604477613</v>
      </c>
      <c r="CN73" s="98">
        <v>0.65859186828358207</v>
      </c>
      <c r="CO73" s="98">
        <v>0.7256194253731344</v>
      </c>
      <c r="CP73" s="98">
        <v>0.53213322526530604</v>
      </c>
      <c r="CQ73" s="289">
        <v>0.18</v>
      </c>
      <c r="CR73" s="98"/>
      <c r="CS73" s="98">
        <f t="shared" si="11"/>
        <v>5.2522378837047077</v>
      </c>
      <c r="CT73" s="30"/>
      <c r="CU73" s="49"/>
      <c r="CV73" s="47"/>
      <c r="CW73" s="48"/>
      <c r="CX73" s="48"/>
      <c r="CY73" s="48"/>
      <c r="CZ73" s="184"/>
      <c r="DA73" s="30"/>
      <c r="DB73" s="30"/>
      <c r="DC73" s="30"/>
    </row>
    <row r="74" spans="1:107" ht="15" x14ac:dyDescent="0.2">
      <c r="A74" s="240">
        <v>3</v>
      </c>
      <c r="B74" s="240" t="s">
        <v>175</v>
      </c>
      <c r="C74" s="240" t="s">
        <v>195</v>
      </c>
      <c r="D74" s="241">
        <v>835</v>
      </c>
      <c r="E74" s="84">
        <v>14.6</v>
      </c>
      <c r="F74" s="68" t="s">
        <v>101</v>
      </c>
      <c r="G74" s="68">
        <v>2</v>
      </c>
      <c r="H74" s="202">
        <v>80</v>
      </c>
      <c r="I74" s="202">
        <v>50</v>
      </c>
      <c r="J74" s="202">
        <v>24</v>
      </c>
      <c r="K74" s="202">
        <v>7</v>
      </c>
      <c r="L74" s="203">
        <f t="shared" si="15"/>
        <v>52778.756580308531</v>
      </c>
      <c r="M74" s="84">
        <v>14.6</v>
      </c>
      <c r="N74" s="84">
        <v>14.6</v>
      </c>
      <c r="O74" s="84">
        <v>14.8</v>
      </c>
      <c r="P74" s="204">
        <v>14.9</v>
      </c>
      <c r="Q74" s="204">
        <v>15</v>
      </c>
      <c r="R74" s="204">
        <v>15.1</v>
      </c>
      <c r="S74" s="84">
        <v>15.15</v>
      </c>
      <c r="T74" s="85">
        <v>15.2</v>
      </c>
      <c r="U74" s="85">
        <v>15.31</v>
      </c>
      <c r="V74" s="85">
        <v>15.35</v>
      </c>
      <c r="W74" s="85">
        <v>15.42</v>
      </c>
      <c r="X74" s="83">
        <v>15.5</v>
      </c>
      <c r="Y74" s="281">
        <v>15.6</v>
      </c>
      <c r="Z74" s="177">
        <f t="shared" si="17"/>
        <v>0.90000000000000036</v>
      </c>
      <c r="AA74" s="178">
        <f t="shared" si="16"/>
        <v>6.164383561643838E-2</v>
      </c>
      <c r="AB74" s="177">
        <f t="shared" si="18"/>
        <v>0.45000000000000018</v>
      </c>
      <c r="AC74" s="178">
        <f t="shared" si="19"/>
        <v>6.164383561643838E-2</v>
      </c>
      <c r="AD74" s="179">
        <f t="shared" si="20"/>
        <v>0.14774886000000009</v>
      </c>
      <c r="AE74" s="178">
        <f t="shared" si="21"/>
        <v>0.1283585100394071</v>
      </c>
      <c r="AF74"/>
      <c r="AG74"/>
      <c r="AH74" s="175">
        <v>2</v>
      </c>
      <c r="AI74" s="175">
        <v>1</v>
      </c>
      <c r="AJ74" s="175" t="s">
        <v>102</v>
      </c>
      <c r="AK74" s="174">
        <v>1</v>
      </c>
      <c r="AL74" s="175">
        <v>50</v>
      </c>
      <c r="AM74" s="175" t="s">
        <v>103</v>
      </c>
      <c r="AN74" s="196">
        <f t="shared" si="22"/>
        <v>2.5</v>
      </c>
      <c r="AO74" s="205">
        <v>5</v>
      </c>
      <c r="AP74" s="205">
        <v>80</v>
      </c>
      <c r="AQ74" s="205">
        <v>45</v>
      </c>
      <c r="AR74" s="205">
        <v>41</v>
      </c>
      <c r="AS74" s="205">
        <v>27</v>
      </c>
      <c r="AT74" s="206">
        <f t="shared" si="23"/>
        <v>312996.8760771511</v>
      </c>
      <c r="AU74" s="205"/>
      <c r="AV74" s="174" t="s">
        <v>101</v>
      </c>
      <c r="AW74" s="174">
        <v>2</v>
      </c>
      <c r="AX74" s="175">
        <v>50</v>
      </c>
      <c r="AY74" s="175" t="s">
        <v>103</v>
      </c>
      <c r="AZ74" s="196">
        <f t="shared" si="24"/>
        <v>2.5</v>
      </c>
      <c r="BA74" s="205">
        <v>25</v>
      </c>
      <c r="BB74" s="199"/>
      <c r="BC74" s="207">
        <v>4</v>
      </c>
      <c r="BD74" s="207">
        <v>1</v>
      </c>
      <c r="BE74" s="207">
        <v>3</v>
      </c>
      <c r="BF74" s="97">
        <v>1</v>
      </c>
      <c r="BG74" s="97">
        <v>5</v>
      </c>
      <c r="BH74" s="97">
        <v>5</v>
      </c>
      <c r="BI74" s="97">
        <v>1</v>
      </c>
      <c r="BJ74" s="97">
        <v>1</v>
      </c>
      <c r="BK74" s="166">
        <v>5</v>
      </c>
      <c r="BL74" s="166">
        <v>1</v>
      </c>
      <c r="BM74" s="166">
        <v>2</v>
      </c>
      <c r="BN74" s="307">
        <v>1</v>
      </c>
      <c r="BP74" s="43">
        <v>2.2000000000000002</v>
      </c>
      <c r="BQ74" s="43">
        <v>2.1</v>
      </c>
      <c r="BR74" s="43">
        <v>1.8</v>
      </c>
      <c r="BS74" s="98">
        <v>2.1622754491017964</v>
      </c>
      <c r="BT74" s="43">
        <v>1.8446179438466186</v>
      </c>
      <c r="BU74" s="43">
        <v>2.1</v>
      </c>
      <c r="BV74" s="43">
        <v>1.9</v>
      </c>
      <c r="BW74" s="43">
        <v>1.5</v>
      </c>
      <c r="BX74" s="43">
        <v>1.9</v>
      </c>
      <c r="BY74" s="43">
        <v>1.8928319509222831</v>
      </c>
      <c r="BZ74" s="43">
        <f t="shared" si="14"/>
        <v>1.8719043825836104</v>
      </c>
      <c r="CA74" s="289">
        <v>1.9</v>
      </c>
      <c r="CB74" s="30"/>
      <c r="CC74" s="212"/>
      <c r="CD74" s="24" t="s">
        <v>177</v>
      </c>
      <c r="CE74" s="24">
        <v>835</v>
      </c>
      <c r="CF74" s="43">
        <v>0.71701038134328365</v>
      </c>
      <c r="CG74" s="43">
        <v>0.76374519179104483</v>
      </c>
      <c r="CH74" s="109">
        <v>0.81908904626865675</v>
      </c>
      <c r="CI74" s="43">
        <v>0.73162155653731353</v>
      </c>
      <c r="CJ74" s="43">
        <v>1.1928043810241102</v>
      </c>
      <c r="CK74" s="43">
        <v>0.9749742363805971</v>
      </c>
      <c r="CL74" s="43">
        <v>0.89594126981917355</v>
      </c>
      <c r="CM74" s="98">
        <v>0.59033444776119415</v>
      </c>
      <c r="CN74" s="98">
        <v>0.85794175762055103</v>
      </c>
      <c r="CO74" s="98">
        <v>0.91051581486796795</v>
      </c>
      <c r="CP74" s="98">
        <v>0.53833111640816322</v>
      </c>
      <c r="CQ74" s="289">
        <v>0.38</v>
      </c>
      <c r="CR74" s="98"/>
      <c r="CS74" s="98">
        <f t="shared" si="11"/>
        <v>6.7631824667311147</v>
      </c>
      <c r="CT74" s="30"/>
      <c r="CU74" s="49" t="s">
        <v>191</v>
      </c>
      <c r="CV74" s="47"/>
      <c r="CW74" s="48"/>
      <c r="CX74" s="48"/>
      <c r="CY74" s="48"/>
      <c r="CZ74" s="184"/>
      <c r="DA74" s="30"/>
      <c r="DB74" s="30"/>
      <c r="DC74" s="30"/>
    </row>
    <row r="75" spans="1:107" ht="15" x14ac:dyDescent="0.2">
      <c r="A75" s="240">
        <v>3</v>
      </c>
      <c r="B75" s="240" t="s">
        <v>175</v>
      </c>
      <c r="C75" s="240" t="s">
        <v>196</v>
      </c>
      <c r="D75" s="241">
        <v>844</v>
      </c>
      <c r="E75" s="84">
        <v>13.2</v>
      </c>
      <c r="F75" s="68" t="s">
        <v>101</v>
      </c>
      <c r="G75" s="68">
        <v>2</v>
      </c>
      <c r="H75" s="202">
        <v>70</v>
      </c>
      <c r="I75" s="202">
        <v>40</v>
      </c>
      <c r="J75" s="202">
        <v>24</v>
      </c>
      <c r="K75" s="202">
        <v>23</v>
      </c>
      <c r="L75" s="203">
        <f t="shared" si="15"/>
        <v>121391.14013470961</v>
      </c>
      <c r="M75" s="84">
        <v>13.2</v>
      </c>
      <c r="N75" s="84">
        <v>13.4</v>
      </c>
      <c r="O75" s="84">
        <v>13.7</v>
      </c>
      <c r="P75" s="204">
        <v>14</v>
      </c>
      <c r="Q75" s="204">
        <v>14.2</v>
      </c>
      <c r="R75" s="204">
        <v>14.3</v>
      </c>
      <c r="S75" s="84">
        <v>14.45</v>
      </c>
      <c r="T75" s="85">
        <v>14.55</v>
      </c>
      <c r="U75" s="85">
        <v>14.7</v>
      </c>
      <c r="V75" s="85">
        <v>14.92</v>
      </c>
      <c r="W75" s="85">
        <v>15.07</v>
      </c>
      <c r="X75" s="83">
        <v>15.4</v>
      </c>
      <c r="Y75" s="281">
        <v>15.6</v>
      </c>
      <c r="Z75" s="177">
        <f t="shared" si="17"/>
        <v>2.2000000000000011</v>
      </c>
      <c r="AA75" s="178">
        <f t="shared" si="16"/>
        <v>0.16666666666666677</v>
      </c>
      <c r="AB75" s="177">
        <f t="shared" si="18"/>
        <v>1.1000000000000005</v>
      </c>
      <c r="AC75" s="178">
        <f t="shared" si="19"/>
        <v>0.16666666666666677</v>
      </c>
      <c r="AD75" s="179">
        <f t="shared" si="20"/>
        <v>0.34316568000000014</v>
      </c>
      <c r="AE75" s="178">
        <f t="shared" si="21"/>
        <v>0.36472222222222239</v>
      </c>
      <c r="AF75"/>
      <c r="AG75"/>
      <c r="AH75" s="175">
        <v>2</v>
      </c>
      <c r="AI75" s="175">
        <v>1</v>
      </c>
      <c r="AJ75" s="175" t="s">
        <v>102</v>
      </c>
      <c r="AK75" s="174">
        <v>1</v>
      </c>
      <c r="AL75" s="175">
        <v>40</v>
      </c>
      <c r="AM75" s="175" t="s">
        <v>103</v>
      </c>
      <c r="AN75" s="196">
        <f t="shared" si="22"/>
        <v>2.5</v>
      </c>
      <c r="AO75" s="205">
        <v>15</v>
      </c>
      <c r="AP75" s="205">
        <v>80</v>
      </c>
      <c r="AQ75" s="205">
        <v>40</v>
      </c>
      <c r="AR75" s="205">
        <v>39</v>
      </c>
      <c r="AS75" s="205">
        <v>33</v>
      </c>
      <c r="AT75" s="206">
        <f t="shared" si="23"/>
        <v>323458.3796136051</v>
      </c>
      <c r="AU75" s="205"/>
      <c r="AV75" s="174" t="s">
        <v>101</v>
      </c>
      <c r="AW75" s="174">
        <v>2</v>
      </c>
      <c r="AX75" s="175">
        <v>25</v>
      </c>
      <c r="AY75" s="175" t="s">
        <v>103</v>
      </c>
      <c r="AZ75" s="196">
        <f t="shared" si="24"/>
        <v>2.5</v>
      </c>
      <c r="BA75" s="205">
        <v>20</v>
      </c>
      <c r="BB75" s="199"/>
      <c r="BC75" s="207">
        <v>5</v>
      </c>
      <c r="BD75" s="207">
        <v>3</v>
      </c>
      <c r="BE75" s="207">
        <v>4</v>
      </c>
      <c r="BF75" s="97">
        <v>1</v>
      </c>
      <c r="BG75" s="97">
        <v>5</v>
      </c>
      <c r="BH75" s="97">
        <v>5</v>
      </c>
      <c r="BI75" s="97">
        <v>5</v>
      </c>
      <c r="BJ75" s="97">
        <v>1</v>
      </c>
      <c r="BK75" s="166">
        <v>5</v>
      </c>
      <c r="BL75" s="166">
        <v>2</v>
      </c>
      <c r="BM75" s="166">
        <v>1</v>
      </c>
      <c r="BN75" s="307">
        <v>1</v>
      </c>
      <c r="BP75" s="43">
        <v>2.2000000000000002</v>
      </c>
      <c r="BQ75" s="43">
        <v>2.2999999999999998</v>
      </c>
      <c r="BR75" s="43">
        <v>1.7</v>
      </c>
      <c r="BS75" s="98">
        <v>2.21875</v>
      </c>
      <c r="BT75" s="43">
        <v>1.9006060606060606</v>
      </c>
      <c r="BU75" s="43">
        <v>2.2000000000000002</v>
      </c>
      <c r="BV75" s="43">
        <v>1.8</v>
      </c>
      <c r="BW75" s="43">
        <v>1.5</v>
      </c>
      <c r="BX75" s="43">
        <v>1.7</v>
      </c>
      <c r="BY75" s="43">
        <v>2.1</v>
      </c>
      <c r="BZ75" s="43">
        <f t="shared" si="14"/>
        <v>1.8505164802194507</v>
      </c>
      <c r="CA75" s="289">
        <v>1.6</v>
      </c>
      <c r="CB75" s="30"/>
      <c r="CC75" s="212"/>
      <c r="CD75" s="24" t="s">
        <v>177</v>
      </c>
      <c r="CE75" s="24">
        <v>844</v>
      </c>
      <c r="CF75" s="43">
        <v>0.43291192835820902</v>
      </c>
      <c r="CG75" s="43">
        <v>0.36526943955223889</v>
      </c>
      <c r="CH75" s="109">
        <v>0.75267642089552234</v>
      </c>
      <c r="CI75" s="43">
        <v>0.3281537863880597</v>
      </c>
      <c r="CJ75" s="43">
        <v>0.93724068680597028</v>
      </c>
      <c r="CK75" s="43">
        <v>0.77112437238805986</v>
      </c>
      <c r="CL75" s="43">
        <v>0.68626379552238814</v>
      </c>
      <c r="CM75" s="98">
        <v>0.52807261147388063</v>
      </c>
      <c r="CN75" s="98">
        <v>0.53314579813432839</v>
      </c>
      <c r="CO75" s="98">
        <v>0.78772752873134333</v>
      </c>
      <c r="CP75" s="98">
        <v>0.62805296914285713</v>
      </c>
      <c r="CQ75" s="289">
        <v>0.09</v>
      </c>
      <c r="CR75" s="98"/>
      <c r="CS75" s="98">
        <f t="shared" si="11"/>
        <v>4.8980690946000003</v>
      </c>
      <c r="CT75" s="30"/>
      <c r="CU75" s="49"/>
      <c r="CV75" s="47"/>
      <c r="CW75" s="48"/>
      <c r="CX75" s="48"/>
      <c r="CY75" s="48"/>
      <c r="CZ75" s="184"/>
      <c r="DA75" s="30"/>
      <c r="DB75" s="30"/>
      <c r="DC75" s="30"/>
    </row>
    <row r="76" spans="1:107" ht="15" x14ac:dyDescent="0.2">
      <c r="A76" s="240">
        <v>3</v>
      </c>
      <c r="B76" s="240" t="s">
        <v>175</v>
      </c>
      <c r="C76" s="240" t="s">
        <v>197</v>
      </c>
      <c r="D76" s="241">
        <v>845</v>
      </c>
      <c r="E76" s="84">
        <v>15</v>
      </c>
      <c r="F76" s="68" t="s">
        <v>102</v>
      </c>
      <c r="G76" s="68">
        <v>1</v>
      </c>
      <c r="H76" s="202">
        <v>80</v>
      </c>
      <c r="I76" s="202">
        <v>60</v>
      </c>
      <c r="J76" s="202">
        <v>23</v>
      </c>
      <c r="K76" s="202">
        <v>18</v>
      </c>
      <c r="L76" s="203">
        <f t="shared" si="15"/>
        <v>156074.32303034092</v>
      </c>
      <c r="M76" s="84">
        <v>15</v>
      </c>
      <c r="N76" s="84">
        <v>15</v>
      </c>
      <c r="O76" s="84">
        <v>15.3</v>
      </c>
      <c r="P76" s="204">
        <v>15.4</v>
      </c>
      <c r="Q76" s="204">
        <v>15.5</v>
      </c>
      <c r="R76" s="204">
        <v>15.65</v>
      </c>
      <c r="S76" s="84">
        <v>15.65</v>
      </c>
      <c r="T76" s="85">
        <v>15.7</v>
      </c>
      <c r="U76" s="85">
        <v>15.82</v>
      </c>
      <c r="V76" s="85">
        <v>15.92</v>
      </c>
      <c r="W76" s="85">
        <v>16.03</v>
      </c>
      <c r="X76" s="83">
        <v>16.2</v>
      </c>
      <c r="Y76" s="281">
        <v>16.3</v>
      </c>
      <c r="Z76" s="177">
        <f t="shared" si="17"/>
        <v>1.1999999999999993</v>
      </c>
      <c r="AA76" s="178">
        <f t="shared" si="16"/>
        <v>7.9999999999999946E-2</v>
      </c>
      <c r="AB76" s="177">
        <f t="shared" si="18"/>
        <v>0.59999999999999964</v>
      </c>
      <c r="AC76" s="178">
        <f t="shared" si="19"/>
        <v>7.9999999999999946E-2</v>
      </c>
      <c r="AD76" s="179">
        <f t="shared" si="20"/>
        <v>0.20419776000000001</v>
      </c>
      <c r="AE76" s="178">
        <f t="shared" si="21"/>
        <v>0.16806399999999999</v>
      </c>
      <c r="AF76"/>
      <c r="AG76"/>
      <c r="AH76" s="175">
        <v>2</v>
      </c>
      <c r="AI76" s="175">
        <v>1</v>
      </c>
      <c r="AJ76" s="175" t="s">
        <v>101</v>
      </c>
      <c r="AK76" s="174">
        <v>2</v>
      </c>
      <c r="AL76" s="175">
        <v>40</v>
      </c>
      <c r="AM76" s="175" t="s">
        <v>103</v>
      </c>
      <c r="AN76" s="196">
        <f t="shared" si="22"/>
        <v>2.5</v>
      </c>
      <c r="AO76" s="205">
        <v>15</v>
      </c>
      <c r="AP76" s="205">
        <v>80</v>
      </c>
      <c r="AQ76" s="205">
        <v>45</v>
      </c>
      <c r="AR76" s="205">
        <v>28</v>
      </c>
      <c r="AS76" s="205">
        <v>28</v>
      </c>
      <c r="AT76" s="206">
        <f t="shared" si="23"/>
        <v>221670.77763729577</v>
      </c>
      <c r="AU76" s="205"/>
      <c r="AV76" s="174" t="s">
        <v>102</v>
      </c>
      <c r="AW76" s="174">
        <v>1</v>
      </c>
      <c r="AX76" s="175">
        <v>25</v>
      </c>
      <c r="AY76" s="175" t="s">
        <v>103</v>
      </c>
      <c r="AZ76" s="196">
        <f t="shared" si="24"/>
        <v>2.5</v>
      </c>
      <c r="BA76" s="205">
        <v>15</v>
      </c>
      <c r="BB76" s="199"/>
      <c r="BC76" s="207">
        <v>5</v>
      </c>
      <c r="BD76" s="207">
        <v>4</v>
      </c>
      <c r="BE76" s="207">
        <v>2</v>
      </c>
      <c r="BF76" s="97">
        <v>1</v>
      </c>
      <c r="BG76" s="97">
        <v>5</v>
      </c>
      <c r="BH76" s="97">
        <v>5</v>
      </c>
      <c r="BI76" s="97">
        <v>5</v>
      </c>
      <c r="BJ76" s="97">
        <v>1</v>
      </c>
      <c r="BK76" s="166">
        <v>5</v>
      </c>
      <c r="BL76" s="166">
        <v>5</v>
      </c>
      <c r="BM76" s="166">
        <v>2</v>
      </c>
      <c r="BN76" s="307">
        <v>2</v>
      </c>
      <c r="BP76" s="43">
        <v>1.8</v>
      </c>
      <c r="BQ76" s="43">
        <v>3</v>
      </c>
      <c r="BR76" s="43">
        <v>1.7</v>
      </c>
      <c r="BS76" s="98">
        <v>1.9100000000000001</v>
      </c>
      <c r="BT76" s="43">
        <v>1.9273848299475962</v>
      </c>
      <c r="BU76" s="43">
        <v>1.9</v>
      </c>
      <c r="BV76" s="43">
        <v>1.8</v>
      </c>
      <c r="BW76" s="43">
        <v>1.5</v>
      </c>
      <c r="BX76" s="43">
        <v>2</v>
      </c>
      <c r="BY76" s="43">
        <v>2.0674424637436766</v>
      </c>
      <c r="BZ76" s="43">
        <f t="shared" si="14"/>
        <v>1.8638595866666428</v>
      </c>
      <c r="CA76" s="289">
        <v>1.7</v>
      </c>
      <c r="CB76" s="30"/>
      <c r="CC76" s="212"/>
      <c r="CD76" s="27" t="s">
        <v>177</v>
      </c>
      <c r="CE76" s="27">
        <v>845</v>
      </c>
      <c r="CF76" s="43">
        <v>0.71947010820895529</v>
      </c>
      <c r="CG76" s="43">
        <v>0.60109575279850747</v>
      </c>
      <c r="CH76" s="109">
        <v>0.75267642089552234</v>
      </c>
      <c r="CI76" s="43">
        <v>0.73162155653731353</v>
      </c>
      <c r="CJ76" s="43">
        <v>1.1440040923260621</v>
      </c>
      <c r="CK76" s="43">
        <v>1.0395420666044777</v>
      </c>
      <c r="CL76" s="44">
        <v>0.61132150393226181</v>
      </c>
      <c r="CM76" s="98">
        <v>0.7419172129735937</v>
      </c>
      <c r="CN76" s="98">
        <v>0.47060614236509757</v>
      </c>
      <c r="CO76" s="98">
        <v>1.1080666931113663</v>
      </c>
      <c r="CP76" s="98">
        <v>0.52239368204081627</v>
      </c>
      <c r="CQ76" s="289">
        <v>0.3</v>
      </c>
      <c r="CR76" s="98"/>
      <c r="CS76" s="98">
        <f t="shared" si="11"/>
        <v>6.3362572398025261</v>
      </c>
      <c r="CT76" s="30"/>
      <c r="CU76" s="49" t="s">
        <v>191</v>
      </c>
      <c r="CV76" s="46" t="s">
        <v>189</v>
      </c>
      <c r="CW76" s="48" t="s">
        <v>198</v>
      </c>
      <c r="CX76" s="48" t="s">
        <v>198</v>
      </c>
      <c r="CY76" s="48" t="s">
        <v>198</v>
      </c>
      <c r="CZ76" s="184"/>
      <c r="DA76" s="30"/>
      <c r="DB76" s="30"/>
      <c r="DC76" s="30"/>
    </row>
    <row r="77" spans="1:107" ht="15" x14ac:dyDescent="0.2">
      <c r="A77" s="240">
        <v>3</v>
      </c>
      <c r="B77" s="240" t="s">
        <v>175</v>
      </c>
      <c r="C77" s="240" t="s">
        <v>199</v>
      </c>
      <c r="D77" s="241">
        <v>846</v>
      </c>
      <c r="E77" s="84">
        <v>14.2</v>
      </c>
      <c r="F77" s="68" t="s">
        <v>101</v>
      </c>
      <c r="G77" s="68">
        <v>2</v>
      </c>
      <c r="H77" s="202">
        <v>72</v>
      </c>
      <c r="I77" s="202">
        <v>50</v>
      </c>
      <c r="J77" s="202">
        <v>25</v>
      </c>
      <c r="K77" s="202">
        <v>17</v>
      </c>
      <c r="L77" s="203">
        <f t="shared" si="15"/>
        <v>120165.91899980958</v>
      </c>
      <c r="M77" s="84">
        <v>14.2</v>
      </c>
      <c r="N77" s="84">
        <v>14.4</v>
      </c>
      <c r="O77" s="84">
        <v>14.7</v>
      </c>
      <c r="P77" s="84">
        <v>14.9</v>
      </c>
      <c r="Q77" s="204">
        <v>15.1</v>
      </c>
      <c r="R77" s="204">
        <v>15.275</v>
      </c>
      <c r="S77" s="84">
        <v>15.3</v>
      </c>
      <c r="T77" s="85">
        <v>15.45</v>
      </c>
      <c r="U77" s="85">
        <v>15.54</v>
      </c>
      <c r="V77" s="85">
        <v>15.75</v>
      </c>
      <c r="W77" s="85">
        <v>15.93</v>
      </c>
      <c r="X77" s="83">
        <v>16.100000000000001</v>
      </c>
      <c r="Y77" s="281">
        <v>16.3</v>
      </c>
      <c r="Z77" s="177">
        <f t="shared" si="17"/>
        <v>1.9000000000000021</v>
      </c>
      <c r="AA77" s="178">
        <f t="shared" si="16"/>
        <v>0.13380281690140861</v>
      </c>
      <c r="AB77" s="177">
        <f t="shared" si="18"/>
        <v>0.95000000000000107</v>
      </c>
      <c r="AC77" s="178">
        <f t="shared" si="19"/>
        <v>0.13380281690140861</v>
      </c>
      <c r="AD77" s="179">
        <f t="shared" si="20"/>
        <v>0.31398678000000024</v>
      </c>
      <c r="AE77" s="178">
        <f t="shared" si="21"/>
        <v>0.28836391588970461</v>
      </c>
      <c r="AF77"/>
      <c r="AG77"/>
      <c r="AH77" s="175">
        <v>1</v>
      </c>
      <c r="AI77" s="175">
        <v>1</v>
      </c>
      <c r="AJ77" s="175" t="s">
        <v>102</v>
      </c>
      <c r="AK77" s="174">
        <v>1</v>
      </c>
      <c r="AL77" s="175">
        <v>65</v>
      </c>
      <c r="AM77" s="175" t="s">
        <v>103</v>
      </c>
      <c r="AN77" s="196">
        <f t="shared" si="22"/>
        <v>2.5</v>
      </c>
      <c r="AO77" s="205">
        <v>10</v>
      </c>
      <c r="AP77" s="205">
        <v>85</v>
      </c>
      <c r="AQ77" s="205">
        <v>60</v>
      </c>
      <c r="AR77" s="205">
        <v>36</v>
      </c>
      <c r="AS77" s="205">
        <v>33</v>
      </c>
      <c r="AT77" s="206">
        <f t="shared" si="23"/>
        <v>475857.03923924599</v>
      </c>
      <c r="AU77" s="205"/>
      <c r="AV77" s="174" t="s">
        <v>101</v>
      </c>
      <c r="AW77" s="174">
        <v>2</v>
      </c>
      <c r="AX77" s="175">
        <v>50</v>
      </c>
      <c r="AY77" s="175" t="s">
        <v>103</v>
      </c>
      <c r="AZ77" s="196">
        <f t="shared" si="24"/>
        <v>2.5</v>
      </c>
      <c r="BA77" s="205">
        <v>10</v>
      </c>
      <c r="BB77" s="199"/>
      <c r="BC77" s="207">
        <v>5</v>
      </c>
      <c r="BD77" s="207">
        <v>2</v>
      </c>
      <c r="BE77" s="207">
        <v>3</v>
      </c>
      <c r="BF77" s="97">
        <v>2</v>
      </c>
      <c r="BG77" s="97">
        <v>5</v>
      </c>
      <c r="BH77" s="97">
        <v>5</v>
      </c>
      <c r="BI77" s="97">
        <v>5</v>
      </c>
      <c r="BJ77" s="97">
        <v>2</v>
      </c>
      <c r="BK77" s="166">
        <v>5</v>
      </c>
      <c r="BL77" s="166">
        <v>2</v>
      </c>
      <c r="BM77" s="166">
        <v>2</v>
      </c>
      <c r="BN77" s="307">
        <v>3</v>
      </c>
      <c r="BP77" s="43">
        <v>2</v>
      </c>
      <c r="BQ77" s="43">
        <v>2.2999999999999998</v>
      </c>
      <c r="BR77" s="43">
        <v>1.6</v>
      </c>
      <c r="BS77" s="98">
        <v>1.7</v>
      </c>
      <c r="BT77" s="43">
        <v>1.7469387755102042</v>
      </c>
      <c r="BU77" s="43">
        <v>2.2999999999999998</v>
      </c>
      <c r="BV77" s="43">
        <v>1.6</v>
      </c>
      <c r="BW77" s="43">
        <v>1.3</v>
      </c>
      <c r="BX77" s="43">
        <v>2</v>
      </c>
      <c r="BY77" s="43">
        <v>1.7661054112843528</v>
      </c>
      <c r="BZ77" s="43">
        <f t="shared" si="14"/>
        <v>1.6624489795918367</v>
      </c>
      <c r="CA77" s="289">
        <v>1.5</v>
      </c>
      <c r="CB77" s="30"/>
      <c r="CC77" s="212"/>
      <c r="CD77" s="24" t="s">
        <v>177</v>
      </c>
      <c r="CE77" s="24">
        <v>846</v>
      </c>
      <c r="CF77" s="43">
        <v>0.55343854477611942</v>
      </c>
      <c r="CG77" s="43">
        <v>0.5036290757462687</v>
      </c>
      <c r="CH77" s="109">
        <v>0.70840133731343291</v>
      </c>
      <c r="CI77" s="43">
        <v>0.76658876328358216</v>
      </c>
      <c r="CJ77" s="43">
        <v>0.76748535832835829</v>
      </c>
      <c r="CK77" s="43">
        <v>0.91932291604477623</v>
      </c>
      <c r="CL77" s="43">
        <v>0.90234403605051683</v>
      </c>
      <c r="CM77" s="98">
        <v>0.64736371149540761</v>
      </c>
      <c r="CN77" s="98">
        <v>0.4645829506314581</v>
      </c>
      <c r="CO77" s="98">
        <v>0.89999198025258331</v>
      </c>
      <c r="CP77" s="98">
        <v>0.62510159240816321</v>
      </c>
      <c r="CQ77" s="289">
        <v>0.08</v>
      </c>
      <c r="CR77" s="98"/>
      <c r="CS77" s="98">
        <f t="shared" si="11"/>
        <v>5.706518939138002</v>
      </c>
      <c r="CT77" s="30"/>
      <c r="CU77" s="49"/>
      <c r="CV77" s="47"/>
      <c r="CW77" s="48"/>
      <c r="CX77" s="48"/>
      <c r="CY77" s="48"/>
      <c r="CZ77" s="184"/>
      <c r="DA77" s="30"/>
      <c r="DB77" s="30"/>
      <c r="DC77" s="30"/>
    </row>
    <row r="78" spans="1:107" ht="15" x14ac:dyDescent="0.2">
      <c r="A78" s="240">
        <v>3</v>
      </c>
      <c r="B78" s="240" t="s">
        <v>175</v>
      </c>
      <c r="C78" s="240" t="s">
        <v>200</v>
      </c>
      <c r="D78" s="241">
        <v>849</v>
      </c>
      <c r="E78" s="84">
        <v>18.100000000000001</v>
      </c>
      <c r="F78" s="68" t="s">
        <v>102</v>
      </c>
      <c r="G78" s="68">
        <v>1</v>
      </c>
      <c r="H78" s="202">
        <v>88</v>
      </c>
      <c r="I78" s="202">
        <v>60</v>
      </c>
      <c r="J78" s="202">
        <v>24</v>
      </c>
      <c r="K78" s="202">
        <v>16</v>
      </c>
      <c r="L78" s="203">
        <f t="shared" si="15"/>
        <v>159241.04842515945</v>
      </c>
      <c r="M78" s="84">
        <v>18.100000000000001</v>
      </c>
      <c r="N78" s="84">
        <v>18.399999999999999</v>
      </c>
      <c r="O78" s="84">
        <v>18.399999999999999</v>
      </c>
      <c r="P78" s="204">
        <v>18.7</v>
      </c>
      <c r="Q78" s="204">
        <v>18.8</v>
      </c>
      <c r="R78" s="204">
        <v>18.95</v>
      </c>
      <c r="S78" s="84">
        <v>18.899999999999999</v>
      </c>
      <c r="T78" s="85">
        <v>19</v>
      </c>
      <c r="U78" s="85">
        <v>19.13</v>
      </c>
      <c r="V78" s="85">
        <v>19.3</v>
      </c>
      <c r="W78" s="85">
        <v>19.46</v>
      </c>
      <c r="X78" s="83">
        <v>19.600000000000001</v>
      </c>
      <c r="Y78" s="281">
        <v>19.7</v>
      </c>
      <c r="Z78" s="177">
        <f t="shared" si="17"/>
        <v>1.5</v>
      </c>
      <c r="AA78" s="178">
        <f t="shared" si="16"/>
        <v>8.2872928176795577E-2</v>
      </c>
      <c r="AB78" s="177">
        <f t="shared" si="18"/>
        <v>0.75</v>
      </c>
      <c r="AC78" s="178">
        <f t="shared" si="19"/>
        <v>8.2872928176795577E-2</v>
      </c>
      <c r="AD78" s="179">
        <f t="shared" si="20"/>
        <v>0.3084237000000003</v>
      </c>
      <c r="AE78" s="178">
        <f t="shared" si="21"/>
        <v>0.17433991636396948</v>
      </c>
      <c r="AF78"/>
      <c r="AG78"/>
      <c r="AH78" s="175">
        <v>2</v>
      </c>
      <c r="AI78" s="175">
        <v>1</v>
      </c>
      <c r="AJ78" s="175" t="s">
        <v>102</v>
      </c>
      <c r="AK78" s="174">
        <v>1</v>
      </c>
      <c r="AL78" s="175">
        <v>80</v>
      </c>
      <c r="AM78" s="175" t="s">
        <v>103</v>
      </c>
      <c r="AN78" s="196">
        <f t="shared" si="22"/>
        <v>2.5</v>
      </c>
      <c r="AO78" s="205">
        <v>10</v>
      </c>
      <c r="AP78" s="205">
        <v>85</v>
      </c>
      <c r="AQ78" s="205">
        <v>50</v>
      </c>
      <c r="AR78" s="205">
        <v>33</v>
      </c>
      <c r="AS78" s="205">
        <v>21</v>
      </c>
      <c r="AT78" s="206">
        <f t="shared" si="23"/>
        <v>231319.39407463343</v>
      </c>
      <c r="AU78" s="205"/>
      <c r="AV78" s="174" t="s">
        <v>102</v>
      </c>
      <c r="AW78" s="174">
        <v>1</v>
      </c>
      <c r="AX78" s="175">
        <v>65</v>
      </c>
      <c r="AY78" s="175" t="s">
        <v>103</v>
      </c>
      <c r="AZ78" s="196">
        <f t="shared" si="24"/>
        <v>2.5</v>
      </c>
      <c r="BA78" s="205">
        <v>15</v>
      </c>
      <c r="BB78" s="199"/>
      <c r="BC78" s="207">
        <v>5</v>
      </c>
      <c r="BD78" s="207">
        <v>2</v>
      </c>
      <c r="BE78" s="207">
        <v>2</v>
      </c>
      <c r="BF78" s="97">
        <v>3</v>
      </c>
      <c r="BG78" s="97">
        <v>5</v>
      </c>
      <c r="BH78" s="97">
        <v>5</v>
      </c>
      <c r="BI78" s="97">
        <v>5</v>
      </c>
      <c r="BJ78" s="97">
        <v>3</v>
      </c>
      <c r="BK78" s="166">
        <v>5</v>
      </c>
      <c r="BL78" s="166">
        <v>2</v>
      </c>
      <c r="BM78" s="166">
        <v>2</v>
      </c>
      <c r="BN78" s="307">
        <v>2</v>
      </c>
      <c r="BP78" s="43">
        <v>2.2000000000000002</v>
      </c>
      <c r="BQ78" s="43">
        <v>2.6</v>
      </c>
      <c r="BR78" s="43">
        <v>1.8</v>
      </c>
      <c r="BS78" s="98">
        <v>1.9305084745762713</v>
      </c>
      <c r="BT78" s="43">
        <v>1.8848968448063945</v>
      </c>
      <c r="BU78" s="43">
        <v>2.2000000000000002</v>
      </c>
      <c r="BV78" s="43">
        <v>1.9</v>
      </c>
      <c r="BW78" s="43">
        <v>1.6</v>
      </c>
      <c r="BX78" s="43">
        <v>1.9</v>
      </c>
      <c r="BY78" s="43">
        <v>1.8481075765655905</v>
      </c>
      <c r="BZ78" s="43">
        <f t="shared" si="14"/>
        <v>1.8929411186846463</v>
      </c>
      <c r="CA78" s="289">
        <v>1.6</v>
      </c>
      <c r="CB78" s="30"/>
      <c r="CC78" s="212"/>
      <c r="CD78" s="24" t="s">
        <v>177</v>
      </c>
      <c r="CE78" s="24">
        <v>849</v>
      </c>
      <c r="CF78" s="43">
        <v>0.47349742164179109</v>
      </c>
      <c r="CG78" s="43">
        <v>0.75329135261194047</v>
      </c>
      <c r="CH78" s="109">
        <v>0.79695150447761187</v>
      </c>
      <c r="CI78" s="43">
        <v>1.0792015688955223</v>
      </c>
      <c r="CJ78" s="43">
        <v>1.196639132583238</v>
      </c>
      <c r="CK78" s="43">
        <v>1.4862899585820852</v>
      </c>
      <c r="CL78" s="43">
        <v>1.0685544070608497</v>
      </c>
      <c r="CM78" s="98">
        <v>1.0244252856486797</v>
      </c>
      <c r="CN78" s="98">
        <v>0.55847388059701486</v>
      </c>
      <c r="CO78" s="98">
        <v>0.99369161110792181</v>
      </c>
      <c r="CP78" s="98">
        <v>0.61034470873469404</v>
      </c>
      <c r="CQ78" s="289">
        <v>0.02</v>
      </c>
      <c r="CR78" s="98"/>
      <c r="CS78" s="98">
        <f t="shared" si="11"/>
        <v>7.5448128985653238</v>
      </c>
      <c r="CT78" s="30"/>
      <c r="CU78" s="50" t="s">
        <v>201</v>
      </c>
      <c r="CV78" s="47" t="s">
        <v>192</v>
      </c>
      <c r="CW78" s="48" t="s">
        <v>198</v>
      </c>
      <c r="CX78" s="48" t="s">
        <v>198</v>
      </c>
      <c r="CY78" s="48" t="s">
        <v>198</v>
      </c>
      <c r="CZ78" s="184"/>
      <c r="DA78" s="30"/>
      <c r="DB78" s="30"/>
      <c r="DC78" s="30"/>
    </row>
    <row r="79" spans="1:107" ht="15" x14ac:dyDescent="0.2">
      <c r="A79" s="240">
        <v>3</v>
      </c>
      <c r="B79" s="240" t="s">
        <v>175</v>
      </c>
      <c r="C79" s="240" t="s">
        <v>202</v>
      </c>
      <c r="D79" s="241">
        <v>856</v>
      </c>
      <c r="E79" s="84">
        <v>13.1</v>
      </c>
      <c r="F79" s="68" t="s">
        <v>101</v>
      </c>
      <c r="G79" s="68">
        <v>2</v>
      </c>
      <c r="H79" s="202">
        <v>70</v>
      </c>
      <c r="I79" s="202">
        <v>35</v>
      </c>
      <c r="J79" s="202">
        <v>25</v>
      </c>
      <c r="K79" s="202">
        <v>22</v>
      </c>
      <c r="L79" s="203">
        <f t="shared" si="15"/>
        <v>105832.40251780616</v>
      </c>
      <c r="M79" s="84">
        <v>13.1</v>
      </c>
      <c r="N79" s="84">
        <v>13.3</v>
      </c>
      <c r="O79" s="84">
        <v>13.6</v>
      </c>
      <c r="P79" s="204">
        <v>13.9</v>
      </c>
      <c r="Q79" s="204">
        <v>14</v>
      </c>
      <c r="R79" s="204">
        <v>14.15</v>
      </c>
      <c r="S79" s="84">
        <v>14.15</v>
      </c>
      <c r="T79" s="85">
        <v>14.25</v>
      </c>
      <c r="U79" s="85">
        <v>14.3</v>
      </c>
      <c r="V79" s="85">
        <v>14.45</v>
      </c>
      <c r="W79" s="85">
        <v>14.55</v>
      </c>
      <c r="X79" s="83">
        <v>14.7</v>
      </c>
      <c r="Y79" s="281">
        <v>14.8</v>
      </c>
      <c r="Z79" s="177">
        <f t="shared" si="17"/>
        <v>1.5999999999999996</v>
      </c>
      <c r="AA79" s="178">
        <f t="shared" si="16"/>
        <v>0.12213740458015265</v>
      </c>
      <c r="AB79" s="177">
        <f t="shared" si="18"/>
        <v>0.79999999999999982</v>
      </c>
      <c r="AC79" s="178">
        <f t="shared" si="19"/>
        <v>0.12213740458015265</v>
      </c>
      <c r="AD79" s="179">
        <f t="shared" si="20"/>
        <v>0.24259391999999991</v>
      </c>
      <c r="AE79" s="178">
        <f t="shared" si="21"/>
        <v>0.26178427830545997</v>
      </c>
      <c r="AF79"/>
      <c r="AG79"/>
      <c r="AH79" s="175">
        <v>2</v>
      </c>
      <c r="AI79" s="175">
        <v>1</v>
      </c>
      <c r="AJ79" s="175" t="s">
        <v>101</v>
      </c>
      <c r="AK79" s="174">
        <v>2</v>
      </c>
      <c r="AL79" s="175">
        <v>45</v>
      </c>
      <c r="AM79" s="175" t="s">
        <v>103</v>
      </c>
      <c r="AN79" s="196">
        <f t="shared" si="22"/>
        <v>2.5</v>
      </c>
      <c r="AO79" s="205">
        <v>15</v>
      </c>
      <c r="AP79" s="205">
        <v>80</v>
      </c>
      <c r="AQ79" s="205">
        <v>40</v>
      </c>
      <c r="AR79" s="205">
        <v>27</v>
      </c>
      <c r="AS79" s="205">
        <v>25</v>
      </c>
      <c r="AT79" s="206">
        <f t="shared" si="23"/>
        <v>169646.00329384883</v>
      </c>
      <c r="AU79" s="205"/>
      <c r="AV79" s="174" t="s">
        <v>101</v>
      </c>
      <c r="AW79" s="174">
        <v>2</v>
      </c>
      <c r="AX79" s="175">
        <v>35</v>
      </c>
      <c r="AY79" s="175" t="s">
        <v>103</v>
      </c>
      <c r="AZ79" s="196">
        <f t="shared" si="24"/>
        <v>2.5</v>
      </c>
      <c r="BA79" s="205">
        <v>20</v>
      </c>
      <c r="BB79" s="199"/>
      <c r="BC79" s="207">
        <v>4</v>
      </c>
      <c r="BD79" s="207">
        <v>4</v>
      </c>
      <c r="BE79" s="207">
        <v>5</v>
      </c>
      <c r="BF79" s="97">
        <v>1</v>
      </c>
      <c r="BG79" s="97">
        <v>5</v>
      </c>
      <c r="BH79" s="97">
        <v>5</v>
      </c>
      <c r="BI79" s="97">
        <v>5</v>
      </c>
      <c r="BJ79" s="97">
        <v>1</v>
      </c>
      <c r="BK79" s="166">
        <v>5</v>
      </c>
      <c r="BL79" s="166">
        <v>3</v>
      </c>
      <c r="BM79" s="166">
        <v>1</v>
      </c>
      <c r="BN79" s="307">
        <v>1</v>
      </c>
      <c r="BP79" s="43">
        <v>1.9</v>
      </c>
      <c r="BQ79" s="43">
        <v>2.7</v>
      </c>
      <c r="BR79" s="43">
        <v>1.8</v>
      </c>
      <c r="BS79" s="98">
        <v>1.9</v>
      </c>
      <c r="BT79" s="43">
        <v>2.4</v>
      </c>
      <c r="BU79" s="43">
        <v>1.6</v>
      </c>
      <c r="BV79" s="43">
        <v>1.9</v>
      </c>
      <c r="BW79" s="43">
        <v>1.5</v>
      </c>
      <c r="BX79" s="43">
        <v>2.2999999999999998</v>
      </c>
      <c r="BY79" s="43">
        <v>2.1</v>
      </c>
      <c r="BZ79" s="43">
        <f t="shared" si="14"/>
        <v>2.1714285714285713</v>
      </c>
      <c r="CA79" s="289">
        <v>1.6</v>
      </c>
      <c r="CB79" s="30"/>
      <c r="CC79" s="212"/>
      <c r="CD79" s="24" t="s">
        <v>177</v>
      </c>
      <c r="CE79" s="24">
        <v>856</v>
      </c>
      <c r="CF79" s="43">
        <v>0.66597104888059699</v>
      </c>
      <c r="CG79" s="43">
        <v>0.52945620783582092</v>
      </c>
      <c r="CH79" s="109">
        <v>0.77481396268656721</v>
      </c>
      <c r="CI79" s="43">
        <v>0.86073124298507475</v>
      </c>
      <c r="CJ79" s="43">
        <v>1.1189506158805971</v>
      </c>
      <c r="CK79" s="43">
        <v>1.126554904477612</v>
      </c>
      <c r="CL79" s="43">
        <v>0.8301736895235361</v>
      </c>
      <c r="CM79" s="98">
        <v>0.62261836287313443</v>
      </c>
      <c r="CN79" s="98">
        <v>0.3425247416762342</v>
      </c>
      <c r="CO79" s="98">
        <v>0.8845792740671643</v>
      </c>
      <c r="CP79" s="98">
        <v>0.6475320555918368</v>
      </c>
      <c r="CQ79" s="289">
        <v>0.47</v>
      </c>
      <c r="CR79" s="98"/>
      <c r="CS79" s="98">
        <f t="shared" si="11"/>
        <v>6.2050992407090702</v>
      </c>
      <c r="CT79" s="30"/>
      <c r="CU79" s="49" t="s">
        <v>191</v>
      </c>
      <c r="CV79" s="47" t="s">
        <v>192</v>
      </c>
      <c r="CW79" s="48"/>
      <c r="CX79" s="48"/>
      <c r="CY79" s="48"/>
      <c r="CZ79" s="184"/>
      <c r="DA79" s="30"/>
      <c r="DB79" s="30"/>
      <c r="DC79" s="30"/>
    </row>
    <row r="80" spans="1:107" ht="15" x14ac:dyDescent="0.2">
      <c r="A80" s="240">
        <v>3</v>
      </c>
      <c r="B80" s="240" t="s">
        <v>175</v>
      </c>
      <c r="C80" s="240" t="s">
        <v>203</v>
      </c>
      <c r="D80" s="241">
        <v>859</v>
      </c>
      <c r="E80" s="84">
        <v>18.3</v>
      </c>
      <c r="F80" s="68" t="s">
        <v>102</v>
      </c>
      <c r="G80" s="68">
        <v>1</v>
      </c>
      <c r="H80" s="202">
        <v>80</v>
      </c>
      <c r="I80" s="202">
        <v>50</v>
      </c>
      <c r="J80" s="202">
        <v>30</v>
      </c>
      <c r="K80" s="202">
        <v>20</v>
      </c>
      <c r="L80" s="203">
        <f t="shared" si="15"/>
        <v>188495.55921538759</v>
      </c>
      <c r="M80" s="84">
        <v>18.3</v>
      </c>
      <c r="N80" s="84">
        <v>18.399999999999999</v>
      </c>
      <c r="O80" s="84">
        <v>18.7</v>
      </c>
      <c r="P80" s="204">
        <v>18.899999999999999</v>
      </c>
      <c r="Q80" s="204">
        <v>19</v>
      </c>
      <c r="R80" s="204">
        <v>19.05</v>
      </c>
      <c r="S80" s="84">
        <v>19.05</v>
      </c>
      <c r="T80" s="85">
        <v>19.2</v>
      </c>
      <c r="U80" s="85">
        <v>19.3</v>
      </c>
      <c r="V80" s="85">
        <v>19.39</v>
      </c>
      <c r="W80" s="85">
        <v>19.579999999999998</v>
      </c>
      <c r="X80" s="83">
        <v>19.7</v>
      </c>
      <c r="Y80" s="281">
        <v>20</v>
      </c>
      <c r="Z80" s="177">
        <f t="shared" si="17"/>
        <v>1.3999999999999986</v>
      </c>
      <c r="AA80" s="178">
        <f t="shared" si="16"/>
        <v>7.6502732240437077E-2</v>
      </c>
      <c r="AB80" s="177">
        <f t="shared" si="18"/>
        <v>0.69999999999999929</v>
      </c>
      <c r="AC80" s="178">
        <f t="shared" si="19"/>
        <v>7.6502732240437077E-2</v>
      </c>
      <c r="AD80" s="179">
        <f t="shared" si="20"/>
        <v>0.29015279999999977</v>
      </c>
      <c r="AE80" s="178">
        <f t="shared" si="21"/>
        <v>0.16044671384633744</v>
      </c>
      <c r="AF80"/>
      <c r="AG80"/>
      <c r="AH80" s="175">
        <v>2</v>
      </c>
      <c r="AI80" s="175">
        <v>1</v>
      </c>
      <c r="AJ80" s="175" t="s">
        <v>102</v>
      </c>
      <c r="AK80" s="174">
        <v>1</v>
      </c>
      <c r="AL80" s="175">
        <v>65</v>
      </c>
      <c r="AM80" s="175" t="s">
        <v>103</v>
      </c>
      <c r="AN80" s="196">
        <f t="shared" si="22"/>
        <v>2.5</v>
      </c>
      <c r="AO80" s="205">
        <v>20</v>
      </c>
      <c r="AP80" s="205">
        <v>75</v>
      </c>
      <c r="AQ80" s="205">
        <v>45</v>
      </c>
      <c r="AR80" s="205">
        <v>36</v>
      </c>
      <c r="AS80" s="205">
        <v>33</v>
      </c>
      <c r="AT80" s="206">
        <f t="shared" si="23"/>
        <v>314905.39361420687</v>
      </c>
      <c r="AU80" s="205"/>
      <c r="AV80" s="174" t="s">
        <v>101</v>
      </c>
      <c r="AW80" s="174">
        <v>2</v>
      </c>
      <c r="AX80" s="175">
        <v>35</v>
      </c>
      <c r="AY80" s="175" t="s">
        <v>103</v>
      </c>
      <c r="AZ80" s="196">
        <f t="shared" si="24"/>
        <v>2.5</v>
      </c>
      <c r="BA80" s="205">
        <v>20</v>
      </c>
      <c r="BB80" s="199"/>
      <c r="BC80" s="207">
        <v>5</v>
      </c>
      <c r="BD80" s="207">
        <v>1</v>
      </c>
      <c r="BE80" s="207">
        <v>3</v>
      </c>
      <c r="BF80" s="97">
        <v>2</v>
      </c>
      <c r="BG80" s="97">
        <v>3</v>
      </c>
      <c r="BH80" s="97">
        <v>5</v>
      </c>
      <c r="BI80" s="97">
        <v>5</v>
      </c>
      <c r="BJ80" s="97">
        <v>2</v>
      </c>
      <c r="BK80" s="166">
        <v>5</v>
      </c>
      <c r="BL80" s="166">
        <v>2</v>
      </c>
      <c r="BM80" s="166">
        <v>2</v>
      </c>
      <c r="BN80" s="307">
        <v>1</v>
      </c>
      <c r="BP80" s="43">
        <v>2.4</v>
      </c>
      <c r="BQ80" s="43">
        <v>1.9</v>
      </c>
      <c r="BR80" s="43">
        <v>2</v>
      </c>
      <c r="BS80" s="98">
        <v>2</v>
      </c>
      <c r="BT80" s="43">
        <v>1.5999999999999999</v>
      </c>
      <c r="BU80" s="43">
        <v>1.8</v>
      </c>
      <c r="BV80" s="43">
        <v>2.1</v>
      </c>
      <c r="BW80" s="43">
        <v>1.8</v>
      </c>
      <c r="BX80" s="43">
        <v>1.9</v>
      </c>
      <c r="BY80" s="43">
        <v>2.0878835538749172</v>
      </c>
      <c r="BZ80" s="43">
        <f t="shared" si="14"/>
        <v>1.8368421052631581</v>
      </c>
      <c r="CA80" s="289">
        <v>1.7</v>
      </c>
      <c r="CB80" s="30"/>
      <c r="CC80" s="212"/>
      <c r="CD80" s="24" t="s">
        <v>177</v>
      </c>
      <c r="CE80" s="24">
        <v>859</v>
      </c>
      <c r="CF80" s="43">
        <v>0.96667265820895532</v>
      </c>
      <c r="CG80" s="43">
        <v>0.58357019888059702</v>
      </c>
      <c r="CH80" s="109">
        <v>0.91009894029850746</v>
      </c>
      <c r="CI80" s="43">
        <v>1.0609708029850748</v>
      </c>
      <c r="CJ80" s="43">
        <v>0.37776537886567169</v>
      </c>
      <c r="CK80" s="43">
        <v>1.071825981716418</v>
      </c>
      <c r="CL80" s="43">
        <v>0.9751800523536166</v>
      </c>
      <c r="CM80" s="98">
        <v>0.81876251891504026</v>
      </c>
      <c r="CN80" s="98">
        <v>0.21010309988518944</v>
      </c>
      <c r="CO80" s="98">
        <v>1.0226419308266361</v>
      </c>
      <c r="CP80" s="98">
        <v>0.40492888799999999</v>
      </c>
      <c r="CQ80" s="289">
        <v>0.38</v>
      </c>
      <c r="CR80" s="98"/>
      <c r="CS80" s="98">
        <f t="shared" si="11"/>
        <v>6.3980732503485651</v>
      </c>
      <c r="CT80" s="30"/>
      <c r="CU80" s="50" t="s">
        <v>184</v>
      </c>
      <c r="CV80" s="47"/>
      <c r="CW80" s="48"/>
      <c r="CX80" s="48"/>
      <c r="CY80" s="48"/>
      <c r="CZ80" s="184"/>
      <c r="DA80" s="30"/>
      <c r="DB80" s="30"/>
      <c r="DC80" s="30"/>
    </row>
    <row r="81" spans="1:107" ht="15" x14ac:dyDescent="0.2">
      <c r="A81" s="240">
        <v>3</v>
      </c>
      <c r="B81" s="240" t="s">
        <v>175</v>
      </c>
      <c r="C81" s="240" t="s">
        <v>204</v>
      </c>
      <c r="D81" s="241">
        <v>861</v>
      </c>
      <c r="E81" s="84">
        <v>13.5</v>
      </c>
      <c r="F81" s="68" t="s">
        <v>101</v>
      </c>
      <c r="G81" s="68">
        <v>2</v>
      </c>
      <c r="H81" s="202">
        <v>72</v>
      </c>
      <c r="I81" s="202">
        <v>50</v>
      </c>
      <c r="J81" s="202">
        <v>19</v>
      </c>
      <c r="K81" s="202">
        <v>18</v>
      </c>
      <c r="L81" s="203">
        <f t="shared" si="15"/>
        <v>96698.221877493837</v>
      </c>
      <c r="M81" s="84">
        <v>13.5</v>
      </c>
      <c r="N81" s="84">
        <v>13.6</v>
      </c>
      <c r="O81" s="84">
        <v>13.8</v>
      </c>
      <c r="P81" s="84">
        <v>14.1</v>
      </c>
      <c r="Q81" s="204">
        <v>14.3</v>
      </c>
      <c r="R81" s="204">
        <v>14.3</v>
      </c>
      <c r="S81" s="84">
        <v>14.35</v>
      </c>
      <c r="T81" s="85">
        <v>14.44</v>
      </c>
      <c r="U81" s="85">
        <v>14.54</v>
      </c>
      <c r="V81" s="85">
        <v>14.68</v>
      </c>
      <c r="W81" s="85">
        <v>14.83</v>
      </c>
      <c r="X81" s="83">
        <v>15.1</v>
      </c>
      <c r="Y81" s="281">
        <v>15.2</v>
      </c>
      <c r="Z81" s="177">
        <f t="shared" si="17"/>
        <v>1.5999999999999996</v>
      </c>
      <c r="AA81" s="178">
        <f t="shared" si="16"/>
        <v>0.1185185185185185</v>
      </c>
      <c r="AB81" s="177">
        <f t="shared" si="18"/>
        <v>0.79999999999999982</v>
      </c>
      <c r="AC81" s="178">
        <f t="shared" si="19"/>
        <v>0.1185185185185185</v>
      </c>
      <c r="AD81" s="179">
        <f t="shared" si="20"/>
        <v>0.24957503999999986</v>
      </c>
      <c r="AE81" s="178">
        <f t="shared" si="21"/>
        <v>0.2535945130315499</v>
      </c>
      <c r="AF81"/>
      <c r="AG81"/>
      <c r="AH81" s="175">
        <v>2</v>
      </c>
      <c r="AI81" s="175">
        <v>1</v>
      </c>
      <c r="AJ81" s="175" t="s">
        <v>102</v>
      </c>
      <c r="AK81" s="174">
        <v>1</v>
      </c>
      <c r="AL81" s="175">
        <v>55</v>
      </c>
      <c r="AM81" s="175" t="s">
        <v>103</v>
      </c>
      <c r="AN81" s="196">
        <f t="shared" si="22"/>
        <v>2.5</v>
      </c>
      <c r="AO81" s="205">
        <v>15</v>
      </c>
      <c r="AP81" s="205">
        <v>80</v>
      </c>
      <c r="AQ81" s="205">
        <v>45</v>
      </c>
      <c r="AR81" s="205">
        <v>37</v>
      </c>
      <c r="AS81" s="205">
        <v>26</v>
      </c>
      <c r="AT81" s="206">
        <f t="shared" si="23"/>
        <v>271999.09194780426</v>
      </c>
      <c r="AU81" s="205"/>
      <c r="AV81" s="174" t="s">
        <v>102</v>
      </c>
      <c r="AW81" s="174">
        <v>1</v>
      </c>
      <c r="AX81" s="175">
        <v>30</v>
      </c>
      <c r="AY81" s="175" t="s">
        <v>103</v>
      </c>
      <c r="AZ81" s="196">
        <f t="shared" si="24"/>
        <v>2.5</v>
      </c>
      <c r="BA81" s="205">
        <v>10</v>
      </c>
      <c r="BB81" s="199"/>
      <c r="BC81" s="207">
        <v>5</v>
      </c>
      <c r="BD81" s="207">
        <v>5</v>
      </c>
      <c r="BE81" s="207">
        <v>5</v>
      </c>
      <c r="BF81" s="97">
        <v>4</v>
      </c>
      <c r="BG81" s="97">
        <v>5</v>
      </c>
      <c r="BH81" s="97">
        <v>5</v>
      </c>
      <c r="BI81" s="97">
        <v>5</v>
      </c>
      <c r="BJ81" s="97">
        <v>4</v>
      </c>
      <c r="BK81" s="166">
        <v>5</v>
      </c>
      <c r="BL81" s="166">
        <v>4</v>
      </c>
      <c r="BM81" s="166">
        <v>1</v>
      </c>
      <c r="BN81" s="307">
        <v>1</v>
      </c>
      <c r="BP81" s="43">
        <v>1.7</v>
      </c>
      <c r="BQ81" s="43">
        <v>2.6</v>
      </c>
      <c r="BR81" s="43">
        <v>1.5</v>
      </c>
      <c r="BS81" s="98">
        <v>1.7</v>
      </c>
      <c r="BT81" s="43">
        <v>1.6174805204480218</v>
      </c>
      <c r="BU81" s="43">
        <v>1.9</v>
      </c>
      <c r="BV81" s="43">
        <v>1.8</v>
      </c>
      <c r="BW81" s="43">
        <v>1.5</v>
      </c>
      <c r="BX81" s="43">
        <v>1.8</v>
      </c>
      <c r="BY81" s="43">
        <v>1.7902302382928252</v>
      </c>
      <c r="BZ81" s="43">
        <f t="shared" si="14"/>
        <v>1.7138102457671216</v>
      </c>
      <c r="CA81" s="289">
        <v>1.3</v>
      </c>
      <c r="CB81" s="30"/>
      <c r="CC81" s="212"/>
      <c r="CD81" s="24" t="s">
        <v>177</v>
      </c>
      <c r="CE81" s="24">
        <v>861</v>
      </c>
      <c r="CF81" s="43">
        <v>0.62200343115671652</v>
      </c>
      <c r="CG81" s="43">
        <v>0.53437566156716432</v>
      </c>
      <c r="CH81" s="109">
        <v>0.68257420522388057</v>
      </c>
      <c r="CI81" s="43">
        <v>0.91333148561194044</v>
      </c>
      <c r="CJ81" s="43">
        <v>1.0374450668978188</v>
      </c>
      <c r="CK81" s="43">
        <v>1.0475361789179105</v>
      </c>
      <c r="CL81" s="43">
        <v>1.007491236509759</v>
      </c>
      <c r="CM81" s="98">
        <v>0.82151921082089552</v>
      </c>
      <c r="CN81" s="98">
        <v>0.393810447761194</v>
      </c>
      <c r="CO81" s="98">
        <v>1.0712396237944892</v>
      </c>
      <c r="CP81" s="98">
        <v>0.37541512065306115</v>
      </c>
      <c r="CQ81" s="289">
        <v>0.37</v>
      </c>
      <c r="CR81" s="98"/>
      <c r="CS81" s="98">
        <f t="shared" si="11"/>
        <v>6.5050612386094144</v>
      </c>
      <c r="CT81" s="30"/>
      <c r="CU81" s="50" t="s">
        <v>184</v>
      </c>
      <c r="CV81" s="47"/>
      <c r="CW81" s="48"/>
      <c r="CX81" s="48"/>
      <c r="CY81" s="48"/>
      <c r="CZ81" s="184"/>
      <c r="DA81" s="30"/>
      <c r="DB81" s="30"/>
      <c r="DC81" s="30"/>
    </row>
    <row r="82" spans="1:107" ht="15" x14ac:dyDescent="0.2">
      <c r="A82" s="240">
        <v>3</v>
      </c>
      <c r="B82" s="240" t="s">
        <v>175</v>
      </c>
      <c r="C82" s="240" t="s">
        <v>205</v>
      </c>
      <c r="D82" s="241">
        <v>862</v>
      </c>
      <c r="E82" s="84">
        <v>17.3</v>
      </c>
      <c r="F82" s="68" t="s">
        <v>102</v>
      </c>
      <c r="G82" s="68">
        <v>1</v>
      </c>
      <c r="H82" s="202">
        <v>85</v>
      </c>
      <c r="I82" s="202">
        <v>65</v>
      </c>
      <c r="J82" s="202">
        <v>29</v>
      </c>
      <c r="K82" s="202">
        <v>20</v>
      </c>
      <c r="L82" s="203">
        <f t="shared" si="15"/>
        <v>251680.84146071228</v>
      </c>
      <c r="M82" s="84">
        <v>17.3</v>
      </c>
      <c r="N82" s="84">
        <v>17.399999999999999</v>
      </c>
      <c r="O82" s="84">
        <v>17.7</v>
      </c>
      <c r="P82" s="204">
        <v>17.7</v>
      </c>
      <c r="Q82" s="204">
        <v>17.8</v>
      </c>
      <c r="R82" s="204">
        <v>17.899999999999999</v>
      </c>
      <c r="S82" s="84">
        <v>17.95</v>
      </c>
      <c r="T82" s="85">
        <v>18.05</v>
      </c>
      <c r="U82" s="85">
        <v>18.059999999999999</v>
      </c>
      <c r="V82" s="85">
        <v>18.2</v>
      </c>
      <c r="W82" s="85">
        <v>18.29</v>
      </c>
      <c r="X82" s="83">
        <v>18.5</v>
      </c>
      <c r="Y82" s="281">
        <v>18.600000000000001</v>
      </c>
      <c r="Z82" s="177">
        <f t="shared" si="17"/>
        <v>1.1999999999999993</v>
      </c>
      <c r="AA82" s="178">
        <f t="shared" si="16"/>
        <v>6.9364161849710934E-2</v>
      </c>
      <c r="AB82" s="177">
        <f t="shared" si="18"/>
        <v>0.59999999999999964</v>
      </c>
      <c r="AC82" s="178">
        <f t="shared" si="19"/>
        <v>6.9364161849710934E-2</v>
      </c>
      <c r="AD82" s="179">
        <f t="shared" si="20"/>
        <v>0.23430383999999971</v>
      </c>
      <c r="AE82" s="178">
        <f t="shared" si="21"/>
        <v>0.14497510775502001</v>
      </c>
      <c r="AF82"/>
      <c r="AG82"/>
      <c r="AH82" s="175">
        <v>2</v>
      </c>
      <c r="AI82" s="175">
        <v>1</v>
      </c>
      <c r="AJ82" s="175" t="s">
        <v>101</v>
      </c>
      <c r="AK82" s="174">
        <v>2</v>
      </c>
      <c r="AL82" s="175">
        <v>65</v>
      </c>
      <c r="AM82" s="175" t="s">
        <v>103</v>
      </c>
      <c r="AN82" s="196">
        <f t="shared" si="22"/>
        <v>2.5</v>
      </c>
      <c r="AO82" s="205">
        <v>10</v>
      </c>
      <c r="AP82" s="205">
        <v>80</v>
      </c>
      <c r="AQ82" s="205">
        <v>50</v>
      </c>
      <c r="AR82" s="205">
        <v>32</v>
      </c>
      <c r="AS82" s="205">
        <v>27</v>
      </c>
      <c r="AT82" s="206">
        <f t="shared" si="23"/>
        <v>271433.60527015809</v>
      </c>
      <c r="AU82" s="205"/>
      <c r="AV82" s="174" t="s">
        <v>102</v>
      </c>
      <c r="AW82" s="174">
        <v>1</v>
      </c>
      <c r="AX82" s="175">
        <v>60</v>
      </c>
      <c r="AY82" s="175" t="s">
        <v>103</v>
      </c>
      <c r="AZ82" s="196">
        <f t="shared" si="24"/>
        <v>2.5</v>
      </c>
      <c r="BA82" s="205">
        <v>15</v>
      </c>
      <c r="BB82" s="199"/>
      <c r="BC82" s="207">
        <v>5</v>
      </c>
      <c r="BD82" s="207">
        <v>2</v>
      </c>
      <c r="BE82" s="207">
        <v>4</v>
      </c>
      <c r="BF82" s="97">
        <v>1</v>
      </c>
      <c r="BG82" s="97">
        <v>5</v>
      </c>
      <c r="BH82" s="97">
        <v>5</v>
      </c>
      <c r="BI82" s="97">
        <v>5</v>
      </c>
      <c r="BJ82" s="97">
        <v>1</v>
      </c>
      <c r="BK82" s="166">
        <v>5</v>
      </c>
      <c r="BL82" s="166">
        <v>1</v>
      </c>
      <c r="BM82" s="166">
        <v>2</v>
      </c>
      <c r="BN82" s="307">
        <v>2</v>
      </c>
      <c r="BP82" s="43">
        <v>1.6</v>
      </c>
      <c r="BQ82" s="43">
        <v>2.5</v>
      </c>
      <c r="BR82" s="43">
        <v>1.5</v>
      </c>
      <c r="BS82" s="98">
        <v>2.1</v>
      </c>
      <c r="BT82" s="43">
        <v>1.806836316802398</v>
      </c>
      <c r="BU82" s="43">
        <v>1.8</v>
      </c>
      <c r="BV82" s="43">
        <v>1.4</v>
      </c>
      <c r="BW82" s="43">
        <v>1.2</v>
      </c>
      <c r="BX82" s="43">
        <v>2.1</v>
      </c>
      <c r="BY82" s="43">
        <v>1.8692323995029771</v>
      </c>
      <c r="BZ82" s="43">
        <f t="shared" si="14"/>
        <v>1.619065709047445</v>
      </c>
      <c r="CA82" s="289">
        <v>1.2</v>
      </c>
      <c r="CB82" s="30"/>
      <c r="CC82" s="212"/>
      <c r="CD82" s="24" t="s">
        <v>177</v>
      </c>
      <c r="CE82" s="24">
        <v>862</v>
      </c>
      <c r="CF82" s="43">
        <v>0.68872352238805978</v>
      </c>
      <c r="CG82" s="43">
        <v>0.5549758740671642</v>
      </c>
      <c r="CH82" s="109">
        <v>0.68257420522388057</v>
      </c>
      <c r="CI82" s="43">
        <v>0.73162155653731353</v>
      </c>
      <c r="CJ82" s="43">
        <v>1.145137459540758</v>
      </c>
      <c r="CK82" s="43">
        <v>1.105647226119403</v>
      </c>
      <c r="CL82" s="43">
        <v>0.7938497860505167</v>
      </c>
      <c r="CM82" s="98">
        <v>0.69306123386911611</v>
      </c>
      <c r="CN82" s="98">
        <v>0.29814799081515497</v>
      </c>
      <c r="CO82" s="98">
        <v>1.0708793006745121</v>
      </c>
      <c r="CP82" s="98">
        <v>0.45097036506122445</v>
      </c>
      <c r="CQ82" s="289">
        <v>0.03</v>
      </c>
      <c r="CR82" s="98"/>
      <c r="CS82" s="98">
        <f t="shared" si="11"/>
        <v>6.2116945242287027</v>
      </c>
      <c r="CT82" s="30"/>
      <c r="CU82" s="49" t="s">
        <v>191</v>
      </c>
      <c r="CV82" s="47"/>
      <c r="CW82" s="48"/>
      <c r="CX82" s="48" t="s">
        <v>206</v>
      </c>
      <c r="CY82" s="48" t="s">
        <v>206</v>
      </c>
      <c r="CZ82" s="184"/>
      <c r="DA82" s="30"/>
      <c r="DB82" s="30"/>
      <c r="DC82" s="30"/>
    </row>
    <row r="83" spans="1:107" ht="15" x14ac:dyDescent="0.2">
      <c r="A83" s="240">
        <v>3</v>
      </c>
      <c r="B83" s="240" t="s">
        <v>175</v>
      </c>
      <c r="C83" s="240" t="s">
        <v>207</v>
      </c>
      <c r="D83" s="241">
        <v>865</v>
      </c>
      <c r="E83" s="84">
        <v>16.2</v>
      </c>
      <c r="F83" s="68" t="s">
        <v>101</v>
      </c>
      <c r="G83" s="68">
        <v>2</v>
      </c>
      <c r="H83" s="202">
        <v>80</v>
      </c>
      <c r="I83" s="202">
        <v>60</v>
      </c>
      <c r="J83" s="202">
        <v>26</v>
      </c>
      <c r="K83" s="202">
        <v>24</v>
      </c>
      <c r="L83" s="203">
        <f t="shared" si="15"/>
        <v>235242.45790080371</v>
      </c>
      <c r="M83" s="84">
        <v>16.2</v>
      </c>
      <c r="N83" s="84">
        <v>16.3</v>
      </c>
      <c r="O83" s="84">
        <v>16.5</v>
      </c>
      <c r="P83" s="204">
        <v>16.899999999999999</v>
      </c>
      <c r="Q83" s="204">
        <v>17</v>
      </c>
      <c r="R83" s="204">
        <v>17.2</v>
      </c>
      <c r="S83" s="84">
        <v>17.27</v>
      </c>
      <c r="T83" s="85">
        <v>17.324999999999999</v>
      </c>
      <c r="U83" s="85">
        <v>17.420000000000002</v>
      </c>
      <c r="V83" s="85">
        <v>17.59</v>
      </c>
      <c r="W83" s="85">
        <v>17.739999999999998</v>
      </c>
      <c r="X83" s="83">
        <v>18</v>
      </c>
      <c r="Y83" s="281">
        <v>18.100000000000001</v>
      </c>
      <c r="Z83" s="177">
        <f t="shared" si="17"/>
        <v>1.8000000000000007</v>
      </c>
      <c r="AA83" s="178">
        <f t="shared" si="16"/>
        <v>0.11111111111111116</v>
      </c>
      <c r="AB83" s="177">
        <f t="shared" si="18"/>
        <v>0.90000000000000036</v>
      </c>
      <c r="AC83" s="178">
        <f t="shared" si="19"/>
        <v>0.11111111111111116</v>
      </c>
      <c r="AD83" s="179">
        <f t="shared" si="20"/>
        <v>0.33574823999999981</v>
      </c>
      <c r="AE83" s="178">
        <f t="shared" si="21"/>
        <v>0.23691358024691345</v>
      </c>
      <c r="AF83"/>
      <c r="AG83"/>
      <c r="AH83" s="175">
        <v>2</v>
      </c>
      <c r="AI83" s="175">
        <v>1</v>
      </c>
      <c r="AJ83" s="175" t="s">
        <v>102</v>
      </c>
      <c r="AK83" s="174">
        <v>1</v>
      </c>
      <c r="AL83" s="175">
        <v>75</v>
      </c>
      <c r="AM83" s="175" t="s">
        <v>103</v>
      </c>
      <c r="AN83" s="196">
        <f t="shared" si="22"/>
        <v>2.5</v>
      </c>
      <c r="AO83" s="205">
        <v>10</v>
      </c>
      <c r="AP83" s="205">
        <v>80</v>
      </c>
      <c r="AQ83" s="205">
        <v>55</v>
      </c>
      <c r="AR83" s="205">
        <v>30</v>
      </c>
      <c r="AS83" s="205">
        <v>30</v>
      </c>
      <c r="AT83" s="206">
        <f t="shared" si="23"/>
        <v>311017.6727053895</v>
      </c>
      <c r="AU83" s="205"/>
      <c r="AV83" s="174" t="s">
        <v>102</v>
      </c>
      <c r="AW83" s="174">
        <v>1</v>
      </c>
      <c r="AX83" s="175">
        <v>65</v>
      </c>
      <c r="AY83" s="175" t="s">
        <v>103</v>
      </c>
      <c r="AZ83" s="196">
        <f t="shared" si="24"/>
        <v>2.5</v>
      </c>
      <c r="BA83" s="205">
        <v>15</v>
      </c>
      <c r="BB83" s="199"/>
      <c r="BC83" s="207">
        <v>3</v>
      </c>
      <c r="BD83" s="207">
        <v>2</v>
      </c>
      <c r="BE83" s="207">
        <v>4</v>
      </c>
      <c r="BF83" s="97">
        <v>1</v>
      </c>
      <c r="BG83" s="97">
        <v>5</v>
      </c>
      <c r="BH83" s="97">
        <v>5</v>
      </c>
      <c r="BI83" s="97">
        <v>5</v>
      </c>
      <c r="BJ83" s="97">
        <v>1</v>
      </c>
      <c r="BK83" s="166">
        <v>5</v>
      </c>
      <c r="BL83" s="166">
        <v>1</v>
      </c>
      <c r="BM83" s="166">
        <v>2</v>
      </c>
      <c r="BN83" s="307">
        <v>1</v>
      </c>
      <c r="BP83" s="43">
        <v>1.9</v>
      </c>
      <c r="BQ83" s="43"/>
      <c r="BR83" s="43">
        <v>1.6</v>
      </c>
      <c r="BS83" s="98">
        <v>1.4</v>
      </c>
      <c r="BT83" s="43">
        <v>2</v>
      </c>
      <c r="BU83" s="43">
        <v>2</v>
      </c>
      <c r="BV83" s="43">
        <v>1.8</v>
      </c>
      <c r="BW83" s="43">
        <v>1.4</v>
      </c>
      <c r="BX83" s="43">
        <v>1.3</v>
      </c>
      <c r="BY83" s="43">
        <v>1.9</v>
      </c>
      <c r="BZ83" s="43">
        <f t="shared" si="14"/>
        <v>1.8823529411764708</v>
      </c>
      <c r="CA83" s="289">
        <v>1</v>
      </c>
      <c r="CB83" s="30"/>
      <c r="CC83" s="212"/>
      <c r="CD83" s="24" t="s">
        <v>177</v>
      </c>
      <c r="CE83" s="24">
        <v>865</v>
      </c>
      <c r="CF83" s="43">
        <v>0.45566440186567164</v>
      </c>
      <c r="CG83" s="43"/>
      <c r="CH83" s="109">
        <v>0.58049554029850758</v>
      </c>
      <c r="CI83" s="43">
        <v>0.53377291665671633</v>
      </c>
      <c r="CJ83" s="43">
        <v>0.61566193074626874</v>
      </c>
      <c r="CK83" s="43">
        <v>0.83630713432835824</v>
      </c>
      <c r="CL83" s="43">
        <v>0.5755760865671643</v>
      </c>
      <c r="CM83" s="98">
        <v>0.38310245932835824</v>
      </c>
      <c r="CN83" s="98">
        <v>0.28858174512055107</v>
      </c>
      <c r="CO83" s="98">
        <v>0.71854771063432832</v>
      </c>
      <c r="CP83" s="98">
        <v>0.5268207471428572</v>
      </c>
      <c r="CQ83" s="289">
        <v>0</v>
      </c>
      <c r="CR83" s="98"/>
      <c r="CS83" s="98">
        <f t="shared" si="11"/>
        <v>4.9261332597984433</v>
      </c>
      <c r="CT83" s="30"/>
      <c r="CU83" s="49"/>
      <c r="CV83" s="47"/>
      <c r="CW83" s="48"/>
      <c r="CX83" s="48"/>
      <c r="CY83" s="48"/>
      <c r="CZ83" s="184"/>
      <c r="DA83" s="30"/>
      <c r="DB83" s="30"/>
      <c r="DC83" s="30"/>
    </row>
    <row r="84" spans="1:107" ht="15" x14ac:dyDescent="0.2">
      <c r="A84" s="240">
        <v>3</v>
      </c>
      <c r="B84" s="240" t="s">
        <v>175</v>
      </c>
      <c r="C84" s="240" t="s">
        <v>208</v>
      </c>
      <c r="D84" s="241">
        <v>866</v>
      </c>
      <c r="E84" s="84">
        <v>15.6</v>
      </c>
      <c r="F84" s="68" t="s">
        <v>102</v>
      </c>
      <c r="G84" s="68">
        <v>1</v>
      </c>
      <c r="H84" s="202">
        <v>78</v>
      </c>
      <c r="I84" s="202">
        <v>50</v>
      </c>
      <c r="J84" s="202">
        <v>23</v>
      </c>
      <c r="K84" s="202">
        <v>21</v>
      </c>
      <c r="L84" s="203">
        <f t="shared" si="15"/>
        <v>147945.45203917733</v>
      </c>
      <c r="M84" s="84">
        <v>15.6</v>
      </c>
      <c r="N84" s="84">
        <v>15.6</v>
      </c>
      <c r="O84" s="84">
        <v>15.6</v>
      </c>
      <c r="P84" s="204">
        <v>15.7</v>
      </c>
      <c r="Q84" s="204">
        <v>15.7</v>
      </c>
      <c r="R84" s="204">
        <v>15.75</v>
      </c>
      <c r="S84" s="84">
        <v>15.75</v>
      </c>
      <c r="T84" s="85">
        <v>15.75</v>
      </c>
      <c r="U84" s="85">
        <v>15.77</v>
      </c>
      <c r="V84" s="85">
        <v>15.81</v>
      </c>
      <c r="W84" s="85">
        <v>15.87</v>
      </c>
      <c r="X84" s="83">
        <v>15.9</v>
      </c>
      <c r="Y84" s="281">
        <v>15.9</v>
      </c>
      <c r="Z84" s="177">
        <f t="shared" si="17"/>
        <v>0.30000000000000071</v>
      </c>
      <c r="AA84" s="178">
        <f t="shared" si="16"/>
        <v>1.9230769230769277E-2</v>
      </c>
      <c r="AB84" s="177">
        <f t="shared" si="18"/>
        <v>0.15000000000000036</v>
      </c>
      <c r="AC84" s="178">
        <f t="shared" si="19"/>
        <v>1.9230769230769277E-2</v>
      </c>
      <c r="AD84" s="179">
        <f t="shared" si="20"/>
        <v>5.1540300000000094E-2</v>
      </c>
      <c r="AE84" s="178">
        <f t="shared" si="21"/>
        <v>3.9219674556213092E-2</v>
      </c>
      <c r="AF84"/>
      <c r="AG84"/>
      <c r="AH84" s="175">
        <v>2</v>
      </c>
      <c r="AI84" s="175">
        <v>1</v>
      </c>
      <c r="AJ84" s="175" t="s">
        <v>102</v>
      </c>
      <c r="AK84" s="174">
        <v>1</v>
      </c>
      <c r="AL84" s="175">
        <v>50</v>
      </c>
      <c r="AM84" s="175" t="s">
        <v>103</v>
      </c>
      <c r="AN84" s="196">
        <f t="shared" si="22"/>
        <v>2.5</v>
      </c>
      <c r="AO84" s="205">
        <v>20</v>
      </c>
      <c r="AP84" s="205">
        <v>80</v>
      </c>
      <c r="AQ84" s="205">
        <v>45</v>
      </c>
      <c r="AR84" s="205">
        <v>31</v>
      </c>
      <c r="AS84" s="205">
        <v>31</v>
      </c>
      <c r="AT84" s="206">
        <f t="shared" si="23"/>
        <v>271716.34860898124</v>
      </c>
      <c r="AU84" s="205"/>
      <c r="AV84" s="174" t="s">
        <v>101</v>
      </c>
      <c r="AW84" s="174">
        <v>2</v>
      </c>
      <c r="AX84" s="175">
        <v>55</v>
      </c>
      <c r="AY84" s="175" t="s">
        <v>103</v>
      </c>
      <c r="AZ84" s="196">
        <f t="shared" si="24"/>
        <v>2.5</v>
      </c>
      <c r="BA84" s="205">
        <v>20</v>
      </c>
      <c r="BB84" s="199"/>
      <c r="BC84" s="207">
        <v>5</v>
      </c>
      <c r="BD84" s="207">
        <v>4</v>
      </c>
      <c r="BE84" s="207">
        <v>2</v>
      </c>
      <c r="BF84" s="97">
        <v>1</v>
      </c>
      <c r="BG84" s="97">
        <v>5</v>
      </c>
      <c r="BH84" s="97">
        <v>4</v>
      </c>
      <c r="BI84" s="97">
        <v>4</v>
      </c>
      <c r="BJ84" s="97">
        <v>1</v>
      </c>
      <c r="BK84" s="166">
        <v>1</v>
      </c>
      <c r="BL84" s="166">
        <v>1</v>
      </c>
      <c r="BM84" s="166">
        <v>3</v>
      </c>
      <c r="BN84" s="307">
        <v>3</v>
      </c>
      <c r="BP84" s="43">
        <v>2.6</v>
      </c>
      <c r="BQ84" s="43">
        <v>3.2</v>
      </c>
      <c r="BR84" s="43">
        <v>2</v>
      </c>
      <c r="BS84" s="98">
        <v>1.9</v>
      </c>
      <c r="BT84" s="43">
        <v>2.0341708542713568</v>
      </c>
      <c r="BU84" s="43">
        <v>1.4</v>
      </c>
      <c r="BV84" s="43">
        <v>1.8</v>
      </c>
      <c r="BW84" s="43">
        <v>1.3</v>
      </c>
      <c r="BX84" s="43">
        <v>1.9</v>
      </c>
      <c r="BY84" s="43">
        <v>1.7246617195600973</v>
      </c>
      <c r="BZ84" s="43">
        <f t="shared" si="14"/>
        <v>1.9348256433683571</v>
      </c>
      <c r="CA84" s="289">
        <v>1.5</v>
      </c>
      <c r="CB84" s="30"/>
      <c r="CC84" s="212"/>
      <c r="CD84" s="24" t="s">
        <v>177</v>
      </c>
      <c r="CE84" s="24">
        <v>866</v>
      </c>
      <c r="CF84" s="43">
        <v>0.85537001753731345</v>
      </c>
      <c r="CG84" s="43"/>
      <c r="CH84" s="109">
        <v>0.81170986567164194</v>
      </c>
      <c r="CI84" s="43">
        <v>0.90376780513432842</v>
      </c>
      <c r="CJ84" s="43">
        <v>1.2098055804179106</v>
      </c>
      <c r="CK84" s="43">
        <v>1.2836699580223878</v>
      </c>
      <c r="CL84" s="43">
        <v>1.0139531194029852</v>
      </c>
      <c r="CM84" s="98">
        <v>0.65189842551664767</v>
      </c>
      <c r="CN84" s="98">
        <v>0.31772336394948331</v>
      </c>
      <c r="CO84" s="98">
        <v>1.0062987667766934</v>
      </c>
      <c r="CP84" s="98">
        <v>0.50645624767346942</v>
      </c>
      <c r="CQ84" s="289">
        <v>0.3</v>
      </c>
      <c r="CR84" s="98"/>
      <c r="CS84" s="98">
        <f t="shared" si="11"/>
        <v>7.9547623727697694</v>
      </c>
      <c r="CT84" s="30"/>
      <c r="CU84" s="49" t="s">
        <v>191</v>
      </c>
      <c r="CV84" s="47"/>
      <c r="CW84" s="48"/>
      <c r="CX84" s="48"/>
      <c r="CY84" s="48"/>
      <c r="CZ84" s="184"/>
      <c r="DA84" s="30"/>
      <c r="DB84" s="30"/>
      <c r="DC84" s="30"/>
    </row>
    <row r="85" spans="1:107" ht="15" x14ac:dyDescent="0.2">
      <c r="A85" s="240">
        <v>3</v>
      </c>
      <c r="B85" s="240" t="s">
        <v>175</v>
      </c>
      <c r="C85" s="240" t="s">
        <v>209</v>
      </c>
      <c r="D85" s="241">
        <v>871</v>
      </c>
      <c r="E85" s="84">
        <v>13.5</v>
      </c>
      <c r="F85" s="68" t="s">
        <v>101</v>
      </c>
      <c r="G85" s="68">
        <v>2</v>
      </c>
      <c r="H85" s="202">
        <v>80</v>
      </c>
      <c r="I85" s="202">
        <v>55</v>
      </c>
      <c r="J85" s="202">
        <v>20</v>
      </c>
      <c r="K85" s="202">
        <v>15</v>
      </c>
      <c r="L85" s="203">
        <f t="shared" si="15"/>
        <v>103672.55756846318</v>
      </c>
      <c r="M85" s="84">
        <v>13.5</v>
      </c>
      <c r="N85" s="84">
        <v>13.6</v>
      </c>
      <c r="O85" s="84">
        <v>13.7</v>
      </c>
      <c r="P85" s="204">
        <v>13.7</v>
      </c>
      <c r="Q85" s="204">
        <v>13.8</v>
      </c>
      <c r="R85" s="204">
        <v>13.85</v>
      </c>
      <c r="S85" s="84">
        <v>13.8</v>
      </c>
      <c r="T85" s="85">
        <v>13.85</v>
      </c>
      <c r="U85" s="85">
        <v>13.86</v>
      </c>
      <c r="V85" s="85">
        <v>13.94</v>
      </c>
      <c r="W85" s="85">
        <v>13.97</v>
      </c>
      <c r="X85" s="83">
        <v>14</v>
      </c>
      <c r="Y85" s="281">
        <v>14.1</v>
      </c>
      <c r="Z85" s="177">
        <f t="shared" si="17"/>
        <v>0.5</v>
      </c>
      <c r="AA85" s="178">
        <f t="shared" si="16"/>
        <v>3.7037037037037035E-2</v>
      </c>
      <c r="AB85" s="177">
        <f t="shared" si="18"/>
        <v>0.25</v>
      </c>
      <c r="AC85" s="178">
        <f t="shared" si="19"/>
        <v>3.7037037037037035E-2</v>
      </c>
      <c r="AD85" s="179">
        <f t="shared" si="20"/>
        <v>7.4992500000000017E-2</v>
      </c>
      <c r="AE85" s="178">
        <f t="shared" si="21"/>
        <v>7.6200274348422511E-2</v>
      </c>
      <c r="AF85"/>
      <c r="AG85"/>
      <c r="AH85" s="175">
        <v>2</v>
      </c>
      <c r="AI85" s="175">
        <v>1</v>
      </c>
      <c r="AJ85" s="175" t="s">
        <v>101</v>
      </c>
      <c r="AK85" s="174">
        <v>2</v>
      </c>
      <c r="AL85" s="175">
        <v>50</v>
      </c>
      <c r="AM85" s="175" t="s">
        <v>103</v>
      </c>
      <c r="AN85" s="196">
        <f t="shared" si="22"/>
        <v>2.5</v>
      </c>
      <c r="AO85" s="205">
        <v>10</v>
      </c>
      <c r="AP85" s="205">
        <v>80</v>
      </c>
      <c r="AQ85" s="205">
        <v>50</v>
      </c>
      <c r="AR85" s="205">
        <v>26</v>
      </c>
      <c r="AS85" s="205">
        <v>19</v>
      </c>
      <c r="AT85" s="206">
        <f t="shared" si="23"/>
        <v>155194.67708733579</v>
      </c>
      <c r="AU85" s="205"/>
      <c r="AV85" s="174" t="s">
        <v>101</v>
      </c>
      <c r="AW85" s="174">
        <v>2</v>
      </c>
      <c r="AX85" s="175">
        <v>40</v>
      </c>
      <c r="AY85" s="175" t="s">
        <v>103</v>
      </c>
      <c r="AZ85" s="196">
        <f t="shared" si="24"/>
        <v>2.5</v>
      </c>
      <c r="BA85" s="205">
        <v>15</v>
      </c>
      <c r="BB85" s="199"/>
      <c r="BC85" s="207">
        <v>3</v>
      </c>
      <c r="BD85" s="207">
        <v>1</v>
      </c>
      <c r="BE85" s="207">
        <v>4</v>
      </c>
      <c r="BF85" s="97">
        <v>3</v>
      </c>
      <c r="BG85" s="97">
        <v>5</v>
      </c>
      <c r="BH85" s="97">
        <v>5</v>
      </c>
      <c r="BI85" s="97">
        <v>4</v>
      </c>
      <c r="BJ85" s="97">
        <v>3</v>
      </c>
      <c r="BK85" s="166">
        <v>4</v>
      </c>
      <c r="BL85" s="166">
        <v>1</v>
      </c>
      <c r="BM85" s="166">
        <v>2</v>
      </c>
      <c r="BN85" s="307">
        <v>3</v>
      </c>
      <c r="BP85" s="43">
        <v>2.2999999999999998</v>
      </c>
      <c r="BQ85" s="43">
        <v>1.9</v>
      </c>
      <c r="BR85" s="43">
        <v>1.8</v>
      </c>
      <c r="BS85" s="98">
        <v>2.1</v>
      </c>
      <c r="BT85" s="43">
        <v>1.8769230769230769</v>
      </c>
      <c r="BU85" s="43">
        <v>2</v>
      </c>
      <c r="BV85" s="43">
        <v>1.8</v>
      </c>
      <c r="BW85" s="43">
        <v>1.6</v>
      </c>
      <c r="BX85" s="43">
        <v>1.8</v>
      </c>
      <c r="BY85" s="43">
        <v>2.1602118547666369</v>
      </c>
      <c r="BZ85" s="43">
        <f t="shared" si="14"/>
        <v>1.8393996247654787</v>
      </c>
      <c r="CA85" s="289">
        <v>2.1</v>
      </c>
      <c r="CB85" s="30"/>
      <c r="CC85" s="212"/>
      <c r="CD85" s="24" t="s">
        <v>177</v>
      </c>
      <c r="CE85" s="24">
        <v>871</v>
      </c>
      <c r="CF85" s="43">
        <v>0.79203205074626859</v>
      </c>
      <c r="CG85" s="43">
        <v>0.39294136679104485</v>
      </c>
      <c r="CH85" s="109">
        <v>0.79695150447761187</v>
      </c>
      <c r="CI85" s="43">
        <v>0.9468043672835823</v>
      </c>
      <c r="CJ85" s="43">
        <v>1.1667690182686568</v>
      </c>
      <c r="CK85" s="43">
        <v>0.87320303731343296</v>
      </c>
      <c r="CL85" s="43">
        <v>0.95223652517221591</v>
      </c>
      <c r="CM85" s="98">
        <v>0.61128045671641806</v>
      </c>
      <c r="CN85" s="98">
        <v>0.32914971297359358</v>
      </c>
      <c r="CO85" s="98">
        <v>0.99547594804822048</v>
      </c>
      <c r="CP85" s="98">
        <v>0.49583129142857141</v>
      </c>
      <c r="CQ85" s="289">
        <v>0.33</v>
      </c>
      <c r="CR85" s="98"/>
      <c r="CS85" s="98">
        <f t="shared" si="11"/>
        <v>6.2854751902328356</v>
      </c>
      <c r="CT85" s="30"/>
      <c r="CU85" s="49" t="s">
        <v>191</v>
      </c>
      <c r="CV85" s="47"/>
      <c r="CW85" s="48"/>
      <c r="CX85" s="48"/>
      <c r="CY85" s="48"/>
      <c r="CZ85" s="184"/>
      <c r="DA85" s="30"/>
      <c r="DB85" s="30"/>
      <c r="DC85" s="30"/>
    </row>
    <row r="86" spans="1:107" ht="15" x14ac:dyDescent="0.2">
      <c r="A86" s="240">
        <v>3</v>
      </c>
      <c r="B86" s="240" t="s">
        <v>175</v>
      </c>
      <c r="C86" s="240" t="s">
        <v>210</v>
      </c>
      <c r="D86" s="241">
        <v>873</v>
      </c>
      <c r="E86" s="84">
        <v>16</v>
      </c>
      <c r="F86" s="68" t="s">
        <v>101</v>
      </c>
      <c r="G86" s="68">
        <v>2</v>
      </c>
      <c r="H86" s="202">
        <v>80</v>
      </c>
      <c r="I86" s="202">
        <v>55</v>
      </c>
      <c r="J86" s="202">
        <v>34</v>
      </c>
      <c r="K86" s="202">
        <v>24</v>
      </c>
      <c r="L86" s="203">
        <f t="shared" si="15"/>
        <v>281989.3565862198</v>
      </c>
      <c r="M86" s="84">
        <v>16</v>
      </c>
      <c r="N86" s="84">
        <v>16.2</v>
      </c>
      <c r="O86" s="84">
        <v>16.399999999999999</v>
      </c>
      <c r="P86" s="84">
        <v>16.600000000000001</v>
      </c>
      <c r="Q86" s="204">
        <v>16.7</v>
      </c>
      <c r="R86" s="204">
        <v>16.8</v>
      </c>
      <c r="S86" s="84">
        <v>16.8</v>
      </c>
      <c r="T86" s="85">
        <v>16.899999999999999</v>
      </c>
      <c r="U86" s="85">
        <v>16.989999999999998</v>
      </c>
      <c r="V86" s="85">
        <v>17.079999999999998</v>
      </c>
      <c r="W86" s="85">
        <v>17.239999999999998</v>
      </c>
      <c r="X86" s="83">
        <v>17.5</v>
      </c>
      <c r="Y86" s="281">
        <v>17.600000000000001</v>
      </c>
      <c r="Z86" s="177">
        <f t="shared" si="17"/>
        <v>1.5</v>
      </c>
      <c r="AA86" s="178">
        <f t="shared" si="16"/>
        <v>9.375E-2</v>
      </c>
      <c r="AB86" s="177">
        <f t="shared" si="18"/>
        <v>0.75</v>
      </c>
      <c r="AC86" s="178">
        <f t="shared" si="19"/>
        <v>9.375E-2</v>
      </c>
      <c r="AD86" s="179">
        <f t="shared" si="20"/>
        <v>0.27406350000000002</v>
      </c>
      <c r="AE86" s="178">
        <f t="shared" si="21"/>
        <v>0.19825195312499999</v>
      </c>
      <c r="AF86"/>
      <c r="AG86"/>
      <c r="AH86" s="175">
        <v>2</v>
      </c>
      <c r="AI86" s="175">
        <v>1</v>
      </c>
      <c r="AJ86" s="175" t="s">
        <v>102</v>
      </c>
      <c r="AK86" s="174">
        <v>1</v>
      </c>
      <c r="AL86" s="175">
        <v>70</v>
      </c>
      <c r="AM86" s="175" t="s">
        <v>103</v>
      </c>
      <c r="AN86" s="196">
        <f t="shared" si="22"/>
        <v>2.5</v>
      </c>
      <c r="AO86" s="205">
        <v>20</v>
      </c>
      <c r="AP86" s="205">
        <v>80</v>
      </c>
      <c r="AQ86" s="205">
        <v>60</v>
      </c>
      <c r="AR86" s="205">
        <v>40</v>
      </c>
      <c r="AS86" s="205">
        <v>29</v>
      </c>
      <c r="AT86" s="206">
        <f t="shared" si="23"/>
        <v>437309.69737969921</v>
      </c>
      <c r="AU86" s="205"/>
      <c r="AV86" s="174" t="s">
        <v>102</v>
      </c>
      <c r="AW86" s="174">
        <v>1</v>
      </c>
      <c r="AX86" s="175">
        <v>55</v>
      </c>
      <c r="AY86" s="175" t="s">
        <v>103</v>
      </c>
      <c r="AZ86" s="196">
        <f t="shared" si="24"/>
        <v>2.5</v>
      </c>
      <c r="BA86" s="205">
        <v>10</v>
      </c>
      <c r="BB86" s="199"/>
      <c r="BC86" s="207">
        <v>4</v>
      </c>
      <c r="BD86" s="207">
        <v>2</v>
      </c>
      <c r="BE86" s="207">
        <v>4</v>
      </c>
      <c r="BF86" s="97">
        <v>2</v>
      </c>
      <c r="BG86" s="97">
        <v>5</v>
      </c>
      <c r="BH86" s="97">
        <v>5</v>
      </c>
      <c r="BI86" s="97">
        <v>5</v>
      </c>
      <c r="BJ86" s="97">
        <v>2</v>
      </c>
      <c r="BK86" s="166">
        <v>5</v>
      </c>
      <c r="BL86" s="166">
        <v>4</v>
      </c>
      <c r="BM86" s="166">
        <v>1</v>
      </c>
      <c r="BN86" s="307">
        <v>1</v>
      </c>
      <c r="BP86" s="43">
        <v>2.1</v>
      </c>
      <c r="BQ86" s="43">
        <v>2.8</v>
      </c>
      <c r="BR86" s="43">
        <v>1.8</v>
      </c>
      <c r="BS86" s="98">
        <v>2.7</v>
      </c>
      <c r="BT86" s="43">
        <v>1.6742858631837541</v>
      </c>
      <c r="BU86" s="43">
        <v>2</v>
      </c>
      <c r="BV86" s="43">
        <v>1.6</v>
      </c>
      <c r="BW86" s="43">
        <v>1.5</v>
      </c>
      <c r="BX86" s="43">
        <v>2</v>
      </c>
      <c r="BY86" s="43">
        <v>1.7659086694837001</v>
      </c>
      <c r="BZ86" s="43">
        <f t="shared" si="14"/>
        <v>1.6426748575736461</v>
      </c>
      <c r="CA86" s="289">
        <v>1.4</v>
      </c>
      <c r="CB86" s="30"/>
      <c r="CC86" s="212"/>
      <c r="CD86" s="24" t="s">
        <v>177</v>
      </c>
      <c r="CE86" s="24">
        <v>873</v>
      </c>
      <c r="CF86" s="43">
        <v>0.87812249104477613</v>
      </c>
      <c r="CG86" s="43">
        <v>0.65766947070895521</v>
      </c>
      <c r="CH86" s="109">
        <v>0.79695150447761187</v>
      </c>
      <c r="CI86" s="43">
        <v>0.6808145040000001</v>
      </c>
      <c r="CJ86" s="43">
        <v>1.2453500332215843</v>
      </c>
      <c r="CK86" s="43">
        <v>0.97651156567164188</v>
      </c>
      <c r="CL86" s="43">
        <v>0.85029897382319175</v>
      </c>
      <c r="CM86" s="98">
        <v>0.65029029011194028</v>
      </c>
      <c r="CN86" s="98">
        <v>0.42552078071182542</v>
      </c>
      <c r="CO86" s="98">
        <v>1.0948783391791044</v>
      </c>
      <c r="CP86" s="98">
        <v>0.60473709293877553</v>
      </c>
      <c r="CQ86" s="289">
        <v>0.39</v>
      </c>
      <c r="CR86" s="98"/>
      <c r="CS86" s="98">
        <f t="shared" si="11"/>
        <v>6.6051263623605045</v>
      </c>
      <c r="CT86" s="30"/>
      <c r="CU86" s="50" t="s">
        <v>184</v>
      </c>
      <c r="CV86" s="47"/>
      <c r="CW86" s="48"/>
      <c r="CX86" s="48"/>
      <c r="CY86" s="48"/>
      <c r="CZ86" s="184"/>
      <c r="DA86" s="30"/>
      <c r="DB86" s="30"/>
      <c r="DC86" s="30"/>
    </row>
    <row r="87" spans="1:107" ht="15" x14ac:dyDescent="0.2">
      <c r="A87" s="240">
        <v>3</v>
      </c>
      <c r="B87" s="240" t="s">
        <v>175</v>
      </c>
      <c r="C87" s="240" t="s">
        <v>211</v>
      </c>
      <c r="D87" s="241">
        <v>874</v>
      </c>
      <c r="E87" s="84">
        <v>11</v>
      </c>
      <c r="F87" s="68" t="s">
        <v>101</v>
      </c>
      <c r="G87" s="68">
        <v>2</v>
      </c>
      <c r="H87" s="202">
        <v>72</v>
      </c>
      <c r="I87" s="202">
        <v>40</v>
      </c>
      <c r="J87" s="202">
        <v>25</v>
      </c>
      <c r="K87" s="202">
        <v>15</v>
      </c>
      <c r="L87" s="203">
        <f t="shared" si="15"/>
        <v>84823.001646924415</v>
      </c>
      <c r="M87" s="84">
        <v>11</v>
      </c>
      <c r="N87" s="84">
        <v>11.3</v>
      </c>
      <c r="O87" s="84">
        <v>11.5</v>
      </c>
      <c r="P87" s="84">
        <v>11.7</v>
      </c>
      <c r="Q87" s="204">
        <v>11.9</v>
      </c>
      <c r="R87" s="204">
        <v>12</v>
      </c>
      <c r="S87" s="84">
        <v>12.05</v>
      </c>
      <c r="T87" s="85">
        <v>12.15</v>
      </c>
      <c r="U87" s="85">
        <v>12.27</v>
      </c>
      <c r="V87" s="85">
        <v>12.38</v>
      </c>
      <c r="W87" s="85">
        <v>12.52</v>
      </c>
      <c r="X87" s="83">
        <v>12.7</v>
      </c>
      <c r="Y87" s="281">
        <v>12.8</v>
      </c>
      <c r="Z87" s="177">
        <f t="shared" si="17"/>
        <v>1.6999999999999993</v>
      </c>
      <c r="AA87" s="178">
        <f t="shared" si="16"/>
        <v>0.15454545454545449</v>
      </c>
      <c r="AB87" s="177">
        <f t="shared" si="18"/>
        <v>0.84999999999999964</v>
      </c>
      <c r="AC87" s="178">
        <f t="shared" si="19"/>
        <v>0.15454545454545449</v>
      </c>
      <c r="AD87" s="179">
        <f t="shared" si="20"/>
        <v>0.21974165999999995</v>
      </c>
      <c r="AE87" s="178">
        <f t="shared" si="21"/>
        <v>0.33630495867768589</v>
      </c>
      <c r="AF87"/>
      <c r="AG87"/>
      <c r="AH87" s="175">
        <v>1</v>
      </c>
      <c r="AI87" s="175">
        <v>1</v>
      </c>
      <c r="AJ87" s="175" t="s">
        <v>101</v>
      </c>
      <c r="AK87" s="174">
        <v>2</v>
      </c>
      <c r="AL87" s="175">
        <v>40</v>
      </c>
      <c r="AM87" s="175" t="s">
        <v>103</v>
      </c>
      <c r="AN87" s="196">
        <f t="shared" si="22"/>
        <v>2.5</v>
      </c>
      <c r="AO87" s="205">
        <v>10</v>
      </c>
      <c r="AP87" s="205">
        <v>80</v>
      </c>
      <c r="AQ87" s="205">
        <v>45</v>
      </c>
      <c r="AR87" s="205">
        <v>32</v>
      </c>
      <c r="AS87" s="205">
        <v>32</v>
      </c>
      <c r="AT87" s="206">
        <f t="shared" si="23"/>
        <v>289529.17895483534</v>
      </c>
      <c r="AU87" s="205"/>
      <c r="AV87" s="174" t="s">
        <v>101</v>
      </c>
      <c r="AW87" s="174">
        <v>2</v>
      </c>
      <c r="AX87" s="175">
        <v>30</v>
      </c>
      <c r="AY87" s="175" t="s">
        <v>103</v>
      </c>
      <c r="AZ87" s="196">
        <f t="shared" si="24"/>
        <v>2.5</v>
      </c>
      <c r="BA87" s="205">
        <v>15</v>
      </c>
      <c r="BB87" s="199"/>
      <c r="BC87" s="207">
        <v>5</v>
      </c>
      <c r="BD87" s="207">
        <v>2</v>
      </c>
      <c r="BE87" s="207">
        <v>3</v>
      </c>
      <c r="BF87" s="97">
        <v>3</v>
      </c>
      <c r="BG87" s="97">
        <v>5</v>
      </c>
      <c r="BH87" s="97">
        <v>4</v>
      </c>
      <c r="BI87" s="97">
        <v>5</v>
      </c>
      <c r="BJ87" s="97">
        <v>3</v>
      </c>
      <c r="BK87" s="166">
        <v>5</v>
      </c>
      <c r="BL87" s="166">
        <v>3</v>
      </c>
      <c r="BM87" s="166">
        <v>1</v>
      </c>
      <c r="BN87" s="307">
        <v>1</v>
      </c>
      <c r="BP87" s="43">
        <v>2.2999999999999998</v>
      </c>
      <c r="BQ87" s="43">
        <v>2.2999999999999998</v>
      </c>
      <c r="BR87" s="43">
        <v>2.1</v>
      </c>
      <c r="BS87" s="98">
        <v>2.2999999999999998</v>
      </c>
      <c r="BT87" s="43">
        <v>1.832258064516129</v>
      </c>
      <c r="BU87" s="43">
        <v>2.4</v>
      </c>
      <c r="BV87" s="43">
        <v>2.4</v>
      </c>
      <c r="BW87" s="43">
        <v>1.5</v>
      </c>
      <c r="BX87" s="43">
        <v>2.2000000000000002</v>
      </c>
      <c r="BY87" s="43">
        <v>2.1475859284596521</v>
      </c>
      <c r="BZ87" s="43">
        <f t="shared" si="14"/>
        <v>2.1221688400823608</v>
      </c>
      <c r="CA87" s="289">
        <v>1.9</v>
      </c>
      <c r="CB87" s="30"/>
      <c r="CC87" s="212"/>
      <c r="CD87" s="24" t="s">
        <v>177</v>
      </c>
      <c r="CE87" s="24">
        <v>874</v>
      </c>
      <c r="CF87" s="43">
        <v>0.6364543264925373</v>
      </c>
      <c r="CG87" s="43">
        <v>0.4498225505597015</v>
      </c>
      <c r="CH87" s="109">
        <v>0.5940240380597015</v>
      </c>
      <c r="CI87" s="43">
        <v>0.65302005761194026</v>
      </c>
      <c r="CJ87" s="43">
        <v>1.0185319708656717</v>
      </c>
      <c r="CK87" s="43">
        <v>0.95191429701492536</v>
      </c>
      <c r="CL87" s="43">
        <v>0.9798802470723309</v>
      </c>
      <c r="CM87" s="98">
        <v>0.65029029011194028</v>
      </c>
      <c r="CN87" s="98">
        <v>1.0230185113231918</v>
      </c>
      <c r="CO87" s="98">
        <v>0.97264693363949495</v>
      </c>
      <c r="CP87" s="98">
        <v>0.37600539599999994</v>
      </c>
      <c r="CQ87" s="289">
        <v>0.15</v>
      </c>
      <c r="CR87" s="98"/>
      <c r="CS87" s="98">
        <f t="shared" si="11"/>
        <v>6.3436825782011486</v>
      </c>
      <c r="CT87" s="30"/>
      <c r="CU87" s="49"/>
      <c r="CV87" s="47"/>
      <c r="CW87" s="48"/>
      <c r="CX87" s="48"/>
      <c r="CY87" s="48"/>
      <c r="CZ87" s="184"/>
      <c r="DA87" s="30"/>
      <c r="DB87" s="30"/>
      <c r="DC87" s="30"/>
    </row>
    <row r="88" spans="1:107" ht="15" x14ac:dyDescent="0.2">
      <c r="A88" s="240">
        <v>3</v>
      </c>
      <c r="B88" s="240" t="s">
        <v>175</v>
      </c>
      <c r="C88" s="240" t="s">
        <v>212</v>
      </c>
      <c r="D88" s="241">
        <v>877</v>
      </c>
      <c r="E88" s="84">
        <v>14.9</v>
      </c>
      <c r="F88" s="68" t="s">
        <v>101</v>
      </c>
      <c r="G88" s="68">
        <v>2</v>
      </c>
      <c r="H88" s="202">
        <v>80</v>
      </c>
      <c r="I88" s="202">
        <v>40</v>
      </c>
      <c r="J88" s="202">
        <v>22</v>
      </c>
      <c r="K88" s="202">
        <v>18</v>
      </c>
      <c r="L88" s="203">
        <f t="shared" si="15"/>
        <v>99525.65526572465</v>
      </c>
      <c r="M88" s="84">
        <v>14.9</v>
      </c>
      <c r="N88" s="84">
        <v>15</v>
      </c>
      <c r="O88" s="84">
        <v>15.1</v>
      </c>
      <c r="P88" s="84">
        <v>15.4</v>
      </c>
      <c r="Q88" s="204">
        <v>15.4</v>
      </c>
      <c r="R88" s="204">
        <v>15.55</v>
      </c>
      <c r="S88" s="84">
        <v>15.5</v>
      </c>
      <c r="T88" s="85">
        <v>15.55</v>
      </c>
      <c r="U88" s="85">
        <v>15.55</v>
      </c>
      <c r="V88" s="85">
        <v>15.67</v>
      </c>
      <c r="W88" s="85">
        <v>15.7</v>
      </c>
      <c r="X88" s="83">
        <v>15.9</v>
      </c>
      <c r="Y88" s="281">
        <v>15.9</v>
      </c>
      <c r="Z88" s="177">
        <f t="shared" si="17"/>
        <v>1</v>
      </c>
      <c r="AA88" s="178">
        <f t="shared" si="16"/>
        <v>6.7114093959731544E-2</v>
      </c>
      <c r="AB88" s="177">
        <f t="shared" si="18"/>
        <v>0.5</v>
      </c>
      <c r="AC88" s="178">
        <f t="shared" si="19"/>
        <v>6.7114093959731544E-2</v>
      </c>
      <c r="AD88" s="179">
        <f t="shared" si="20"/>
        <v>0.16798319999999989</v>
      </c>
      <c r="AE88" s="178">
        <f t="shared" si="21"/>
        <v>0.14011981442277366</v>
      </c>
      <c r="AF88"/>
      <c r="AG88"/>
      <c r="AH88" s="175">
        <v>2</v>
      </c>
      <c r="AI88" s="175">
        <v>1</v>
      </c>
      <c r="AJ88" s="175" t="s">
        <v>101</v>
      </c>
      <c r="AK88" s="174">
        <v>2</v>
      </c>
      <c r="AL88" s="175">
        <v>75</v>
      </c>
      <c r="AM88" s="175" t="s">
        <v>103</v>
      </c>
      <c r="AN88" s="196">
        <f t="shared" si="22"/>
        <v>2.5</v>
      </c>
      <c r="AO88" s="205">
        <v>10</v>
      </c>
      <c r="AP88" s="205">
        <v>80</v>
      </c>
      <c r="AQ88" s="205">
        <v>45</v>
      </c>
      <c r="AR88" s="205">
        <v>34</v>
      </c>
      <c r="AS88" s="205">
        <v>24</v>
      </c>
      <c r="AT88" s="206">
        <f t="shared" si="23"/>
        <v>230718.5644796344</v>
      </c>
      <c r="AU88" s="205"/>
      <c r="AV88" s="174" t="s">
        <v>101</v>
      </c>
      <c r="AW88" s="174">
        <v>2</v>
      </c>
      <c r="AX88" s="175">
        <v>45</v>
      </c>
      <c r="AY88" s="175" t="s">
        <v>103</v>
      </c>
      <c r="AZ88" s="196">
        <f t="shared" si="24"/>
        <v>2.5</v>
      </c>
      <c r="BA88" s="205">
        <v>15</v>
      </c>
      <c r="BB88" s="199"/>
      <c r="BC88" s="207">
        <v>5</v>
      </c>
      <c r="BD88" s="207">
        <v>4</v>
      </c>
      <c r="BE88" s="207">
        <v>5</v>
      </c>
      <c r="BF88" s="97">
        <v>2</v>
      </c>
      <c r="BG88" s="97">
        <v>5</v>
      </c>
      <c r="BH88" s="97">
        <v>5</v>
      </c>
      <c r="BI88" s="97">
        <v>5</v>
      </c>
      <c r="BJ88" s="97">
        <v>2</v>
      </c>
      <c r="BK88" s="166">
        <v>5</v>
      </c>
      <c r="BL88" s="166">
        <v>4</v>
      </c>
      <c r="BM88" s="166">
        <v>1</v>
      </c>
      <c r="BN88" s="307">
        <v>1</v>
      </c>
      <c r="BP88" s="43">
        <v>2.1</v>
      </c>
      <c r="BQ88" s="43">
        <v>2</v>
      </c>
      <c r="BR88" s="43">
        <v>1.7</v>
      </c>
      <c r="BS88" s="98">
        <v>2.2999999999999998</v>
      </c>
      <c r="BT88" s="43">
        <v>1.8</v>
      </c>
      <c r="BU88" s="43">
        <v>1.8</v>
      </c>
      <c r="BV88" s="43">
        <v>1.7</v>
      </c>
      <c r="BW88" s="43">
        <v>1.3</v>
      </c>
      <c r="BX88" s="43">
        <v>1.6</v>
      </c>
      <c r="BY88" s="43">
        <v>1.5985536392634432</v>
      </c>
      <c r="BZ88" s="43">
        <f t="shared" si="14"/>
        <v>1.7560975609756098</v>
      </c>
      <c r="CA88" s="289">
        <v>1.4</v>
      </c>
      <c r="CB88" s="30"/>
      <c r="CC88" s="212"/>
      <c r="CD88" s="24" t="s">
        <v>177</v>
      </c>
      <c r="CE88" s="24">
        <v>877</v>
      </c>
      <c r="CF88" s="43">
        <v>0.56174012294776121</v>
      </c>
      <c r="CG88" s="43">
        <v>0.47042276305970154</v>
      </c>
      <c r="CH88" s="109">
        <v>0.71608798376865679</v>
      </c>
      <c r="CI88" s="43">
        <v>0.64554843223880609</v>
      </c>
      <c r="CJ88" s="43">
        <v>0.74776026734328371</v>
      </c>
      <c r="CK88" s="43">
        <v>0.85106549552238808</v>
      </c>
      <c r="CL88" s="43">
        <v>0.68472646623134326</v>
      </c>
      <c r="CM88" s="98">
        <v>0.53160846884328361</v>
      </c>
      <c r="CN88" s="98">
        <v>0.90220037125430541</v>
      </c>
      <c r="CO88" s="98">
        <v>0.77045556212686561</v>
      </c>
      <c r="CP88" s="98">
        <v>0.37984218575510209</v>
      </c>
      <c r="CQ88" s="289">
        <v>0.28000000000000003</v>
      </c>
      <c r="CR88" s="98"/>
      <c r="CS88" s="98">
        <f t="shared" si="11"/>
        <v>5.5052927466691157</v>
      </c>
      <c r="CT88" s="30"/>
      <c r="CU88" s="49" t="s">
        <v>191</v>
      </c>
      <c r="CV88" s="47" t="s">
        <v>175</v>
      </c>
      <c r="CW88" s="48"/>
      <c r="CX88" s="48"/>
      <c r="CY88" s="48"/>
      <c r="CZ88" s="184"/>
      <c r="DA88" s="30"/>
      <c r="DB88" s="30"/>
      <c r="DC88" s="30"/>
    </row>
    <row r="89" spans="1:107" ht="15" x14ac:dyDescent="0.2">
      <c r="A89" s="240">
        <v>3</v>
      </c>
      <c r="B89" s="240" t="s">
        <v>175</v>
      </c>
      <c r="C89" s="240" t="s">
        <v>213</v>
      </c>
      <c r="D89" s="241">
        <v>879</v>
      </c>
      <c r="E89" s="84">
        <v>14.7</v>
      </c>
      <c r="F89" s="68" t="s">
        <v>101</v>
      </c>
      <c r="G89" s="68">
        <v>2</v>
      </c>
      <c r="H89" s="202">
        <v>80</v>
      </c>
      <c r="I89" s="202">
        <v>40</v>
      </c>
      <c r="J89" s="202">
        <v>24</v>
      </c>
      <c r="K89" s="202">
        <v>20</v>
      </c>
      <c r="L89" s="203">
        <f t="shared" si="15"/>
        <v>120637.15789784805</v>
      </c>
      <c r="M89" s="84">
        <v>14.7</v>
      </c>
      <c r="N89" s="84">
        <v>14.9</v>
      </c>
      <c r="O89" s="84">
        <v>15.2</v>
      </c>
      <c r="P89" s="204">
        <v>15.3</v>
      </c>
      <c r="Q89" s="204">
        <v>15.5</v>
      </c>
      <c r="R89" s="204">
        <v>15.6</v>
      </c>
      <c r="S89" s="84">
        <v>15.6</v>
      </c>
      <c r="T89" s="85">
        <v>15.7</v>
      </c>
      <c r="U89" s="85">
        <v>15.75</v>
      </c>
      <c r="V89" s="85">
        <v>15.85</v>
      </c>
      <c r="W89" s="85">
        <v>15.94</v>
      </c>
      <c r="X89" s="83">
        <v>16</v>
      </c>
      <c r="Y89" s="281">
        <v>16.3</v>
      </c>
      <c r="Z89" s="177">
        <f t="shared" si="17"/>
        <v>1.3000000000000007</v>
      </c>
      <c r="AA89" s="178">
        <f t="shared" si="16"/>
        <v>8.843537414965992E-2</v>
      </c>
      <c r="AB89" s="177">
        <f t="shared" si="18"/>
        <v>0.65000000000000036</v>
      </c>
      <c r="AC89" s="178">
        <f t="shared" si="19"/>
        <v>8.843537414965992E-2</v>
      </c>
      <c r="AD89" s="179">
        <f t="shared" si="20"/>
        <v>0.21766914000000015</v>
      </c>
      <c r="AE89" s="178">
        <f t="shared" si="21"/>
        <v>0.1865384793373133</v>
      </c>
      <c r="AF89"/>
      <c r="AG89"/>
      <c r="AH89" s="175">
        <v>1</v>
      </c>
      <c r="AI89" s="175">
        <v>1</v>
      </c>
      <c r="AJ89" s="175" t="s">
        <v>102</v>
      </c>
      <c r="AK89" s="174">
        <v>1</v>
      </c>
      <c r="AL89" s="175">
        <v>45</v>
      </c>
      <c r="AM89" s="175" t="s">
        <v>103</v>
      </c>
      <c r="AN89" s="196">
        <f t="shared" si="22"/>
        <v>2.5</v>
      </c>
      <c r="AO89" s="205">
        <v>30</v>
      </c>
      <c r="AP89" s="205">
        <v>85</v>
      </c>
      <c r="AQ89" s="205">
        <v>45</v>
      </c>
      <c r="AR89" s="205">
        <v>45</v>
      </c>
      <c r="AS89" s="205">
        <v>30</v>
      </c>
      <c r="AT89" s="206">
        <f t="shared" si="23"/>
        <v>405559.9766243574</v>
      </c>
      <c r="AU89" s="205"/>
      <c r="AV89" s="174" t="s">
        <v>101</v>
      </c>
      <c r="AW89" s="174">
        <v>2</v>
      </c>
      <c r="AX89" s="175">
        <v>35</v>
      </c>
      <c r="AY89" s="175" t="s">
        <v>103</v>
      </c>
      <c r="AZ89" s="196">
        <f t="shared" si="24"/>
        <v>2.5</v>
      </c>
      <c r="BA89" s="205">
        <v>20</v>
      </c>
      <c r="BB89" s="199"/>
      <c r="BC89" s="207">
        <v>5</v>
      </c>
      <c r="BD89" s="207">
        <v>2</v>
      </c>
      <c r="BE89" s="207">
        <v>5</v>
      </c>
      <c r="BF89" s="97">
        <v>3</v>
      </c>
      <c r="BG89" s="97">
        <v>5</v>
      </c>
      <c r="BH89" s="97">
        <v>5</v>
      </c>
      <c r="BI89" s="97">
        <v>5</v>
      </c>
      <c r="BJ89" s="97">
        <v>3</v>
      </c>
      <c r="BK89" s="166">
        <v>5</v>
      </c>
      <c r="BL89" s="166">
        <v>2</v>
      </c>
      <c r="BM89" s="166">
        <v>3</v>
      </c>
      <c r="BN89" s="307">
        <v>1</v>
      </c>
      <c r="BP89" s="43">
        <v>3</v>
      </c>
      <c r="BQ89" s="43">
        <v>3</v>
      </c>
      <c r="BR89" s="43">
        <v>1.7</v>
      </c>
      <c r="BS89" s="98">
        <v>1.5</v>
      </c>
      <c r="BT89" s="43">
        <v>1.8829787234042554</v>
      </c>
      <c r="BU89" s="43">
        <v>2.6</v>
      </c>
      <c r="BV89" s="43">
        <v>1.6</v>
      </c>
      <c r="BW89" s="43">
        <v>1.7</v>
      </c>
      <c r="BX89" s="43">
        <v>2</v>
      </c>
      <c r="BY89" s="43">
        <v>1.9987511375322826</v>
      </c>
      <c r="BZ89" s="43">
        <f t="shared" si="14"/>
        <v>1.7035288012454597</v>
      </c>
      <c r="CA89" s="289">
        <v>1.6</v>
      </c>
      <c r="CB89" s="30"/>
      <c r="CC89" s="212"/>
      <c r="CD89" s="24" t="s">
        <v>177</v>
      </c>
      <c r="CE89" s="24">
        <v>879</v>
      </c>
      <c r="CF89" s="43">
        <v>0.99618938059701501</v>
      </c>
      <c r="CG89" s="43">
        <v>0.71147599589552246</v>
      </c>
      <c r="CH89" s="109">
        <v>0.71086106417910444</v>
      </c>
      <c r="CI89" s="43">
        <v>0.87985860394029858</v>
      </c>
      <c r="CJ89" s="43">
        <v>1.0579821528358211</v>
      </c>
      <c r="CK89" s="43">
        <v>1.0552228253731344</v>
      </c>
      <c r="CL89" s="43">
        <v>0.90389976991963272</v>
      </c>
      <c r="CM89" s="98">
        <v>0.7938924144374282</v>
      </c>
      <c r="CN89" s="98">
        <v>1.4053348697617682</v>
      </c>
      <c r="CO89" s="98">
        <v>1.0229212785447761</v>
      </c>
      <c r="CP89" s="98">
        <v>0.4911090886530613</v>
      </c>
      <c r="CQ89" s="289">
        <v>0.44</v>
      </c>
      <c r="CR89" s="98"/>
      <c r="CS89" s="98">
        <f t="shared" si="11"/>
        <v>7.630110684387601</v>
      </c>
      <c r="CT89" s="30"/>
      <c r="CU89" s="49"/>
      <c r="CV89" s="47"/>
      <c r="CW89" s="48"/>
      <c r="CX89" s="48"/>
      <c r="CY89" s="48"/>
      <c r="CZ89" s="184"/>
      <c r="DA89" s="30"/>
      <c r="DB89" s="30"/>
      <c r="DC89" s="30"/>
    </row>
    <row r="90" spans="1:107" ht="15" x14ac:dyDescent="0.2">
      <c r="A90" s="240">
        <v>3</v>
      </c>
      <c r="B90" s="240" t="s">
        <v>175</v>
      </c>
      <c r="C90" s="240" t="s">
        <v>214</v>
      </c>
      <c r="D90" s="241">
        <v>887</v>
      </c>
      <c r="E90" s="84">
        <v>12.5</v>
      </c>
      <c r="F90" s="68" t="s">
        <v>101</v>
      </c>
      <c r="G90" s="68">
        <v>2</v>
      </c>
      <c r="H90" s="202">
        <v>80</v>
      </c>
      <c r="I90" s="202">
        <v>40</v>
      </c>
      <c r="J90" s="202">
        <v>26</v>
      </c>
      <c r="K90" s="202">
        <v>15</v>
      </c>
      <c r="L90" s="203">
        <f t="shared" si="15"/>
        <v>98017.690792001536</v>
      </c>
      <c r="M90" s="84">
        <v>12.5</v>
      </c>
      <c r="N90" s="84">
        <v>12.5</v>
      </c>
      <c r="O90" s="84">
        <v>12.7</v>
      </c>
      <c r="P90" s="204">
        <v>12.9</v>
      </c>
      <c r="Q90" s="204">
        <v>13</v>
      </c>
      <c r="R90" s="204">
        <v>13.15</v>
      </c>
      <c r="S90" s="84">
        <v>13.2</v>
      </c>
      <c r="T90" s="85">
        <v>13.25</v>
      </c>
      <c r="U90" s="85">
        <v>13.34</v>
      </c>
      <c r="V90" s="85">
        <v>13.47</v>
      </c>
      <c r="W90" s="85">
        <v>13.6</v>
      </c>
      <c r="X90" s="83">
        <v>13.8</v>
      </c>
      <c r="Y90" s="281">
        <v>13.9</v>
      </c>
      <c r="Z90" s="177">
        <f t="shared" si="17"/>
        <v>1.3000000000000007</v>
      </c>
      <c r="AA90" s="178">
        <f t="shared" si="16"/>
        <v>0.10400000000000005</v>
      </c>
      <c r="AB90" s="177">
        <f t="shared" si="18"/>
        <v>0.65000000000000036</v>
      </c>
      <c r="AC90" s="178">
        <f t="shared" si="19"/>
        <v>0.10400000000000005</v>
      </c>
      <c r="AD90" s="179">
        <f t="shared" si="20"/>
        <v>0.18647226000000006</v>
      </c>
      <c r="AE90" s="178">
        <f t="shared" si="21"/>
        <v>0.22100416000000006</v>
      </c>
      <c r="AF90"/>
      <c r="AG90"/>
      <c r="AH90" s="175">
        <v>1</v>
      </c>
      <c r="AI90" s="175">
        <v>1</v>
      </c>
      <c r="AJ90" s="175" t="s">
        <v>101</v>
      </c>
      <c r="AK90" s="174">
        <v>2</v>
      </c>
      <c r="AL90" s="175">
        <v>40</v>
      </c>
      <c r="AM90" s="175" t="s">
        <v>103</v>
      </c>
      <c r="AN90" s="196">
        <f t="shared" si="22"/>
        <v>2.5</v>
      </c>
      <c r="AO90" s="205">
        <v>20</v>
      </c>
      <c r="AP90" s="205">
        <v>85</v>
      </c>
      <c r="AQ90" s="205">
        <v>55</v>
      </c>
      <c r="AR90" s="205">
        <v>31</v>
      </c>
      <c r="AS90" s="205">
        <v>22</v>
      </c>
      <c r="AT90" s="206">
        <f t="shared" si="23"/>
        <v>250412.42342682541</v>
      </c>
      <c r="AU90" s="205"/>
      <c r="AV90" s="174" t="s">
        <v>101</v>
      </c>
      <c r="AW90" s="174">
        <v>2</v>
      </c>
      <c r="AX90" s="175">
        <v>45</v>
      </c>
      <c r="AY90" s="175" t="s">
        <v>103</v>
      </c>
      <c r="AZ90" s="196">
        <f t="shared" si="24"/>
        <v>2.5</v>
      </c>
      <c r="BA90" s="205">
        <v>20</v>
      </c>
      <c r="BB90" s="199"/>
      <c r="BC90" s="207">
        <v>5</v>
      </c>
      <c r="BD90" s="207">
        <v>3</v>
      </c>
      <c r="BE90" s="207">
        <v>2</v>
      </c>
      <c r="BF90" s="97">
        <v>2</v>
      </c>
      <c r="BG90" s="97">
        <v>5</v>
      </c>
      <c r="BH90" s="97">
        <v>5</v>
      </c>
      <c r="BI90" s="97">
        <v>5</v>
      </c>
      <c r="BJ90" s="97">
        <v>2</v>
      </c>
      <c r="BK90" s="166">
        <v>5</v>
      </c>
      <c r="BL90" s="166">
        <v>2</v>
      </c>
      <c r="BM90" s="166">
        <v>1</v>
      </c>
      <c r="BN90" s="307">
        <v>2</v>
      </c>
      <c r="BP90" s="43">
        <v>2.8</v>
      </c>
      <c r="BQ90" s="43">
        <v>2.9</v>
      </c>
      <c r="BR90" s="43">
        <v>2.1</v>
      </c>
      <c r="BS90" s="98">
        <v>2.2000000000000002</v>
      </c>
      <c r="BT90" s="43">
        <v>2.4</v>
      </c>
      <c r="BU90" s="43">
        <v>2.5</v>
      </c>
      <c r="BV90" s="43">
        <v>2.1</v>
      </c>
      <c r="BW90" s="43">
        <v>1.7</v>
      </c>
      <c r="BX90" s="43">
        <v>2.1</v>
      </c>
      <c r="BY90" s="43">
        <v>2.2999999999999998</v>
      </c>
      <c r="BZ90" s="43">
        <f t="shared" si="14"/>
        <v>2.2404255319148936</v>
      </c>
      <c r="CA90" s="289">
        <v>1.9</v>
      </c>
      <c r="CB90" s="30"/>
      <c r="CC90" s="212"/>
      <c r="CD90" s="24" t="s">
        <v>177</v>
      </c>
      <c r="CE90" s="24">
        <v>887</v>
      </c>
      <c r="CF90" s="43">
        <v>0.60263308208955224</v>
      </c>
      <c r="CG90" s="43">
        <v>0.42799247462686563</v>
      </c>
      <c r="CH90" s="109">
        <v>0.47134516063432835</v>
      </c>
      <c r="CI90" s="43">
        <v>0.64614616226865673</v>
      </c>
      <c r="CJ90" s="43">
        <v>0.60251187008955231</v>
      </c>
      <c r="CK90" s="43">
        <v>0.72254476679104485</v>
      </c>
      <c r="CL90" s="43">
        <v>0.71024613246268664</v>
      </c>
      <c r="CM90" s="98">
        <v>0.47564968264925378</v>
      </c>
      <c r="CN90" s="98">
        <v>0.70378934944029858</v>
      </c>
      <c r="CO90" s="98">
        <v>0.70009975914179112</v>
      </c>
      <c r="CP90" s="98">
        <v>0.55338313775510206</v>
      </c>
      <c r="CQ90" s="289">
        <v>0.02</v>
      </c>
      <c r="CR90" s="98"/>
      <c r="CS90" s="98">
        <f t="shared" si="11"/>
        <v>4.8503667521552236</v>
      </c>
      <c r="CT90" s="30"/>
      <c r="CU90" s="49"/>
      <c r="CV90" s="47"/>
      <c r="CW90" s="48"/>
      <c r="CX90" s="48"/>
      <c r="CY90" s="48"/>
      <c r="CZ90" s="184"/>
      <c r="DA90" s="30"/>
      <c r="DB90" s="30"/>
      <c r="DC90" s="30"/>
    </row>
    <row r="91" spans="1:107" ht="15" x14ac:dyDescent="0.2">
      <c r="A91" s="240">
        <v>3</v>
      </c>
      <c r="B91" s="240" t="s">
        <v>175</v>
      </c>
      <c r="C91" s="240" t="s">
        <v>215</v>
      </c>
      <c r="D91" s="241">
        <v>888</v>
      </c>
      <c r="E91" s="84">
        <v>12</v>
      </c>
      <c r="F91" s="68" t="s">
        <v>101</v>
      </c>
      <c r="G91" s="68">
        <v>2</v>
      </c>
      <c r="H91" s="202">
        <v>80</v>
      </c>
      <c r="I91" s="202">
        <v>50</v>
      </c>
      <c r="J91" s="202">
        <v>15</v>
      </c>
      <c r="K91" s="202">
        <v>12</v>
      </c>
      <c r="L91" s="203">
        <f t="shared" si="15"/>
        <v>56548.667764616279</v>
      </c>
      <c r="M91" s="84">
        <v>12</v>
      </c>
      <c r="N91" s="84">
        <v>12.1</v>
      </c>
      <c r="O91" s="84">
        <v>12.3</v>
      </c>
      <c r="P91" s="84">
        <v>12.4</v>
      </c>
      <c r="Q91" s="204">
        <v>12.5</v>
      </c>
      <c r="R91" s="204">
        <v>12.6</v>
      </c>
      <c r="S91" s="84">
        <v>12.6</v>
      </c>
      <c r="T91" s="85">
        <v>12.6</v>
      </c>
      <c r="U91" s="85">
        <v>12.67</v>
      </c>
      <c r="V91" s="85">
        <v>12.74</v>
      </c>
      <c r="W91" s="85">
        <v>12.8</v>
      </c>
      <c r="X91" s="83">
        <v>12.9</v>
      </c>
      <c r="Y91" s="281">
        <v>13</v>
      </c>
      <c r="Z91" s="177">
        <f t="shared" si="17"/>
        <v>0.90000000000000036</v>
      </c>
      <c r="AA91" s="178">
        <f t="shared" si="16"/>
        <v>7.5000000000000025E-2</v>
      </c>
      <c r="AB91" s="177">
        <f t="shared" si="18"/>
        <v>0.45000000000000018</v>
      </c>
      <c r="AC91" s="178">
        <f t="shared" si="19"/>
        <v>7.5000000000000025E-2</v>
      </c>
      <c r="AD91" s="179">
        <f t="shared" si="20"/>
        <v>0.12222413999999993</v>
      </c>
      <c r="AE91" s="178">
        <f t="shared" si="21"/>
        <v>0.15718124999999988</v>
      </c>
      <c r="AF91"/>
      <c r="AG91"/>
      <c r="AH91" s="175">
        <v>1</v>
      </c>
      <c r="AI91" s="175">
        <v>1</v>
      </c>
      <c r="AJ91" s="175" t="s">
        <v>101</v>
      </c>
      <c r="AK91" s="174">
        <v>2</v>
      </c>
      <c r="AL91" s="175">
        <v>45</v>
      </c>
      <c r="AM91" s="175" t="s">
        <v>103</v>
      </c>
      <c r="AN91" s="196">
        <f t="shared" si="22"/>
        <v>2.5</v>
      </c>
      <c r="AO91" s="205">
        <v>5</v>
      </c>
      <c r="AP91" s="205">
        <v>85</v>
      </c>
      <c r="AQ91" s="205">
        <v>55</v>
      </c>
      <c r="AR91" s="205">
        <v>37</v>
      </c>
      <c r="AS91" s="205">
        <v>34</v>
      </c>
      <c r="AT91" s="206">
        <f t="shared" si="23"/>
        <v>461904.4408664903</v>
      </c>
      <c r="AU91" s="205"/>
      <c r="AV91" s="174" t="s">
        <v>101</v>
      </c>
      <c r="AW91" s="174">
        <v>2</v>
      </c>
      <c r="AX91" s="175">
        <v>40</v>
      </c>
      <c r="AY91" s="175" t="s">
        <v>103</v>
      </c>
      <c r="AZ91" s="196">
        <f t="shared" si="24"/>
        <v>2.5</v>
      </c>
      <c r="BA91" s="205">
        <v>15</v>
      </c>
      <c r="BB91" s="199"/>
      <c r="BC91" s="207">
        <v>3</v>
      </c>
      <c r="BD91" s="207">
        <v>2</v>
      </c>
      <c r="BE91" s="207">
        <v>3</v>
      </c>
      <c r="BF91" s="97">
        <v>1</v>
      </c>
      <c r="BG91" s="97">
        <v>5</v>
      </c>
      <c r="BH91" s="97">
        <v>5</v>
      </c>
      <c r="BI91" s="97">
        <v>5</v>
      </c>
      <c r="BJ91" s="97">
        <v>1</v>
      </c>
      <c r="BK91" s="166">
        <v>3</v>
      </c>
      <c r="BL91" s="166">
        <v>2</v>
      </c>
      <c r="BM91" s="166">
        <v>0</v>
      </c>
      <c r="BN91" s="307">
        <v>1</v>
      </c>
      <c r="BP91" s="43">
        <v>2.1</v>
      </c>
      <c r="BQ91" s="43">
        <v>2.2999999999999998</v>
      </c>
      <c r="BR91" s="43">
        <v>1.9</v>
      </c>
      <c r="BS91" s="98">
        <v>1.7</v>
      </c>
      <c r="BT91" s="43">
        <v>1.5</v>
      </c>
      <c r="BU91" s="43">
        <v>2</v>
      </c>
      <c r="BV91" s="43">
        <v>1.4</v>
      </c>
      <c r="BW91" s="43">
        <v>1.4</v>
      </c>
      <c r="BX91" s="43">
        <v>1.6</v>
      </c>
      <c r="BY91" s="43">
        <v>2.2000000000000002</v>
      </c>
      <c r="BZ91" s="43">
        <f t="shared" si="14"/>
        <v>1.4459459459459458</v>
      </c>
      <c r="CA91" s="289">
        <v>1.5</v>
      </c>
      <c r="CB91" s="30"/>
      <c r="CC91" s="212"/>
      <c r="CD91" s="24" t="s">
        <v>177</v>
      </c>
      <c r="CE91" s="24">
        <v>888</v>
      </c>
      <c r="CF91" s="43">
        <v>0.58111047201492538</v>
      </c>
      <c r="CG91" s="43">
        <v>0.50209174645522392</v>
      </c>
      <c r="CH91" s="109">
        <v>0.57250142798507464</v>
      </c>
      <c r="CI91" s="43">
        <v>0.60460392519402983</v>
      </c>
      <c r="CJ91" s="43">
        <v>0.60968463044776122</v>
      </c>
      <c r="CK91" s="43">
        <v>0.67642488805970158</v>
      </c>
      <c r="CL91" s="43">
        <v>0.55097881791044778</v>
      </c>
      <c r="CM91" s="98">
        <v>0.4110818524253731</v>
      </c>
      <c r="CN91" s="98">
        <v>0.59525390149253743</v>
      </c>
      <c r="CO91" s="98">
        <v>0.59525390149253743</v>
      </c>
      <c r="CP91" s="98">
        <v>0.49110908865306119</v>
      </c>
      <c r="CQ91" s="289">
        <v>0.34</v>
      </c>
      <c r="CR91" s="98"/>
      <c r="CS91" s="98">
        <f t="shared" si="11"/>
        <v>4.5591884507820897</v>
      </c>
      <c r="CT91" s="30"/>
      <c r="CU91" s="49"/>
      <c r="CV91" s="47"/>
      <c r="CW91" s="48"/>
      <c r="CX91" s="48"/>
      <c r="CY91" s="48"/>
      <c r="CZ91" s="184"/>
      <c r="DA91" s="30"/>
      <c r="DB91" s="30"/>
      <c r="DC91" s="30"/>
    </row>
    <row r="92" spans="1:107" ht="14" x14ac:dyDescent="0.1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Y92" s="265"/>
      <c r="BC92" s="242"/>
      <c r="BD92" s="242"/>
      <c r="BE92" s="243"/>
      <c r="BF92" s="30"/>
      <c r="BG92" s="30"/>
      <c r="BH92" s="30"/>
      <c r="BI92" s="30"/>
      <c r="BJ92" s="30"/>
      <c r="BL92" s="30"/>
      <c r="BM92" s="30"/>
      <c r="BN92" s="99"/>
      <c r="BT92" s="101"/>
      <c r="BU92" s="101"/>
      <c r="BV92" s="101"/>
      <c r="BW92" s="101"/>
      <c r="BX92" s="101"/>
      <c r="BY92" s="101"/>
      <c r="BZ92" s="101"/>
      <c r="CA92" s="291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O92" s="30"/>
      <c r="CP92" s="30"/>
      <c r="CQ92" s="293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</row>
    <row r="93" spans="1:107" ht="14" x14ac:dyDescent="0.15">
      <c r="A93" s="30"/>
      <c r="B93" s="30"/>
      <c r="C93" s="30"/>
      <c r="D93" s="91" t="s">
        <v>216</v>
      </c>
      <c r="E93" s="91" t="s">
        <v>217</v>
      </c>
      <c r="F93" s="30" t="s">
        <v>217</v>
      </c>
      <c r="G93" s="30" t="s">
        <v>218</v>
      </c>
      <c r="H93" s="30" t="s">
        <v>219</v>
      </c>
      <c r="I93" s="30" t="s">
        <v>220</v>
      </c>
      <c r="J93" s="30" t="s">
        <v>221</v>
      </c>
      <c r="K93" s="30" t="s">
        <v>221</v>
      </c>
      <c r="L93" s="30" t="s">
        <v>222</v>
      </c>
      <c r="M93" s="110">
        <v>2013</v>
      </c>
      <c r="N93" s="110">
        <v>2014</v>
      </c>
      <c r="O93" s="110">
        <v>2015</v>
      </c>
      <c r="P93" s="110">
        <v>2016</v>
      </c>
      <c r="Q93" s="110">
        <v>2017</v>
      </c>
      <c r="R93" s="110">
        <v>2018</v>
      </c>
      <c r="S93" s="110">
        <v>2019</v>
      </c>
      <c r="T93" s="110">
        <v>2020</v>
      </c>
      <c r="U93" s="110">
        <v>2021</v>
      </c>
      <c r="V93" s="110">
        <v>2022</v>
      </c>
      <c r="W93" s="110">
        <v>2023</v>
      </c>
      <c r="X93" s="110">
        <v>2024</v>
      </c>
      <c r="Y93" s="283"/>
      <c r="Z93"/>
      <c r="AA93"/>
      <c r="AB93"/>
      <c r="AC93"/>
      <c r="AD93"/>
      <c r="AE93"/>
      <c r="AF93"/>
      <c r="AG93"/>
      <c r="AH93"/>
      <c r="AI93"/>
      <c r="AJ93" s="36"/>
      <c r="AK93" s="36"/>
      <c r="AL93" s="36"/>
      <c r="AM93" s="38"/>
      <c r="AN93" s="38"/>
      <c r="AO93" s="36"/>
      <c r="AP93"/>
      <c r="AQ93"/>
      <c r="AR93"/>
      <c r="AS93"/>
      <c r="AT93"/>
      <c r="AU93"/>
      <c r="AV93" s="36"/>
      <c r="AW93" s="36"/>
      <c r="AX93" s="36"/>
      <c r="AY93" s="38"/>
      <c r="AZ93" s="38"/>
      <c r="BA93" s="36"/>
      <c r="BB93"/>
      <c r="BC93" s="111" t="s">
        <v>223</v>
      </c>
      <c r="BD93" s="111" t="s">
        <v>224</v>
      </c>
      <c r="BE93" s="111" t="s">
        <v>225</v>
      </c>
      <c r="BF93" s="110" t="s">
        <v>226</v>
      </c>
      <c r="BG93" s="111" t="s">
        <v>227</v>
      </c>
      <c r="BH93" s="111" t="s">
        <v>228</v>
      </c>
      <c r="BI93" s="111" t="s">
        <v>229</v>
      </c>
      <c r="BJ93" s="110" t="s">
        <v>226</v>
      </c>
      <c r="BK93" s="111" t="s">
        <v>230</v>
      </c>
      <c r="BL93" s="111" t="s">
        <v>231</v>
      </c>
      <c r="BM93" s="111" t="s">
        <v>232</v>
      </c>
      <c r="BN93" s="309"/>
      <c r="BP93" s="94">
        <v>2014</v>
      </c>
      <c r="BQ93" s="94">
        <v>2015</v>
      </c>
      <c r="BR93" s="94">
        <v>2016</v>
      </c>
      <c r="BS93" s="94">
        <v>2017</v>
      </c>
      <c r="BT93" s="94">
        <v>2018</v>
      </c>
      <c r="BU93" s="94">
        <v>2019</v>
      </c>
      <c r="BV93" s="94">
        <v>2020</v>
      </c>
      <c r="BW93" s="94">
        <v>2021</v>
      </c>
      <c r="BX93" s="94">
        <v>2022</v>
      </c>
      <c r="BY93" s="94">
        <v>2023</v>
      </c>
      <c r="BZ93" s="94">
        <v>2024</v>
      </c>
      <c r="CA93" s="292"/>
      <c r="CB93"/>
      <c r="CC93"/>
      <c r="CD93"/>
      <c r="CE93"/>
      <c r="CF93"/>
      <c r="CG93"/>
      <c r="CH93"/>
      <c r="CI93"/>
      <c r="CJ93"/>
      <c r="CK93"/>
      <c r="CL93"/>
      <c r="CM93"/>
      <c r="CO93"/>
      <c r="CP93"/>
      <c r="CQ93" s="294"/>
      <c r="CR93"/>
      <c r="CS93"/>
      <c r="CT93"/>
      <c r="CU93"/>
      <c r="CV93"/>
      <c r="CW93"/>
      <c r="CX93"/>
      <c r="CY93"/>
      <c r="CZ93"/>
      <c r="DA93" s="30"/>
      <c r="DB93" s="30"/>
      <c r="DC93" s="30"/>
    </row>
    <row r="94" spans="1:107" ht="14" x14ac:dyDescent="0.15">
      <c r="A94" s="30"/>
      <c r="B94" s="30"/>
      <c r="C94" s="88" t="s">
        <v>99</v>
      </c>
      <c r="D94" s="211">
        <f>COUNT(G2:G31)</f>
        <v>30</v>
      </c>
      <c r="E94" s="99">
        <f>AVERAGE(E2:E31)</f>
        <v>14.136666666666667</v>
      </c>
      <c r="F94" s="244">
        <v>14.136666666666667</v>
      </c>
      <c r="G94" s="245">
        <f t="shared" ref="G94:AE94" si="25">AVERAGE(G2:G31)</f>
        <v>1.9</v>
      </c>
      <c r="H94" s="211">
        <f t="shared" si="25"/>
        <v>78.566666666666663</v>
      </c>
      <c r="I94" s="211">
        <f t="shared" si="25"/>
        <v>46.666666666666664</v>
      </c>
      <c r="J94" s="211">
        <f t="shared" si="25"/>
        <v>25.166666666666668</v>
      </c>
      <c r="K94" s="211">
        <f t="shared" si="25"/>
        <v>18.133333333333333</v>
      </c>
      <c r="L94" s="246">
        <f t="shared" si="25"/>
        <v>135340.06022606668</v>
      </c>
      <c r="M94" s="99">
        <f t="shared" si="25"/>
        <v>14.136666666666667</v>
      </c>
      <c r="N94" s="99">
        <f t="shared" si="25"/>
        <v>14.259999999999998</v>
      </c>
      <c r="O94" s="99">
        <f t="shared" si="25"/>
        <v>14.449999999999998</v>
      </c>
      <c r="P94" s="99">
        <f t="shared" si="25"/>
        <v>14.663333333333332</v>
      </c>
      <c r="Q94" s="99">
        <f t="shared" si="25"/>
        <v>14.78</v>
      </c>
      <c r="R94" s="99">
        <f t="shared" si="25"/>
        <v>14.922500000000001</v>
      </c>
      <c r="S94" s="99">
        <f t="shared" si="25"/>
        <v>14.937333333333337</v>
      </c>
      <c r="T94" s="99">
        <f t="shared" si="25"/>
        <v>15.020999999999999</v>
      </c>
      <c r="U94" s="99">
        <f t="shared" si="25"/>
        <v>15.128833333333334</v>
      </c>
      <c r="V94" s="99">
        <f t="shared" si="25"/>
        <v>15.217666666666663</v>
      </c>
      <c r="W94" s="99">
        <f t="shared" si="25"/>
        <v>15.341000000000001</v>
      </c>
      <c r="X94" s="99">
        <f t="shared" ref="X94" si="26">AVERAGE(X2:X31)</f>
        <v>15.520000000000003</v>
      </c>
      <c r="Y94" s="265"/>
      <c r="Z94" s="99">
        <f t="shared" si="25"/>
        <v>1.3833333333333329</v>
      </c>
      <c r="AA94" s="247">
        <f t="shared" si="25"/>
        <v>9.785678905016984E-2</v>
      </c>
      <c r="AB94" s="99">
        <f t="shared" si="25"/>
        <v>0.69166666666666643</v>
      </c>
      <c r="AC94" s="247">
        <f t="shared" si="25"/>
        <v>9.785678905016984E-2</v>
      </c>
      <c r="AD94" s="248">
        <f t="shared" si="25"/>
        <v>0.23018243399999999</v>
      </c>
      <c r="AE94" s="247">
        <f t="shared" si="25"/>
        <v>0.20860067802830434</v>
      </c>
      <c r="AF94"/>
      <c r="AG94"/>
      <c r="AH94" s="211">
        <f>AVERAGE(AH2:AH31)</f>
        <v>1.3666666666666667</v>
      </c>
      <c r="AI94" s="211">
        <f>AVERAGE(AI2:AI31)</f>
        <v>1</v>
      </c>
      <c r="AJ94" s="249"/>
      <c r="AK94" s="99">
        <f>AVERAGE(AK2:AK31)</f>
        <v>1.6333333333333333</v>
      </c>
      <c r="AL94" s="211">
        <f>AVERAGE(AL2:AL31)</f>
        <v>49.5</v>
      </c>
      <c r="AM94" s="249"/>
      <c r="AN94" s="250">
        <f t="shared" ref="AN94:AT94" si="27">AVERAGE(AN2:AN31)</f>
        <v>2.5</v>
      </c>
      <c r="AO94" s="211">
        <f t="shared" si="27"/>
        <v>15.166666666666666</v>
      </c>
      <c r="AP94" s="211">
        <f t="shared" si="27"/>
        <v>82.666666666666671</v>
      </c>
      <c r="AQ94" s="211">
        <f t="shared" si="27"/>
        <v>47.666666666666664</v>
      </c>
      <c r="AR94" s="211">
        <f t="shared" si="27"/>
        <v>33.666666666666664</v>
      </c>
      <c r="AS94" s="211">
        <f t="shared" si="27"/>
        <v>25.933333333333334</v>
      </c>
      <c r="AT94" s="206">
        <f t="shared" si="27"/>
        <v>280828.27630133065</v>
      </c>
      <c r="AU94"/>
      <c r="AV94" s="249"/>
      <c r="AW94" s="99">
        <f>AVERAGE(AW2:AW31)</f>
        <v>1.8333333333333333</v>
      </c>
      <c r="AX94" s="211">
        <f>AVERAGE(AX2:AX31)</f>
        <v>38.799999999999997</v>
      </c>
      <c r="AY94" s="249"/>
      <c r="AZ94" s="250">
        <f t="shared" ref="AZ94:BA94" si="28">AVERAGE(AZ2:AZ31)</f>
        <v>2.5</v>
      </c>
      <c r="BA94" s="211">
        <f t="shared" si="28"/>
        <v>15.5</v>
      </c>
      <c r="BB94"/>
      <c r="BC94" s="211"/>
      <c r="BD94" s="211"/>
      <c r="BE94" s="211"/>
      <c r="BF94" s="211"/>
      <c r="BG94" s="211"/>
      <c r="BH94" s="211"/>
      <c r="BI94" s="211"/>
      <c r="BJ94" s="211"/>
      <c r="BK94" s="211"/>
      <c r="BL94" s="211"/>
      <c r="BM94" s="211"/>
      <c r="BN94" s="99"/>
      <c r="BO94" s="211"/>
      <c r="BP94" s="211"/>
      <c r="BQ94" s="211"/>
      <c r="BR94" s="211"/>
      <c r="BS94" s="211"/>
      <c r="BT94" s="211"/>
      <c r="BU94" s="211"/>
      <c r="BV94" s="211"/>
      <c r="BW94" s="211"/>
      <c r="BX94" s="211"/>
      <c r="BY94" s="211"/>
      <c r="BZ94" s="211"/>
      <c r="CA94" s="293"/>
      <c r="CB94"/>
      <c r="CC94"/>
      <c r="CD94"/>
      <c r="CE94"/>
      <c r="CF94" s="99">
        <v>0</v>
      </c>
      <c r="CG94" s="99">
        <v>0</v>
      </c>
      <c r="CH94" s="99">
        <v>0</v>
      </c>
      <c r="CI94" s="99">
        <v>0</v>
      </c>
      <c r="CJ94" s="99">
        <v>0</v>
      </c>
      <c r="CK94" s="99">
        <v>0</v>
      </c>
      <c r="CL94" s="99">
        <v>0</v>
      </c>
      <c r="CM94" s="99">
        <v>0</v>
      </c>
      <c r="CN94" s="99">
        <v>0</v>
      </c>
      <c r="CO94" s="99">
        <v>0</v>
      </c>
      <c r="CP94" s="99">
        <v>1</v>
      </c>
      <c r="CQ94" s="293"/>
      <c r="CR94" s="99">
        <f>AVERAGE(CF94:CO94)</f>
        <v>0</v>
      </c>
      <c r="CS94" s="99">
        <v>0</v>
      </c>
      <c r="CT94"/>
      <c r="CU94"/>
      <c r="CV94"/>
      <c r="CW94"/>
      <c r="CX94"/>
      <c r="CY94"/>
      <c r="CZ94"/>
      <c r="DA94" s="30"/>
      <c r="DB94" s="30"/>
      <c r="DC94" s="30"/>
    </row>
    <row r="95" spans="1:107" ht="14" x14ac:dyDescent="0.15">
      <c r="A95" s="30"/>
      <c r="B95" s="30"/>
      <c r="C95" s="89" t="s">
        <v>136</v>
      </c>
      <c r="D95" s="211">
        <f>COUNT(G32:G62)</f>
        <v>31</v>
      </c>
      <c r="E95" s="99">
        <f>AVERAGE(E32:E62)</f>
        <v>14.138709677419355</v>
      </c>
      <c r="F95" s="244">
        <v>14.138709677419355</v>
      </c>
      <c r="G95" s="245">
        <f t="shared" ref="G95:AE95" si="29">AVERAGE(G32:G62)</f>
        <v>1.7741935483870968</v>
      </c>
      <c r="H95" s="211">
        <f t="shared" si="29"/>
        <v>76.806451612903231</v>
      </c>
      <c r="I95" s="211">
        <f t="shared" si="29"/>
        <v>47.58064516129032</v>
      </c>
      <c r="J95" s="211">
        <f t="shared" si="29"/>
        <v>24.29032258064516</v>
      </c>
      <c r="K95" s="211">
        <f t="shared" si="29"/>
        <v>19.096774193548388</v>
      </c>
      <c r="L95" s="246">
        <f t="shared" si="29"/>
        <v>138855.35503771374</v>
      </c>
      <c r="M95" s="99">
        <f t="shared" si="29"/>
        <v>14.138709677419355</v>
      </c>
      <c r="N95" s="99">
        <f t="shared" si="29"/>
        <v>14.27741935483871</v>
      </c>
      <c r="O95" s="99">
        <f t="shared" si="29"/>
        <v>14.448387096774194</v>
      </c>
      <c r="P95" s="99">
        <f t="shared" si="29"/>
        <v>14.664516129032258</v>
      </c>
      <c r="Q95" s="99">
        <f t="shared" si="29"/>
        <v>14.777419354838708</v>
      </c>
      <c r="R95" s="99">
        <f t="shared" si="29"/>
        <v>14.908064516129036</v>
      </c>
      <c r="S95" s="99">
        <f t="shared" si="29"/>
        <v>14.935161290322585</v>
      </c>
      <c r="T95" s="99">
        <f t="shared" si="29"/>
        <v>15.029354838709681</v>
      </c>
      <c r="U95" s="99">
        <f t="shared" si="29"/>
        <v>15.123548387096774</v>
      </c>
      <c r="V95" s="99">
        <f t="shared" si="29"/>
        <v>15.247741935483871</v>
      </c>
      <c r="W95" s="99">
        <f t="shared" si="29"/>
        <v>15.363870967741933</v>
      </c>
      <c r="X95" s="99">
        <f t="shared" ref="X95" si="30">AVERAGE(X32:X62)</f>
        <v>15.54516129032258</v>
      </c>
      <c r="Y95" s="265"/>
      <c r="Z95" s="99">
        <f t="shared" si="29"/>
        <v>1.4064516129032256</v>
      </c>
      <c r="AA95" s="247">
        <f t="shared" si="29"/>
        <v>9.9689537564689387E-2</v>
      </c>
      <c r="AB95" s="99">
        <f t="shared" si="29"/>
        <v>0.70322580645161281</v>
      </c>
      <c r="AC95" s="247">
        <f t="shared" si="29"/>
        <v>9.9689537564689387E-2</v>
      </c>
      <c r="AD95" s="248">
        <f t="shared" si="29"/>
        <v>0.23391678193548382</v>
      </c>
      <c r="AE95" s="247">
        <f t="shared" si="29"/>
        <v>0.21244999717503099</v>
      </c>
      <c r="AF95"/>
      <c r="AG95"/>
      <c r="AH95" s="211">
        <f>AVERAGE(AH32:AH62)</f>
        <v>1.2419354838709677</v>
      </c>
      <c r="AI95" s="211">
        <f>AVERAGE(AI32:AI62)</f>
        <v>1</v>
      </c>
      <c r="AJ95" s="249"/>
      <c r="AK95" s="99">
        <f>AVERAGE(AK32:AK62)</f>
        <v>1.7741935483870968</v>
      </c>
      <c r="AL95" s="211">
        <f>AVERAGE(AL32:AL62)</f>
        <v>52.41935483870968</v>
      </c>
      <c r="AM95" s="249"/>
      <c r="AN95" s="250">
        <f t="shared" ref="AN95:AT95" si="31">AVERAGE(AN32:AN62)</f>
        <v>2.6774193548387095</v>
      </c>
      <c r="AO95" s="211">
        <f t="shared" si="31"/>
        <v>14.516129032258064</v>
      </c>
      <c r="AP95" s="211">
        <f t="shared" si="31"/>
        <v>80.483870967741936</v>
      </c>
      <c r="AQ95" s="211">
        <f t="shared" si="31"/>
        <v>48.225806451612904</v>
      </c>
      <c r="AR95" s="211">
        <f t="shared" si="31"/>
        <v>34.258064516129032</v>
      </c>
      <c r="AS95" s="211">
        <f t="shared" si="31"/>
        <v>26</v>
      </c>
      <c r="AT95" s="206">
        <f t="shared" si="31"/>
        <v>284808.17593007791</v>
      </c>
      <c r="AU95"/>
      <c r="AV95" s="249"/>
      <c r="AW95" s="99">
        <f>AVERAGE(AW32:AW62)</f>
        <v>1.7741935483870968</v>
      </c>
      <c r="AX95" s="211">
        <f>AVERAGE(AX32:AX62)</f>
        <v>44.354838709677416</v>
      </c>
      <c r="AY95" s="249"/>
      <c r="AZ95" s="250">
        <f t="shared" ref="AZ95:BA95" si="32">AVERAGE(AZ32:AZ62)</f>
        <v>2.5</v>
      </c>
      <c r="BA95" s="211">
        <f t="shared" si="32"/>
        <v>18.580645161290324</v>
      </c>
      <c r="BB95"/>
      <c r="BC95" s="99">
        <f t="shared" ref="BC95:BL95" si="33">AVERAGE(BC32:BC62)</f>
        <v>4.5483870967741939</v>
      </c>
      <c r="BD95" s="99">
        <f t="shared" si="33"/>
        <v>2.3225806451612905</v>
      </c>
      <c r="BE95" s="99">
        <f t="shared" si="33"/>
        <v>2.9666666666666668</v>
      </c>
      <c r="BF95" s="99">
        <f t="shared" si="33"/>
        <v>1.3333333333333333</v>
      </c>
      <c r="BG95" s="99">
        <f t="shared" si="33"/>
        <v>4.870967741935484</v>
      </c>
      <c r="BH95" s="99">
        <f t="shared" si="33"/>
        <v>4.5862068965517242</v>
      </c>
      <c r="BI95" s="99">
        <f t="shared" si="33"/>
        <v>4.645161290322581</v>
      </c>
      <c r="BJ95" s="99">
        <f t="shared" si="33"/>
        <v>1.3333333333333333</v>
      </c>
      <c r="BK95" s="99">
        <f>AVERAGE(BK32:BK62)</f>
        <v>4.129032258064516</v>
      </c>
      <c r="BL95" s="99">
        <f t="shared" si="33"/>
        <v>2.4516129032258065</v>
      </c>
      <c r="BM95" s="99">
        <f t="shared" ref="BM95" si="34">AVERAGE(BM32:BM62)</f>
        <v>1.8709677419354838</v>
      </c>
      <c r="BN95" s="99"/>
      <c r="BO95" s="211"/>
      <c r="BP95" s="99">
        <f>AVERAGE(BP32:BP62)</f>
        <v>2.2548387096774194</v>
      </c>
      <c r="BQ95" s="99">
        <f>AVERAGE(BQ32:BQ62)</f>
        <v>2.32258064516129</v>
      </c>
      <c r="BR95" s="99">
        <f>AVERAGE(BR32:BR62)</f>
        <v>2.0482758620689654</v>
      </c>
      <c r="BS95" s="99">
        <f>AVERAGE(BS32:BS62)</f>
        <v>2.3677419354838709</v>
      </c>
      <c r="BT95" s="99">
        <f>AVERAGE(BT32:BT62)</f>
        <v>2.336666666666666</v>
      </c>
      <c r="BU95" s="99">
        <v>2.5096774193548388</v>
      </c>
      <c r="BV95" s="99">
        <v>1.9903225806451612</v>
      </c>
      <c r="BW95" s="99">
        <v>1.7774193548387098</v>
      </c>
      <c r="BX95" s="99">
        <v>1.9999999999999998</v>
      </c>
      <c r="BY95" s="99">
        <f>AVERAGE(BY32:BY62)</f>
        <v>2.5258064516129037</v>
      </c>
      <c r="BZ95" s="99">
        <f>AVERAGE(BZ32:BZ62)</f>
        <v>2.1214288928584013</v>
      </c>
      <c r="CA95" s="293"/>
      <c r="CB95" s="30"/>
      <c r="CC95" s="30"/>
      <c r="CD95" s="30"/>
      <c r="CE95" s="30"/>
      <c r="CF95" s="99">
        <f t="shared" ref="CF95:CS95" si="35">AVERAGE(CF32:CF62)</f>
        <v>0.30694710577700351</v>
      </c>
      <c r="CG95" s="99">
        <f t="shared" si="35"/>
        <v>0.33293099647605839</v>
      </c>
      <c r="CH95" s="99">
        <f t="shared" si="35"/>
        <v>0.35587582747040669</v>
      </c>
      <c r="CI95" s="99">
        <f t="shared" si="35"/>
        <v>0.38035655575960065</v>
      </c>
      <c r="CJ95" s="99">
        <f t="shared" si="35"/>
        <v>0.56895398166328282</v>
      </c>
      <c r="CK95" s="99">
        <f t="shared" si="35"/>
        <v>0.56773157593165313</v>
      </c>
      <c r="CL95" s="99">
        <f t="shared" si="35"/>
        <v>0.44202133319112574</v>
      </c>
      <c r="CM95" s="99">
        <f t="shared" si="35"/>
        <v>0.27172940830996606</v>
      </c>
      <c r="CN95" s="99">
        <f t="shared" si="35"/>
        <v>0.397940166550313</v>
      </c>
      <c r="CO95" s="99">
        <f t="shared" si="35"/>
        <v>0.50460271763059716</v>
      </c>
      <c r="CP95" s="99">
        <f t="shared" ref="CP95" si="36">AVERAGE(CP32:CP62)</f>
        <v>0.32989727494799204</v>
      </c>
      <c r="CQ95" s="293"/>
      <c r="CR95" s="99">
        <f>AVERAGE(CF95:CP95)</f>
        <v>0.40536244942799993</v>
      </c>
      <c r="CS95" s="99">
        <f t="shared" si="35"/>
        <v>3.3596718746849121</v>
      </c>
      <c r="CT95" s="30"/>
      <c r="CU95" s="30"/>
      <c r="CV95" s="30"/>
      <c r="CW95" s="30"/>
      <c r="CX95" s="30"/>
      <c r="CY95" s="30"/>
      <c r="CZ95" s="30"/>
      <c r="DA95" s="30"/>
      <c r="DB95" s="30"/>
      <c r="DC95" s="30"/>
    </row>
    <row r="96" spans="1:107" ht="14" x14ac:dyDescent="0.15">
      <c r="A96" s="30"/>
      <c r="B96" s="30"/>
      <c r="C96" s="90" t="s">
        <v>175</v>
      </c>
      <c r="D96" s="211">
        <f>COUNT(G63:G91)</f>
        <v>29</v>
      </c>
      <c r="E96" s="99">
        <f>AVERAGE(E63:E91)</f>
        <v>14.22758620689655</v>
      </c>
      <c r="F96" s="244">
        <v>14.22758620689655</v>
      </c>
      <c r="G96" s="245">
        <f t="shared" ref="G96:AE96" si="37">AVERAGE(G63:G91)</f>
        <v>1.7931034482758621</v>
      </c>
      <c r="H96" s="211">
        <f t="shared" si="37"/>
        <v>77.137931034482762</v>
      </c>
      <c r="I96" s="211">
        <f t="shared" si="37"/>
        <v>51.379310344827587</v>
      </c>
      <c r="J96" s="211">
        <f t="shared" si="37"/>
        <v>24</v>
      </c>
      <c r="K96" s="211">
        <f t="shared" si="37"/>
        <v>17.793103448275861</v>
      </c>
      <c r="L96" s="246">
        <f t="shared" si="37"/>
        <v>136260.7856526653</v>
      </c>
      <c r="M96" s="99">
        <f t="shared" si="37"/>
        <v>14.22758620689655</v>
      </c>
      <c r="N96" s="99">
        <f t="shared" si="37"/>
        <v>14.358620689655176</v>
      </c>
      <c r="O96" s="99">
        <f t="shared" si="37"/>
        <v>14.541379310344826</v>
      </c>
      <c r="P96" s="99">
        <f t="shared" si="37"/>
        <v>14.720689655172412</v>
      </c>
      <c r="Q96" s="99">
        <f t="shared" si="37"/>
        <v>14.820689655172414</v>
      </c>
      <c r="R96" s="99">
        <f t="shared" si="37"/>
        <v>14.925862068965518</v>
      </c>
      <c r="S96" s="99">
        <f t="shared" si="37"/>
        <v>14.948620689655176</v>
      </c>
      <c r="T96" s="99">
        <f t="shared" si="37"/>
        <v>15.018448275862069</v>
      </c>
      <c r="U96" s="99">
        <f t="shared" si="37"/>
        <v>15.091034482758619</v>
      </c>
      <c r="V96" s="99">
        <f t="shared" si="37"/>
        <v>15.192758620689654</v>
      </c>
      <c r="W96" s="99">
        <f t="shared" si="37"/>
        <v>15.304137931034484</v>
      </c>
      <c r="X96" s="99">
        <f t="shared" ref="X96" si="38">AVERAGE(X63:X91)</f>
        <v>15.42413793103448</v>
      </c>
      <c r="Y96" s="265"/>
      <c r="Z96" s="99">
        <f t="shared" si="37"/>
        <v>1.1965517241379309</v>
      </c>
      <c r="AA96" s="247">
        <f t="shared" si="37"/>
        <v>8.6587185782202467E-2</v>
      </c>
      <c r="AB96" s="99">
        <f t="shared" si="37"/>
        <v>0.59827586206896544</v>
      </c>
      <c r="AC96" s="247">
        <f t="shared" si="37"/>
        <v>8.6587185782202467E-2</v>
      </c>
      <c r="AD96" s="248">
        <f t="shared" si="37"/>
        <v>0.19438244068965521</v>
      </c>
      <c r="AE96" s="247">
        <f t="shared" si="37"/>
        <v>0.18426656549540571</v>
      </c>
      <c r="AF96"/>
      <c r="AG96"/>
      <c r="AH96" s="211">
        <f>AVERAGE(AH63:AH91)</f>
        <v>1.5862068965517242</v>
      </c>
      <c r="AI96" s="211">
        <f>AVERAGE(AI63:AI91)</f>
        <v>1</v>
      </c>
      <c r="AJ96" s="249"/>
      <c r="AK96" s="99">
        <f>AVERAGE(AK63:AK91)</f>
        <v>1.4482758620689655</v>
      </c>
      <c r="AL96" s="211">
        <f>AVERAGE(AL63:AL91)</f>
        <v>53.275862068965516</v>
      </c>
      <c r="AM96" s="249"/>
      <c r="AN96" s="250">
        <f t="shared" ref="AN96:AT96" si="39">AVERAGE(AN63:AN91)</f>
        <v>2.5</v>
      </c>
      <c r="AO96" s="211">
        <f t="shared" si="39"/>
        <v>13.96551724137931</v>
      </c>
      <c r="AP96" s="211">
        <f t="shared" si="39"/>
        <v>81.551724137931032</v>
      </c>
      <c r="AQ96" s="211">
        <f t="shared" si="39"/>
        <v>47.068965517241381</v>
      </c>
      <c r="AR96" s="211">
        <f t="shared" si="39"/>
        <v>33.931034482758619</v>
      </c>
      <c r="AS96" s="211">
        <f t="shared" si="39"/>
        <v>25.448275862068964</v>
      </c>
      <c r="AT96" s="206">
        <f t="shared" si="39"/>
        <v>265754.77030836517</v>
      </c>
      <c r="AU96"/>
      <c r="AV96" s="249"/>
      <c r="AW96" s="99">
        <f>AVERAGE(AW63:AW91)</f>
        <v>1.6896551724137931</v>
      </c>
      <c r="AX96" s="211">
        <f>AVERAGE(AX63:AX91)</f>
        <v>43.793103448275865</v>
      </c>
      <c r="AY96" s="249"/>
      <c r="AZ96" s="250">
        <f t="shared" ref="AZ96:BA96" si="40">AVERAGE(AZ63:AZ91)</f>
        <v>2.5</v>
      </c>
      <c r="BA96" s="211">
        <f t="shared" si="40"/>
        <v>15.172413793103448</v>
      </c>
      <c r="BB96"/>
      <c r="BC96" s="99">
        <f t="shared" ref="BC96:BL96" si="41">AVERAGE(BC63:BC91)</f>
        <v>4.1034482758620694</v>
      </c>
      <c r="BD96" s="99">
        <f t="shared" si="41"/>
        <v>2.3103448275862069</v>
      </c>
      <c r="BE96" s="99">
        <f t="shared" si="41"/>
        <v>3.3103448275862069</v>
      </c>
      <c r="BF96" s="99">
        <f t="shared" si="41"/>
        <v>1.7931034482758621</v>
      </c>
      <c r="BG96" s="99">
        <f t="shared" si="41"/>
        <v>4.7857142857142856</v>
      </c>
      <c r="BH96" s="99">
        <f t="shared" si="41"/>
        <v>4.8965517241379306</v>
      </c>
      <c r="BI96" s="99">
        <f t="shared" si="41"/>
        <v>4.6206896551724137</v>
      </c>
      <c r="BJ96" s="99">
        <f t="shared" si="41"/>
        <v>1.7931034482758621</v>
      </c>
      <c r="BK96" s="99">
        <f>AVERAGE(BK63:BK91)</f>
        <v>4.5517241379310347</v>
      </c>
      <c r="BL96" s="99">
        <f t="shared" si="41"/>
        <v>2.2068965517241379</v>
      </c>
      <c r="BM96" s="99">
        <f t="shared" ref="BM96" si="42">AVERAGE(BM63:BM91)</f>
        <v>1.5172413793103448</v>
      </c>
      <c r="BN96" s="99"/>
      <c r="BO96" s="211"/>
      <c r="BP96" s="99">
        <f>AVERAGE(BP63:BP91)</f>
        <v>2.1103448275862067</v>
      </c>
      <c r="BQ96" s="99">
        <f>AVERAGE(BQ63:BQ91)</f>
        <v>2.3607142857142853</v>
      </c>
      <c r="BR96" s="99">
        <f>AVERAGE(BR63:BR91)</f>
        <v>1.7827586206896553</v>
      </c>
      <c r="BS96" s="99">
        <f>AVERAGE(BS63:BS91)</f>
        <v>1.9693346914315195</v>
      </c>
      <c r="BT96" s="99">
        <f>AVERAGE(BT63:BT91)</f>
        <v>1.9380500507519798</v>
      </c>
      <c r="BU96" s="99">
        <v>1.9833333333333329</v>
      </c>
      <c r="BV96" s="99">
        <v>1.8310344827586205</v>
      </c>
      <c r="BW96" s="99">
        <v>1.5275862068965516</v>
      </c>
      <c r="BX96" s="99">
        <v>1.8896551724137927</v>
      </c>
      <c r="BY96" s="99">
        <f>AVERAGE(BY63:BY91)</f>
        <v>1.9503487247147013</v>
      </c>
      <c r="BZ96" s="99">
        <f>AVERAGE(BZ63:BZ91)</f>
        <v>1.882904030963559</v>
      </c>
      <c r="CA96" s="293"/>
      <c r="CB96" s="30"/>
      <c r="CC96"/>
      <c r="CD96"/>
      <c r="CE96"/>
      <c r="CF96" s="99">
        <f t="shared" ref="CF96:CS96" si="43">AVERAGE(CF63:CF91)</f>
        <v>0.687402557960199</v>
      </c>
      <c r="CG96" s="99">
        <f t="shared" si="43"/>
        <v>0.5652930617537314</v>
      </c>
      <c r="CH96" s="99">
        <f t="shared" si="43"/>
        <v>0.73776962790787437</v>
      </c>
      <c r="CI96" s="99">
        <f t="shared" si="43"/>
        <v>0.7924560456098817</v>
      </c>
      <c r="CJ96" s="99">
        <f t="shared" si="43"/>
        <v>1.0045086769541154</v>
      </c>
      <c r="CK96" s="99">
        <f t="shared" si="43"/>
        <v>1.0054451631562016</v>
      </c>
      <c r="CL96" s="99">
        <f t="shared" si="43"/>
        <v>0.87631679289164244</v>
      </c>
      <c r="CM96" s="99">
        <f t="shared" si="43"/>
        <v>0.66259687585182525</v>
      </c>
      <c r="CN96" s="99">
        <f t="shared" si="43"/>
        <v>0.58469447036600808</v>
      </c>
      <c r="CO96" s="99">
        <f t="shared" si="43"/>
        <v>0.93025796651935955</v>
      </c>
      <c r="CP96" s="99">
        <f t="shared" ref="CP96" si="44">AVERAGE(CP63:CP91)</f>
        <v>0.54080416656861352</v>
      </c>
      <c r="CQ96" s="293"/>
      <c r="CR96" s="99">
        <f>AVERAGE(CF96:CP96)</f>
        <v>0.76250412777631382</v>
      </c>
      <c r="CS96" s="99">
        <f t="shared" si="43"/>
        <v>6.4164183360006408</v>
      </c>
      <c r="CT96" s="30"/>
      <c r="CU96"/>
      <c r="CV96"/>
      <c r="CW96" s="30"/>
      <c r="CX96" s="30"/>
      <c r="CY96" s="30"/>
      <c r="CZ96" s="30"/>
      <c r="DA96" s="30"/>
      <c r="DB96" s="30"/>
      <c r="DC96" s="30"/>
    </row>
    <row r="97" spans="2:107" ht="14" x14ac:dyDescent="0.15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/>
      <c r="R97"/>
      <c r="S97"/>
      <c r="T97"/>
      <c r="U97"/>
      <c r="V97"/>
      <c r="W97"/>
      <c r="X97"/>
      <c r="Y97" s="264"/>
      <c r="Z97"/>
      <c r="AA97"/>
      <c r="AB97"/>
      <c r="AC97"/>
      <c r="AD97"/>
      <c r="AF97"/>
      <c r="AG97"/>
      <c r="AH97"/>
      <c r="AI97"/>
      <c r="AJ97" s="36"/>
      <c r="AK97" s="36"/>
      <c r="AL97" s="36"/>
      <c r="AM97" s="38"/>
      <c r="AN97" s="38"/>
      <c r="AO97" s="36"/>
      <c r="AP97"/>
      <c r="AQ97"/>
      <c r="AR97"/>
      <c r="AS97"/>
      <c r="AT97"/>
      <c r="AU97"/>
      <c r="AV97" s="36"/>
      <c r="AW97" s="36"/>
      <c r="AX97" s="36"/>
      <c r="AY97" s="38"/>
      <c r="AZ97" s="38"/>
      <c r="BA97" s="36"/>
      <c r="BB97"/>
      <c r="BF97" s="30"/>
      <c r="BG97" s="30"/>
      <c r="BH97" s="30"/>
      <c r="BI97" s="30"/>
      <c r="BJ97" s="30"/>
      <c r="BL97" s="30"/>
      <c r="BM97" s="30"/>
      <c r="BN97" s="99"/>
      <c r="BP97" s="100">
        <f>BP96/BP95</f>
        <v>0.93591830694095002</v>
      </c>
      <c r="BQ97" s="100">
        <f>BQ96/BQ95</f>
        <v>1.0164186507936508</v>
      </c>
      <c r="BR97" s="100">
        <f t="shared" ref="BR97:BY97" si="45">BR96/BR95</f>
        <v>0.87037037037037046</v>
      </c>
      <c r="BS97" s="100">
        <f t="shared" si="45"/>
        <v>0.8317353601413775</v>
      </c>
      <c r="BT97" s="100">
        <f t="shared" si="45"/>
        <v>0.82940801030755218</v>
      </c>
      <c r="BU97" s="100">
        <f t="shared" si="45"/>
        <v>0.79027420736932286</v>
      </c>
      <c r="BV97" s="100">
        <v>0.78</v>
      </c>
      <c r="BW97" s="100">
        <v>0.77500000000000002</v>
      </c>
      <c r="BX97" s="100">
        <v>0.77200000000000002</v>
      </c>
      <c r="BY97" s="100">
        <f t="shared" si="45"/>
        <v>0.77216871604285731</v>
      </c>
      <c r="BZ97" s="100">
        <f t="shared" ref="BZ97" si="46">BZ96/BZ95</f>
        <v>0.88756405519986326</v>
      </c>
      <c r="CA97" s="293"/>
      <c r="CB97" s="30"/>
      <c r="CC97"/>
      <c r="CD97"/>
      <c r="CE97"/>
      <c r="CF97" s="80">
        <f t="shared" ref="CF97:CS97" si="47">CF95/CF96</f>
        <v>0.44653180617750321</v>
      </c>
      <c r="CG97" s="80">
        <f t="shared" si="47"/>
        <v>0.58895291487072776</v>
      </c>
      <c r="CH97" s="80">
        <f t="shared" si="47"/>
        <v>0.48236714281608389</v>
      </c>
      <c r="CI97" s="80">
        <f t="shared" si="47"/>
        <v>0.47997180142259455</v>
      </c>
      <c r="CJ97" s="80">
        <f t="shared" si="47"/>
        <v>0.56640026583789471</v>
      </c>
      <c r="CK97" s="80">
        <f t="shared" si="47"/>
        <v>0.56465692683774227</v>
      </c>
      <c r="CL97" s="80">
        <f t="shared" si="47"/>
        <v>0.50440815099817693</v>
      </c>
      <c r="CM97" s="80">
        <f t="shared" si="47"/>
        <v>0.41009762981546594</v>
      </c>
      <c r="CN97" s="80">
        <f t="shared" si="47"/>
        <v>0.68059505728044545</v>
      </c>
      <c r="CO97" s="80">
        <f t="shared" si="47"/>
        <v>0.5424331054305418</v>
      </c>
      <c r="CP97" s="80">
        <f t="shared" ref="CP97" si="48">CP95/CP96</f>
        <v>0.61001245060884146</v>
      </c>
      <c r="CQ97" s="294"/>
      <c r="CR97" s="80">
        <f t="shared" si="47"/>
        <v>0.53162000658298858</v>
      </c>
      <c r="CS97" s="80">
        <f t="shared" si="47"/>
        <v>0.52360549121848543</v>
      </c>
      <c r="CT97" s="30"/>
      <c r="CU97"/>
      <c r="CV97"/>
      <c r="CW97" s="30"/>
      <c r="CX97" s="30"/>
      <c r="CY97" s="30"/>
      <c r="CZ97" s="30"/>
      <c r="DA97" s="30"/>
      <c r="DB97" s="30"/>
      <c r="DC97" s="30"/>
    </row>
    <row r="98" spans="2:107" ht="14" x14ac:dyDescent="0.15">
      <c r="B98" s="113"/>
      <c r="C98" s="88" t="s">
        <v>99</v>
      </c>
      <c r="D98" s="113" t="s">
        <v>233</v>
      </c>
      <c r="E98" s="30"/>
      <c r="F98" s="251">
        <f>F94/F$94</f>
        <v>1</v>
      </c>
      <c r="G98" s="251">
        <f>G94/G$94</f>
        <v>1</v>
      </c>
      <c r="H98" s="251">
        <f t="shared" ref="H98:L98" si="49">H94/H$94</f>
        <v>1</v>
      </c>
      <c r="I98" s="251">
        <f t="shared" si="49"/>
        <v>1</v>
      </c>
      <c r="J98" s="251">
        <f t="shared" si="49"/>
        <v>1</v>
      </c>
      <c r="K98" s="251">
        <f t="shared" si="49"/>
        <v>1</v>
      </c>
      <c r="L98" s="251">
        <f t="shared" si="49"/>
        <v>1</v>
      </c>
      <c r="M98" s="251">
        <f>M94/$M94</f>
        <v>1</v>
      </c>
      <c r="N98" s="251">
        <f t="shared" ref="N98:W98" si="50">N94/$M94</f>
        <v>1.0087243574628624</v>
      </c>
      <c r="O98" s="251">
        <f t="shared" si="50"/>
        <v>1.0221645838245694</v>
      </c>
      <c r="P98" s="251">
        <f t="shared" si="50"/>
        <v>1.0372553643008724</v>
      </c>
      <c r="Q98" s="251">
        <f t="shared" si="50"/>
        <v>1.0455081348738504</v>
      </c>
      <c r="R98" s="251">
        <f t="shared" si="50"/>
        <v>1.0555883046451309</v>
      </c>
      <c r="S98" s="251">
        <f t="shared" si="50"/>
        <v>1.056637585475124</v>
      </c>
      <c r="T98" s="251">
        <f t="shared" si="50"/>
        <v>1.0625560009431738</v>
      </c>
      <c r="U98" s="251">
        <f t="shared" si="50"/>
        <v>1.070183918887055</v>
      </c>
      <c r="V98" s="251">
        <f t="shared" si="50"/>
        <v>1.076467814194765</v>
      </c>
      <c r="W98" s="251">
        <f t="shared" si="50"/>
        <v>1.085192171657628</v>
      </c>
      <c r="X98" s="251">
        <f t="shared" ref="X98" si="51">X94/$M94</f>
        <v>1.097854279651026</v>
      </c>
      <c r="Y98" s="265"/>
      <c r="Z98"/>
      <c r="AA98"/>
      <c r="AB98"/>
      <c r="AC98"/>
      <c r="AD98"/>
      <c r="AF98"/>
      <c r="AG98"/>
      <c r="AH98"/>
      <c r="AI98"/>
      <c r="AJ98" s="36"/>
      <c r="AK98" s="36"/>
      <c r="AL98" s="36"/>
      <c r="AM98" s="38"/>
      <c r="AN98" s="38"/>
      <c r="AO98" s="36"/>
      <c r="AP98"/>
      <c r="AQ98"/>
      <c r="AR98"/>
      <c r="AS98"/>
      <c r="AT98"/>
      <c r="AU98"/>
      <c r="AV98" s="36"/>
      <c r="AW98" s="36"/>
      <c r="AX98" s="36"/>
      <c r="AY98" s="38"/>
      <c r="AZ98" s="38"/>
      <c r="BA98" s="36"/>
      <c r="BB98"/>
      <c r="BF98" s="30"/>
      <c r="BG98" s="30"/>
      <c r="BH98" s="30"/>
      <c r="BI98" s="30"/>
      <c r="BJ98" s="30"/>
      <c r="BL98" s="30"/>
      <c r="BM98" s="30"/>
      <c r="BN98" s="99"/>
      <c r="CA98" s="294"/>
      <c r="CB98" s="30"/>
      <c r="CC98"/>
      <c r="CD98"/>
      <c r="CE98"/>
      <c r="CF98" s="30"/>
      <c r="CG98" s="30"/>
      <c r="CH98" s="30"/>
      <c r="CI98" s="30"/>
      <c r="CJ98" s="30"/>
      <c r="CK98" s="30"/>
      <c r="CL98" s="30"/>
      <c r="CM98" s="30"/>
      <c r="CO98" s="30"/>
      <c r="CP98" s="30"/>
      <c r="CQ98" s="293"/>
      <c r="CR98" s="30"/>
      <c r="CS98" s="30"/>
      <c r="CT98" s="30"/>
      <c r="CU98"/>
      <c r="CV98"/>
      <c r="CW98" s="30"/>
      <c r="CX98" s="30"/>
      <c r="CY98" s="30"/>
      <c r="CZ98" s="30"/>
      <c r="DA98" s="30"/>
      <c r="DB98" s="30"/>
      <c r="DC98" s="30"/>
    </row>
    <row r="99" spans="2:107" ht="14" x14ac:dyDescent="0.15">
      <c r="B99" s="30"/>
      <c r="C99" s="89" t="s">
        <v>136</v>
      </c>
      <c r="D99" s="113" t="s">
        <v>233</v>
      </c>
      <c r="E99" s="30"/>
      <c r="F99" s="251">
        <f t="shared" ref="F99" si="52">F95/F$94</f>
        <v>1.0001445185630291</v>
      </c>
      <c r="G99" s="251">
        <f t="shared" ref="G99:L100" si="53">G95/G$94</f>
        <v>0.93378607809847203</v>
      </c>
      <c r="H99" s="251">
        <f t="shared" si="53"/>
        <v>0.97759590512817018</v>
      </c>
      <c r="I99" s="251">
        <f t="shared" si="53"/>
        <v>1.0195852534562213</v>
      </c>
      <c r="J99" s="251">
        <f t="shared" si="53"/>
        <v>0.96517838068788708</v>
      </c>
      <c r="K99" s="251">
        <f t="shared" si="53"/>
        <v>1.0531309297912714</v>
      </c>
      <c r="L99" s="251">
        <f t="shared" si="53"/>
        <v>1.0259737937590339</v>
      </c>
      <c r="M99" s="251">
        <f>M95/$M95</f>
        <v>1</v>
      </c>
      <c r="N99" s="251">
        <f t="shared" ref="N99:W99" si="54">N95/$M95</f>
        <v>1.0098106319872233</v>
      </c>
      <c r="O99" s="251">
        <f t="shared" si="54"/>
        <v>1.0219028062970568</v>
      </c>
      <c r="P99" s="251">
        <f t="shared" si="54"/>
        <v>1.0371891398585444</v>
      </c>
      <c r="Q99" s="251">
        <f t="shared" si="54"/>
        <v>1.0451745379876796</v>
      </c>
      <c r="R99" s="251">
        <f t="shared" si="54"/>
        <v>1.0544147843942508</v>
      </c>
      <c r="S99" s="251">
        <f t="shared" si="54"/>
        <v>1.0563312799452433</v>
      </c>
      <c r="T99" s="251">
        <f t="shared" si="54"/>
        <v>1.0629933835272647</v>
      </c>
      <c r="U99" s="251">
        <f t="shared" si="54"/>
        <v>1.0696554871092858</v>
      </c>
      <c r="V99" s="251">
        <f t="shared" si="54"/>
        <v>1.0784394250513347</v>
      </c>
      <c r="W99" s="251">
        <f t="shared" si="54"/>
        <v>1.0866529774127309</v>
      </c>
      <c r="X99" s="251">
        <f t="shared" ref="X99" si="55">X95/$M95</f>
        <v>1.0994752452657996</v>
      </c>
      <c r="Y99" s="265"/>
      <c r="BF99" s="30"/>
      <c r="BG99" s="30"/>
      <c r="BH99" s="30"/>
      <c r="BI99" s="30"/>
      <c r="BJ99" s="30"/>
      <c r="BL99" s="30"/>
      <c r="BM99" s="30"/>
      <c r="BN99" s="99"/>
      <c r="CA99" s="294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O99" s="30"/>
      <c r="CP99" s="30"/>
      <c r="CQ99" s="293"/>
      <c r="CR99" s="30"/>
      <c r="CS99" s="251"/>
      <c r="CT99" s="30"/>
      <c r="CU99" s="30"/>
      <c r="CV99" s="30"/>
      <c r="CW99" s="30"/>
      <c r="CX99" s="30"/>
      <c r="CY99" s="30"/>
      <c r="CZ99" s="30"/>
      <c r="DA99" s="30"/>
      <c r="DB99" s="30"/>
      <c r="DC99" s="30"/>
    </row>
    <row r="100" spans="2:107" ht="14" x14ac:dyDescent="0.15">
      <c r="B100" s="30"/>
      <c r="C100" s="90" t="s">
        <v>175</v>
      </c>
      <c r="D100" s="113" t="s">
        <v>233</v>
      </c>
      <c r="E100" s="30"/>
      <c r="F100" s="251">
        <f t="shared" ref="F100" si="56">F96/F$94</f>
        <v>1.0064314694810104</v>
      </c>
      <c r="G100" s="251">
        <f t="shared" si="53"/>
        <v>0.94373865698729587</v>
      </c>
      <c r="H100" s="251">
        <f t="shared" si="53"/>
        <v>0.98181498983219473</v>
      </c>
      <c r="I100" s="251">
        <f t="shared" si="53"/>
        <v>1.100985221674877</v>
      </c>
      <c r="J100" s="251">
        <f t="shared" si="53"/>
        <v>0.95364238410596025</v>
      </c>
      <c r="K100" s="251">
        <f t="shared" si="53"/>
        <v>0.98123732251521301</v>
      </c>
      <c r="L100" s="251">
        <f t="shared" si="53"/>
        <v>1.0068030516985191</v>
      </c>
      <c r="M100" s="251">
        <f>M96/$M96</f>
        <v>1</v>
      </c>
      <c r="N100" s="251">
        <f t="shared" ref="N100:W100" si="57">N96/$M96</f>
        <v>1.0092098885118763</v>
      </c>
      <c r="O100" s="251">
        <f t="shared" si="57"/>
        <v>1.0220552593310712</v>
      </c>
      <c r="P100" s="251">
        <f t="shared" si="57"/>
        <v>1.0346582646631119</v>
      </c>
      <c r="Q100" s="251">
        <f t="shared" si="57"/>
        <v>1.0416868637905963</v>
      </c>
      <c r="R100" s="251">
        <f t="shared" si="57"/>
        <v>1.0490790111488126</v>
      </c>
      <c r="S100" s="251">
        <f t="shared" si="57"/>
        <v>1.0506786233640333</v>
      </c>
      <c r="T100" s="251">
        <f t="shared" si="57"/>
        <v>1.0555865244789142</v>
      </c>
      <c r="U100" s="251">
        <f t="shared" si="57"/>
        <v>1.0606883179835191</v>
      </c>
      <c r="V100" s="251">
        <f t="shared" si="57"/>
        <v>1.0678380998545807</v>
      </c>
      <c r="W100" s="251">
        <f t="shared" si="57"/>
        <v>1.0756665050896754</v>
      </c>
      <c r="X100" s="251">
        <f t="shared" ref="X100" si="58">X96/$M96</f>
        <v>1.0841008240426562</v>
      </c>
      <c r="Y100" s="265"/>
      <c r="BF100" s="30"/>
      <c r="BG100" s="30"/>
      <c r="BH100" s="30"/>
      <c r="BI100" s="30"/>
      <c r="BJ100" s="30"/>
      <c r="BL100" s="30"/>
      <c r="BM100" s="30"/>
      <c r="BN100" s="99"/>
      <c r="CA100" s="294"/>
      <c r="CB100" s="30"/>
      <c r="CC100" s="30"/>
      <c r="CD100" s="30"/>
      <c r="CE100" s="30"/>
      <c r="CF100" s="30"/>
      <c r="CG100" s="30"/>
      <c r="CH100" s="30"/>
      <c r="CI100" s="30"/>
      <c r="CJ100" s="252"/>
      <c r="CK100" s="30"/>
      <c r="CL100" s="30"/>
      <c r="CM100" s="30"/>
      <c r="CO100" s="30"/>
      <c r="CP100" s="30"/>
      <c r="CQ100" s="293"/>
      <c r="CR100" s="30"/>
      <c r="CS100" s="211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</row>
    <row r="101" spans="2:107" s="20" customFormat="1" ht="14" x14ac:dyDescent="0.15">
      <c r="B101" s="31"/>
      <c r="C101" s="31"/>
      <c r="D101" s="31"/>
      <c r="E101" s="31"/>
      <c r="F101" s="31"/>
      <c r="G101" s="31"/>
      <c r="H101" s="253">
        <f>AVERAGE(H94:H96)</f>
        <v>77.503683104684214</v>
      </c>
      <c r="I101" s="253">
        <f>AVERAGE(I94:I96)</f>
        <v>48.542207390928191</v>
      </c>
      <c r="J101" s="253">
        <f>AVERAGE(J94:J96)</f>
        <v>24.485663082437274</v>
      </c>
      <c r="K101" s="253">
        <f>AVERAGE(K94:K96)</f>
        <v>18.341070325052527</v>
      </c>
      <c r="L101" s="253">
        <f>AVERAGE(L94:L96)</f>
        <v>136818.73363881523</v>
      </c>
      <c r="M101" s="31"/>
      <c r="N101" s="31"/>
      <c r="O101" s="31"/>
      <c r="P101" s="31"/>
      <c r="Q101" s="23"/>
      <c r="R101" s="23"/>
      <c r="S101" s="23"/>
      <c r="T101"/>
      <c r="U101"/>
      <c r="V101"/>
      <c r="W101"/>
      <c r="X101"/>
      <c r="Y101" s="264"/>
      <c r="Z101" s="167">
        <f>Z94-Z96</f>
        <v>0.18678160919540199</v>
      </c>
      <c r="AA101"/>
      <c r="AB101"/>
      <c r="AC101"/>
      <c r="AD101"/>
      <c r="AE101"/>
      <c r="AF101"/>
      <c r="AG101"/>
      <c r="AH101" s="23"/>
      <c r="AI101" s="23"/>
      <c r="AJ101" s="29"/>
      <c r="AK101" s="29"/>
      <c r="AL101" s="29"/>
      <c r="AM101" s="39"/>
      <c r="AN101" s="39"/>
      <c r="AO101" s="29"/>
      <c r="AP101" s="23"/>
      <c r="AQ101" s="23"/>
      <c r="AR101" s="23"/>
      <c r="AS101" s="23"/>
      <c r="AT101" s="23"/>
      <c r="AU101" s="23"/>
      <c r="AV101" s="29"/>
      <c r="AW101" s="29"/>
      <c r="AX101" s="29"/>
      <c r="AY101" s="39"/>
      <c r="AZ101" s="39"/>
      <c r="BA101" s="29"/>
      <c r="BB101" s="23"/>
      <c r="BC101" s="26"/>
      <c r="BD101" s="26"/>
      <c r="BE101" s="26"/>
      <c r="BF101" s="31"/>
      <c r="BG101" s="31"/>
      <c r="BH101" s="31"/>
      <c r="BI101" s="31"/>
      <c r="BJ101" s="31"/>
      <c r="BK101" s="31"/>
      <c r="BL101" s="31"/>
      <c r="BM101" s="31"/>
      <c r="BN101" s="310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295"/>
      <c r="CB101" s="31"/>
      <c r="CC101"/>
      <c r="CD101"/>
      <c r="CE101"/>
      <c r="CF101"/>
      <c r="CG101"/>
      <c r="CH101"/>
      <c r="CI101"/>
      <c r="CJ101"/>
      <c r="CK101"/>
      <c r="CL101"/>
      <c r="CM101"/>
      <c r="CN101" s="31"/>
      <c r="CO101" s="31"/>
      <c r="CP101" s="31"/>
      <c r="CQ101" s="295"/>
      <c r="CR101" s="31"/>
      <c r="CS101" s="31"/>
      <c r="CT101" s="31"/>
      <c r="CU101"/>
      <c r="CV101"/>
      <c r="CW101"/>
      <c r="CX101"/>
      <c r="CY101" s="31"/>
      <c r="CZ101" s="31"/>
      <c r="DA101" s="31"/>
      <c r="DB101" s="31"/>
      <c r="DC101" s="31"/>
    </row>
    <row r="102" spans="2:107" ht="14" x14ac:dyDescent="0.15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25"/>
      <c r="R102" s="25"/>
      <c r="S102" s="25"/>
      <c r="T102"/>
      <c r="U102"/>
      <c r="V102"/>
      <c r="W102"/>
      <c r="X102"/>
      <c r="Y102" s="264"/>
      <c r="Z102"/>
      <c r="AA102"/>
      <c r="AB102"/>
      <c r="AC102"/>
      <c r="AD102"/>
      <c r="AE102"/>
      <c r="AF102"/>
      <c r="AG102"/>
      <c r="BF102" s="30"/>
      <c r="BG102" s="30"/>
      <c r="BH102" s="30"/>
      <c r="BI102" s="30"/>
      <c r="BJ102" s="30"/>
      <c r="BL102" s="30"/>
      <c r="BM102" s="30"/>
      <c r="BN102" s="99"/>
      <c r="CA102" s="294"/>
      <c r="CB102" s="30"/>
      <c r="CC102"/>
      <c r="CD102"/>
      <c r="CE102"/>
      <c r="CF102"/>
      <c r="CG102"/>
      <c r="CH102"/>
      <c r="CI102"/>
      <c r="CJ102"/>
      <c r="CK102"/>
      <c r="CL102"/>
      <c r="CM102"/>
      <c r="CO102" s="30"/>
      <c r="CP102" s="30"/>
      <c r="CQ102" s="293"/>
      <c r="CR102" s="30"/>
      <c r="CS102" s="30"/>
      <c r="CT102" s="30"/>
      <c r="CU102"/>
      <c r="CV102"/>
      <c r="CW102"/>
      <c r="CX102"/>
      <c r="CY102" s="30"/>
      <c r="CZ102" s="30"/>
      <c r="DA102" s="30"/>
      <c r="DB102" s="30"/>
      <c r="DC102" s="30"/>
    </row>
    <row r="103" spans="2:107" ht="14" x14ac:dyDescent="0.15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25"/>
      <c r="R103" s="25"/>
      <c r="S103" s="25"/>
      <c r="T103"/>
      <c r="U103"/>
      <c r="V103"/>
      <c r="W103"/>
      <c r="X103"/>
      <c r="Y103" s="264"/>
      <c r="Z103"/>
      <c r="AA103"/>
      <c r="AB103"/>
      <c r="AC103"/>
      <c r="AD103"/>
      <c r="AE103"/>
      <c r="AF103"/>
      <c r="AG103"/>
      <c r="BF103" s="30"/>
      <c r="BG103" s="30"/>
      <c r="BH103" s="30"/>
      <c r="BI103" s="30"/>
      <c r="BJ103" s="30"/>
      <c r="BL103" s="30"/>
      <c r="BM103" s="30"/>
      <c r="BN103" s="99"/>
      <c r="CA103" s="294"/>
      <c r="CB103" s="30"/>
      <c r="CC103"/>
      <c r="CD103"/>
      <c r="CE103"/>
      <c r="CF103"/>
      <c r="CG103"/>
      <c r="CH103"/>
      <c r="CI103"/>
      <c r="CJ103"/>
      <c r="CK103"/>
      <c r="CL103"/>
      <c r="CM103"/>
      <c r="CO103" s="30"/>
      <c r="CP103" s="30"/>
      <c r="CQ103" s="293"/>
      <c r="CR103" s="30"/>
      <c r="CS103" s="30"/>
      <c r="CT103" s="30"/>
      <c r="CU103"/>
      <c r="CV103"/>
      <c r="CW103"/>
      <c r="CX103"/>
      <c r="CY103" s="30"/>
      <c r="CZ103" s="30"/>
      <c r="DA103" s="30"/>
      <c r="DB103" s="30"/>
      <c r="DC103" s="30"/>
    </row>
    <row r="104" spans="2:107" ht="14" x14ac:dyDescent="0.15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25"/>
      <c r="R104" s="25"/>
      <c r="S104" s="25"/>
      <c r="T104"/>
      <c r="U104"/>
      <c r="V104"/>
      <c r="W104"/>
      <c r="X104"/>
      <c r="Y104" s="264"/>
      <c r="Z104"/>
      <c r="AA104"/>
      <c r="AB104"/>
      <c r="AC104"/>
      <c r="AD104"/>
      <c r="AE104"/>
      <c r="AF104"/>
      <c r="AG104"/>
      <c r="BF104" s="30"/>
      <c r="BG104" s="30"/>
      <c r="BH104" s="30"/>
      <c r="BI104" s="30"/>
      <c r="BJ104" s="30"/>
      <c r="BL104" s="30"/>
      <c r="BM104" s="30"/>
      <c r="BN104" s="99"/>
      <c r="CA104" s="294"/>
      <c r="CB104" s="30"/>
      <c r="CC104"/>
      <c r="CD104"/>
      <c r="CE104"/>
      <c r="CF104"/>
      <c r="CG104"/>
      <c r="CH104"/>
      <c r="CI104"/>
      <c r="CJ104"/>
      <c r="CK104"/>
      <c r="CL104"/>
      <c r="CM104"/>
      <c r="CO104" s="30"/>
      <c r="CP104" s="30"/>
      <c r="CQ104" s="293"/>
      <c r="CR104" s="30"/>
      <c r="CS104" s="30"/>
      <c r="CT104" s="30"/>
      <c r="CU104"/>
      <c r="CV104"/>
      <c r="CW104"/>
      <c r="CX104"/>
      <c r="CY104" s="30"/>
      <c r="CZ104" s="30"/>
      <c r="DA104" s="30"/>
      <c r="DB104" s="30"/>
      <c r="DC104" s="30"/>
    </row>
    <row r="105" spans="2:107" ht="14" x14ac:dyDescent="0.15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T105"/>
      <c r="U105"/>
      <c r="V105"/>
      <c r="W105"/>
      <c r="X105"/>
      <c r="Y105" s="264"/>
      <c r="Z105"/>
      <c r="AA105"/>
      <c r="AB105"/>
      <c r="AC105"/>
      <c r="AD105"/>
      <c r="AE105"/>
      <c r="AF105"/>
      <c r="AG105"/>
      <c r="BF105" s="30"/>
      <c r="BG105" s="30"/>
      <c r="BH105" s="30"/>
      <c r="BI105" s="30"/>
      <c r="BJ105" s="30"/>
      <c r="BL105" s="30"/>
      <c r="BM105" s="30"/>
      <c r="BN105" s="99"/>
      <c r="CA105" s="294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O105" s="30"/>
      <c r="CP105" s="30"/>
      <c r="CQ105" s="293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</row>
    <row r="106" spans="2:107" ht="14" x14ac:dyDescent="0.15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T106"/>
      <c r="U106"/>
      <c r="V106"/>
      <c r="W106"/>
      <c r="X106"/>
      <c r="Y106" s="264"/>
      <c r="Z106"/>
      <c r="AA106"/>
      <c r="AB106"/>
      <c r="AC106"/>
      <c r="AD106"/>
      <c r="AE106"/>
      <c r="AF106"/>
      <c r="AG106"/>
      <c r="BF106"/>
      <c r="BG106"/>
      <c r="BH106"/>
      <c r="BI106"/>
      <c r="BJ106"/>
      <c r="BL106"/>
      <c r="BM106"/>
      <c r="BN106" s="167"/>
      <c r="CA106" s="294"/>
      <c r="CB106"/>
      <c r="CC106"/>
      <c r="CD106"/>
      <c r="CE106"/>
      <c r="CF106"/>
      <c r="CG106"/>
      <c r="CH106"/>
      <c r="CI106"/>
      <c r="CJ106"/>
      <c r="CK106" s="30"/>
      <c r="CL106" s="30"/>
      <c r="CM106" s="30"/>
      <c r="CO106" s="30"/>
      <c r="CP106" s="30"/>
      <c r="CQ106" s="293"/>
      <c r="CR106" s="30"/>
      <c r="CS106" s="30"/>
      <c r="CT106" s="30"/>
      <c r="CU106"/>
      <c r="CV106" s="30"/>
      <c r="CW106" s="30"/>
      <c r="CX106" s="30"/>
      <c r="CY106" s="30"/>
      <c r="CZ106" s="30"/>
      <c r="DA106" s="30"/>
      <c r="DB106" s="30"/>
      <c r="DC106" s="30"/>
    </row>
    <row r="107" spans="2:107" ht="14" x14ac:dyDescent="0.15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T107"/>
      <c r="U107"/>
      <c r="V107"/>
      <c r="W107"/>
      <c r="X107"/>
      <c r="Y107" s="264"/>
      <c r="Z107"/>
      <c r="AA107"/>
      <c r="AB107"/>
      <c r="AC107"/>
      <c r="AD107"/>
      <c r="AE107"/>
      <c r="AF107"/>
      <c r="AG107"/>
      <c r="BF107"/>
      <c r="BG107"/>
      <c r="BH107"/>
      <c r="BI107"/>
      <c r="BJ107"/>
      <c r="BL107"/>
      <c r="BM107"/>
      <c r="BN107" s="167"/>
      <c r="CA107" s="294"/>
      <c r="CB107"/>
      <c r="CC107"/>
      <c r="CD107"/>
      <c r="CE107"/>
      <c r="CF107"/>
      <c r="CG107"/>
      <c r="CH107"/>
      <c r="CI107"/>
      <c r="CJ107"/>
      <c r="CK107" s="30"/>
      <c r="CL107" s="30"/>
      <c r="CM107" s="30"/>
      <c r="CO107" s="30"/>
      <c r="CP107" s="30"/>
      <c r="CQ107" s="293"/>
      <c r="CR107" s="30"/>
      <c r="CS107" s="30"/>
      <c r="CT107" s="30"/>
      <c r="CU107"/>
      <c r="CV107" s="30"/>
      <c r="CW107" s="30"/>
      <c r="CX107" s="30"/>
      <c r="CY107" s="30"/>
      <c r="CZ107" s="30"/>
      <c r="DA107" s="30"/>
      <c r="DB107" s="30"/>
      <c r="DC107" s="30"/>
    </row>
    <row r="108" spans="2:107" ht="14" x14ac:dyDescent="0.15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T108"/>
      <c r="U108"/>
      <c r="V108"/>
      <c r="W108"/>
      <c r="X108"/>
      <c r="Y108" s="264"/>
      <c r="Z108"/>
      <c r="AA108"/>
      <c r="AB108"/>
      <c r="AC108"/>
      <c r="AD108"/>
      <c r="AE108"/>
      <c r="AF108"/>
      <c r="AG108"/>
      <c r="BF108"/>
      <c r="BG108"/>
      <c r="BH108"/>
      <c r="BI108"/>
      <c r="BJ108"/>
      <c r="BL108"/>
      <c r="BM108"/>
      <c r="BN108" s="167"/>
      <c r="CA108" s="294"/>
      <c r="CB108"/>
      <c r="CC108"/>
      <c r="CD108"/>
      <c r="CE108"/>
      <c r="CF108"/>
      <c r="CG108"/>
      <c r="CH108"/>
      <c r="CI108"/>
      <c r="CJ108"/>
      <c r="CK108" s="30"/>
      <c r="CL108" s="30"/>
      <c r="CM108" s="30"/>
      <c r="CO108" s="30"/>
      <c r="CP108" s="30"/>
      <c r="CQ108" s="293"/>
      <c r="CR108" s="30"/>
      <c r="CS108" s="30"/>
      <c r="CT108" s="30"/>
      <c r="CU108"/>
      <c r="CV108" s="30"/>
      <c r="CW108" s="30"/>
      <c r="CX108" s="30"/>
      <c r="CY108" s="30"/>
      <c r="CZ108" s="30"/>
      <c r="DA108" s="30"/>
      <c r="DB108" s="30"/>
      <c r="DC108" s="30"/>
    </row>
    <row r="109" spans="2:107" ht="14" x14ac:dyDescent="0.15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T109"/>
      <c r="U109"/>
      <c r="V109"/>
      <c r="W109"/>
      <c r="X109"/>
      <c r="Y109" s="264"/>
      <c r="Z109"/>
      <c r="AA109"/>
      <c r="AB109"/>
      <c r="AC109"/>
      <c r="AD109"/>
      <c r="AE109"/>
      <c r="AF109"/>
      <c r="AG109"/>
      <c r="BF109"/>
      <c r="BG109"/>
      <c r="BH109"/>
      <c r="BI109"/>
      <c r="BJ109"/>
      <c r="BL109"/>
      <c r="BM109"/>
      <c r="BN109" s="167"/>
      <c r="CA109" s="294"/>
      <c r="CB109"/>
      <c r="CC109"/>
      <c r="CD109"/>
      <c r="CE109"/>
      <c r="CF109"/>
      <c r="CG109"/>
      <c r="CH109"/>
      <c r="CI109"/>
      <c r="CJ109"/>
      <c r="CK109" s="30"/>
      <c r="CL109" s="30"/>
      <c r="CM109" s="30"/>
      <c r="CO109" s="30"/>
      <c r="CP109" s="30"/>
      <c r="CQ109" s="293"/>
      <c r="CR109" s="30"/>
      <c r="CS109" s="30"/>
      <c r="CT109" s="30"/>
      <c r="CU109"/>
      <c r="CV109" s="30"/>
      <c r="CW109" s="30"/>
      <c r="CX109" s="30"/>
      <c r="CY109" s="30"/>
      <c r="CZ109" s="30"/>
      <c r="DA109" s="30"/>
      <c r="DB109" s="30"/>
      <c r="DC109" s="30"/>
    </row>
    <row r="110" spans="2:107" ht="14" x14ac:dyDescent="0.1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T110"/>
      <c r="U110"/>
      <c r="V110"/>
      <c r="W110"/>
      <c r="X110"/>
      <c r="Y110" s="264"/>
      <c r="Z110"/>
      <c r="AA110"/>
      <c r="AB110"/>
      <c r="AC110"/>
      <c r="AD110"/>
      <c r="AE110"/>
      <c r="AF110"/>
      <c r="AG110"/>
      <c r="BF110"/>
      <c r="BG110"/>
      <c r="BH110"/>
      <c r="BI110"/>
      <c r="BJ110"/>
      <c r="BL110"/>
      <c r="BM110"/>
      <c r="BN110" s="167"/>
      <c r="CA110" s="294"/>
      <c r="CB110"/>
      <c r="CC110"/>
      <c r="CD110"/>
      <c r="CE110"/>
      <c r="CF110"/>
      <c r="CG110"/>
      <c r="CH110"/>
      <c r="CI110"/>
      <c r="CJ110"/>
      <c r="CK110" s="30"/>
      <c r="CL110" s="30"/>
      <c r="CM110" s="30"/>
      <c r="CO110" s="30"/>
      <c r="CP110" s="30"/>
      <c r="CQ110" s="293"/>
      <c r="CR110" s="30"/>
      <c r="CS110" s="30"/>
      <c r="CT110" s="30"/>
      <c r="CU110"/>
      <c r="CV110" s="30"/>
      <c r="CW110" s="30"/>
      <c r="CX110" s="30"/>
      <c r="CY110" s="30"/>
      <c r="CZ110" s="30"/>
      <c r="DA110" s="30"/>
      <c r="DB110" s="30"/>
      <c r="DC110" s="30"/>
    </row>
    <row r="111" spans="2:107" ht="14" x14ac:dyDescent="0.15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T111"/>
      <c r="U111"/>
      <c r="V111"/>
      <c r="W111"/>
      <c r="X111"/>
      <c r="Y111" s="264"/>
      <c r="Z111"/>
      <c r="AA111"/>
      <c r="AB111"/>
      <c r="AC111"/>
      <c r="AD111"/>
      <c r="AE111"/>
      <c r="AF111"/>
      <c r="AG111"/>
      <c r="BF111"/>
      <c r="BG111"/>
      <c r="BH111"/>
      <c r="BI111"/>
      <c r="BJ111"/>
      <c r="BL111"/>
      <c r="BM111"/>
      <c r="BN111" s="167"/>
      <c r="CA111" s="294"/>
      <c r="CB111"/>
      <c r="CC111"/>
      <c r="CD111"/>
      <c r="CE111"/>
      <c r="CF111"/>
      <c r="CG111"/>
      <c r="CH111"/>
      <c r="CI111"/>
      <c r="CJ111"/>
      <c r="CK111" s="30"/>
      <c r="CL111" s="30"/>
      <c r="CM111" s="30"/>
      <c r="CO111" s="30"/>
      <c r="CP111" s="30"/>
      <c r="CQ111" s="293"/>
      <c r="CR111" s="30"/>
      <c r="CS111" s="30"/>
      <c r="CT111" s="30"/>
      <c r="CU111"/>
      <c r="CV111" s="30"/>
      <c r="CW111" s="30"/>
      <c r="CX111" s="30"/>
      <c r="CY111" s="30"/>
      <c r="CZ111" s="30"/>
      <c r="DA111" s="30"/>
      <c r="DB111" s="30"/>
      <c r="DC111" s="30"/>
    </row>
    <row r="112" spans="2:107" ht="14" x14ac:dyDescent="0.15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T112"/>
      <c r="U112"/>
      <c r="V112"/>
      <c r="W112"/>
      <c r="X112"/>
      <c r="Y112" s="264"/>
      <c r="Z112"/>
      <c r="AA112"/>
      <c r="AB112"/>
      <c r="AC112"/>
      <c r="AD112"/>
      <c r="AE112"/>
      <c r="AF112"/>
      <c r="AG112"/>
      <c r="BF112"/>
      <c r="BG112"/>
      <c r="BH112"/>
      <c r="BI112"/>
      <c r="BJ112"/>
      <c r="BL112"/>
      <c r="BM112"/>
      <c r="BN112" s="167"/>
      <c r="CA112" s="294"/>
      <c r="CB112"/>
      <c r="CC112"/>
      <c r="CD112"/>
      <c r="CE112"/>
      <c r="CF112"/>
      <c r="CG112"/>
      <c r="CH112"/>
      <c r="CI112"/>
      <c r="CJ112"/>
      <c r="CK112" s="30"/>
      <c r="CL112" s="30"/>
      <c r="CM112" s="30"/>
      <c r="CO112" s="30"/>
      <c r="CP112" s="30"/>
      <c r="CQ112" s="293"/>
      <c r="CR112" s="30"/>
      <c r="CS112" s="30"/>
      <c r="CT112" s="30"/>
      <c r="CU112"/>
      <c r="CV112" s="30"/>
      <c r="CW112" s="30"/>
      <c r="CX112" s="30"/>
      <c r="CY112" s="30"/>
      <c r="CZ112" s="30"/>
      <c r="DA112" s="30"/>
      <c r="DB112" s="30"/>
      <c r="DC112" s="30"/>
    </row>
    <row r="113" spans="20:107" ht="14" x14ac:dyDescent="0.15">
      <c r="T113"/>
      <c r="U113"/>
      <c r="V113"/>
      <c r="W113"/>
      <c r="X113"/>
      <c r="Y113" s="264"/>
      <c r="Z113"/>
      <c r="AA113"/>
      <c r="AB113"/>
      <c r="AC113"/>
      <c r="AD113"/>
      <c r="AE113"/>
      <c r="AF113"/>
      <c r="AG113"/>
      <c r="BF113"/>
      <c r="BG113"/>
      <c r="BH113"/>
      <c r="BI113"/>
      <c r="BJ113"/>
      <c r="BL113"/>
      <c r="BM113"/>
      <c r="BN113" s="167"/>
      <c r="CA113" s="294"/>
      <c r="CB113"/>
      <c r="CC113"/>
      <c r="CD113"/>
      <c r="CE113"/>
      <c r="CF113"/>
      <c r="CG113"/>
      <c r="CH113"/>
      <c r="CI113"/>
      <c r="CJ113"/>
      <c r="CK113" s="30"/>
      <c r="CL113" s="30"/>
      <c r="CM113" s="30"/>
      <c r="CO113" s="30"/>
      <c r="CP113" s="30"/>
      <c r="CQ113" s="293"/>
      <c r="CR113" s="30"/>
      <c r="CS113" s="30"/>
      <c r="CT113" s="30"/>
      <c r="CU113"/>
      <c r="CV113" s="30"/>
      <c r="CW113" s="30"/>
      <c r="CX113" s="30"/>
      <c r="CY113" s="30"/>
      <c r="CZ113" s="30"/>
      <c r="DA113" s="30"/>
      <c r="DB113" s="30"/>
      <c r="DC113" s="30"/>
    </row>
    <row r="114" spans="20:107" ht="14" x14ac:dyDescent="0.15">
      <c r="T114"/>
      <c r="U114"/>
      <c r="V114"/>
      <c r="W114"/>
      <c r="X114"/>
      <c r="Y114" s="264"/>
      <c r="Z114"/>
      <c r="AA114"/>
      <c r="AB114"/>
      <c r="AC114"/>
      <c r="AD114"/>
      <c r="AE114"/>
      <c r="AF114"/>
      <c r="AG114"/>
      <c r="BF114"/>
      <c r="BG114"/>
      <c r="BH114"/>
      <c r="BI114"/>
      <c r="BJ114"/>
      <c r="BL114"/>
      <c r="BM114"/>
      <c r="BN114" s="167"/>
      <c r="CA114" s="294"/>
      <c r="CB114"/>
      <c r="CC114"/>
      <c r="CD114"/>
      <c r="CE114"/>
      <c r="CF114"/>
      <c r="CG114"/>
      <c r="CH114"/>
      <c r="CI114"/>
      <c r="CJ114"/>
      <c r="CK114" s="30"/>
      <c r="CL114" s="30"/>
      <c r="CM114" s="30"/>
      <c r="CO114" s="30"/>
      <c r="CP114" s="30"/>
      <c r="CQ114" s="293"/>
      <c r="CR114" s="30"/>
      <c r="CS114" s="30"/>
      <c r="CT114" s="30"/>
      <c r="CU114"/>
      <c r="CV114" s="30"/>
      <c r="CW114" s="30"/>
      <c r="CX114" s="30"/>
      <c r="CY114" s="30"/>
      <c r="CZ114" s="30"/>
      <c r="DA114" s="30"/>
      <c r="DB114" s="30"/>
      <c r="DC114" s="30"/>
    </row>
    <row r="115" spans="20:107" ht="14" x14ac:dyDescent="0.15">
      <c r="T115"/>
      <c r="U115"/>
      <c r="V115"/>
      <c r="W115"/>
      <c r="X115"/>
      <c r="Y115" s="264"/>
      <c r="Z115"/>
      <c r="AA115"/>
      <c r="AB115"/>
      <c r="AC115"/>
      <c r="AD115"/>
      <c r="AE115"/>
      <c r="AF115"/>
      <c r="AG115"/>
      <c r="BF115"/>
      <c r="BG115"/>
      <c r="BH115"/>
      <c r="BI115"/>
      <c r="BJ115"/>
      <c r="BL115"/>
      <c r="BM115"/>
      <c r="BN115" s="167"/>
      <c r="CA115" s="294"/>
      <c r="CB115"/>
      <c r="CC115"/>
      <c r="CD115"/>
      <c r="CE115"/>
      <c r="CF115"/>
      <c r="CG115"/>
      <c r="CH115"/>
      <c r="CI115"/>
      <c r="CJ115"/>
      <c r="CK115" s="30"/>
      <c r="CL115" s="30"/>
      <c r="CM115" s="30"/>
      <c r="CO115" s="30"/>
      <c r="CP115" s="30"/>
      <c r="CQ115" s="293"/>
      <c r="CR115" s="30"/>
      <c r="CS115" s="30"/>
      <c r="CT115" s="30"/>
      <c r="CU115"/>
      <c r="CV115" s="30"/>
      <c r="CW115" s="30"/>
      <c r="CX115" s="30"/>
      <c r="CY115" s="30"/>
      <c r="CZ115" s="30"/>
      <c r="DA115" s="30"/>
      <c r="DB115" s="30"/>
      <c r="DC115" s="30"/>
    </row>
    <row r="116" spans="20:107" ht="14" x14ac:dyDescent="0.15">
      <c r="T116"/>
      <c r="U116"/>
      <c r="V116"/>
      <c r="W116"/>
      <c r="X116"/>
      <c r="Y116" s="264"/>
      <c r="Z116"/>
      <c r="AA116"/>
      <c r="AB116"/>
      <c r="AC116"/>
      <c r="AD116"/>
      <c r="AE116"/>
      <c r="AF116"/>
      <c r="AG116"/>
      <c r="BF116"/>
      <c r="BG116"/>
      <c r="BH116"/>
      <c r="BI116"/>
      <c r="BJ116"/>
      <c r="BL116"/>
      <c r="BM116"/>
      <c r="BN116" s="167"/>
      <c r="CA116" s="294"/>
      <c r="CB116"/>
      <c r="CC116"/>
      <c r="CD116"/>
      <c r="CE116"/>
      <c r="CF116"/>
      <c r="CG116"/>
      <c r="CH116"/>
      <c r="CI116"/>
      <c r="CJ116"/>
      <c r="CK116" s="30"/>
      <c r="CL116" s="30"/>
      <c r="CM116" s="30"/>
      <c r="CO116" s="30"/>
      <c r="CP116" s="30"/>
      <c r="CQ116" s="293"/>
      <c r="CR116" s="30"/>
      <c r="CS116" s="30"/>
      <c r="CT116" s="30"/>
      <c r="CU116"/>
      <c r="CV116" s="30"/>
      <c r="CW116" s="30"/>
      <c r="CX116" s="30"/>
      <c r="CY116" s="30"/>
      <c r="CZ116" s="30"/>
      <c r="DA116" s="30"/>
      <c r="DB116" s="30"/>
      <c r="DC116" s="30"/>
    </row>
    <row r="117" spans="20:107" ht="14" x14ac:dyDescent="0.15">
      <c r="T117"/>
      <c r="U117"/>
      <c r="V117"/>
      <c r="W117"/>
      <c r="X117"/>
      <c r="Y117" s="264"/>
      <c r="Z117"/>
      <c r="AA117"/>
      <c r="AB117"/>
      <c r="AC117"/>
      <c r="AD117"/>
      <c r="AE117"/>
      <c r="AF117"/>
      <c r="AG117"/>
      <c r="BF117"/>
      <c r="BG117"/>
      <c r="BH117"/>
      <c r="BI117"/>
      <c r="BJ117"/>
      <c r="BL117"/>
      <c r="BM117"/>
      <c r="BN117" s="167"/>
      <c r="CA117" s="294"/>
      <c r="CB117"/>
      <c r="CC117"/>
      <c r="CD117"/>
      <c r="CE117"/>
      <c r="CF117"/>
      <c r="CG117"/>
      <c r="CH117"/>
      <c r="CI117"/>
      <c r="CJ117"/>
      <c r="CK117" s="30"/>
      <c r="CL117" s="30"/>
      <c r="CM117" s="30"/>
      <c r="CO117" s="30"/>
      <c r="CP117" s="30"/>
      <c r="CQ117" s="293"/>
      <c r="CR117" s="30"/>
      <c r="CS117" s="30"/>
      <c r="CT117" s="30"/>
      <c r="CU117"/>
      <c r="CV117" s="30"/>
      <c r="CW117" s="30"/>
      <c r="CX117" s="30"/>
      <c r="CY117" s="30"/>
      <c r="CZ117" s="30"/>
      <c r="DA117" s="30"/>
      <c r="DB117" s="30"/>
      <c r="DC117" s="30"/>
    </row>
    <row r="118" spans="20:107" ht="14" x14ac:dyDescent="0.15">
      <c r="T118"/>
      <c r="U118"/>
      <c r="V118"/>
      <c r="W118"/>
      <c r="X118"/>
      <c r="Y118" s="264"/>
      <c r="Z118"/>
      <c r="AA118"/>
      <c r="AB118"/>
      <c r="AC118"/>
      <c r="AD118"/>
      <c r="AE118"/>
      <c r="AF118"/>
      <c r="AG118"/>
      <c r="BF118"/>
      <c r="BG118"/>
      <c r="BH118"/>
      <c r="BI118"/>
      <c r="BJ118"/>
      <c r="BL118"/>
      <c r="BM118"/>
      <c r="BN118" s="167"/>
      <c r="CA118" s="294"/>
      <c r="CB118"/>
      <c r="CC118"/>
      <c r="CD118"/>
      <c r="CE118"/>
      <c r="CF118"/>
      <c r="CG118"/>
      <c r="CH118"/>
      <c r="CI118"/>
      <c r="CJ118"/>
      <c r="CK118" s="30"/>
      <c r="CL118" s="30"/>
      <c r="CM118" s="30"/>
      <c r="CO118" s="30"/>
      <c r="CP118" s="30"/>
      <c r="CQ118" s="293"/>
      <c r="CR118" s="30"/>
      <c r="CS118" s="30"/>
      <c r="CT118" s="30"/>
      <c r="CU118"/>
      <c r="CV118" s="30"/>
      <c r="CW118" s="30"/>
      <c r="CX118" s="30"/>
      <c r="CY118" s="30"/>
      <c r="CZ118" s="30"/>
      <c r="DA118" s="30"/>
      <c r="DB118" s="30"/>
      <c r="DC118" s="30"/>
    </row>
    <row r="119" spans="20:107" ht="14" x14ac:dyDescent="0.15">
      <c r="T119"/>
      <c r="U119"/>
      <c r="V119"/>
      <c r="W119"/>
      <c r="X119"/>
      <c r="Y119" s="264"/>
      <c r="Z119"/>
      <c r="AA119"/>
      <c r="AB119"/>
      <c r="AC119"/>
      <c r="AD119"/>
      <c r="AE119"/>
      <c r="AF119"/>
      <c r="AG119"/>
      <c r="BF119"/>
      <c r="BG119"/>
      <c r="BH119"/>
      <c r="BI119"/>
      <c r="BJ119"/>
      <c r="BL119"/>
      <c r="BM119"/>
      <c r="BN119" s="167"/>
      <c r="CA119" s="294"/>
      <c r="CB119"/>
      <c r="CC119"/>
      <c r="CD119"/>
      <c r="CE119"/>
      <c r="CF119"/>
      <c r="CG119"/>
      <c r="CH119"/>
      <c r="CI119"/>
      <c r="CJ119"/>
      <c r="CK119" s="30"/>
      <c r="CL119" s="30"/>
      <c r="CM119" s="30"/>
      <c r="CO119" s="30"/>
      <c r="CP119" s="30"/>
      <c r="CQ119" s="293"/>
      <c r="CR119" s="30"/>
      <c r="CS119" s="30"/>
      <c r="CT119" s="30"/>
      <c r="CU119"/>
      <c r="CV119" s="30"/>
      <c r="CW119" s="30"/>
      <c r="CX119" s="30"/>
      <c r="CY119" s="30"/>
      <c r="CZ119" s="30"/>
      <c r="DA119" s="30"/>
      <c r="DB119" s="30"/>
      <c r="DC119" s="30"/>
    </row>
    <row r="120" spans="20:107" ht="14" x14ac:dyDescent="0.15">
      <c r="T120"/>
      <c r="U120"/>
      <c r="V120"/>
      <c r="W120"/>
      <c r="X120"/>
      <c r="Y120" s="264"/>
      <c r="Z120"/>
      <c r="AA120"/>
      <c r="AB120"/>
      <c r="AC120"/>
      <c r="AD120"/>
      <c r="AE120"/>
      <c r="AF120"/>
      <c r="AG120"/>
      <c r="BF120"/>
      <c r="BG120"/>
      <c r="BH120"/>
      <c r="BI120"/>
      <c r="BJ120"/>
      <c r="BL120"/>
      <c r="BM120"/>
      <c r="BN120" s="167"/>
      <c r="CA120" s="294"/>
      <c r="CB120"/>
      <c r="CC120"/>
      <c r="CD120"/>
      <c r="CE120"/>
      <c r="CF120"/>
      <c r="CG120"/>
      <c r="CH120"/>
      <c r="CI120"/>
      <c r="CJ120"/>
      <c r="CK120" s="30"/>
      <c r="CL120" s="30"/>
      <c r="CM120" s="30"/>
      <c r="CO120" s="30"/>
      <c r="CP120" s="30"/>
      <c r="CQ120" s="293"/>
      <c r="CR120" s="30"/>
      <c r="CS120" s="30"/>
      <c r="CT120" s="30"/>
      <c r="CU120"/>
      <c r="CV120" s="30"/>
      <c r="CW120" s="30"/>
      <c r="CX120" s="30"/>
      <c r="CY120" s="30"/>
      <c r="CZ120" s="30"/>
      <c r="DA120" s="30"/>
      <c r="DB120" s="30"/>
      <c r="DC120" s="30"/>
    </row>
    <row r="121" spans="20:107" ht="14" x14ac:dyDescent="0.15">
      <c r="T121"/>
      <c r="U121"/>
      <c r="V121"/>
      <c r="W121"/>
      <c r="X121"/>
      <c r="Y121" s="264"/>
      <c r="Z121"/>
      <c r="AA121"/>
      <c r="AB121"/>
      <c r="AC121"/>
      <c r="AD121"/>
      <c r="AE121"/>
      <c r="AF121"/>
      <c r="AG121"/>
      <c r="BF121"/>
      <c r="BG121"/>
      <c r="BH121"/>
      <c r="BI121"/>
      <c r="BJ121"/>
      <c r="BL121"/>
      <c r="BM121"/>
      <c r="BN121" s="167"/>
      <c r="CA121" s="294"/>
      <c r="CB121"/>
      <c r="CC121"/>
      <c r="CD121"/>
      <c r="CE121"/>
      <c r="CF121"/>
      <c r="CG121"/>
      <c r="CH121"/>
      <c r="CI121"/>
      <c r="CJ121"/>
      <c r="CK121" s="30"/>
      <c r="CL121" s="30"/>
      <c r="CM121" s="30"/>
      <c r="CO121" s="30"/>
      <c r="CP121" s="30"/>
      <c r="CQ121" s="293"/>
      <c r="CR121" s="30"/>
      <c r="CS121" s="30"/>
      <c r="CT121" s="30"/>
      <c r="CU121"/>
      <c r="CV121" s="30"/>
      <c r="CW121" s="30"/>
      <c r="CX121" s="30"/>
      <c r="CY121" s="30"/>
      <c r="CZ121" s="30"/>
      <c r="DA121" s="30"/>
      <c r="DB121" s="30"/>
      <c r="DC121" s="30"/>
    </row>
    <row r="122" spans="20:107" ht="14" x14ac:dyDescent="0.15">
      <c r="T122"/>
      <c r="U122"/>
      <c r="V122"/>
      <c r="W122"/>
      <c r="X122"/>
      <c r="Y122" s="264"/>
      <c r="Z122"/>
      <c r="AA122"/>
      <c r="AB122"/>
      <c r="AC122"/>
      <c r="AD122"/>
      <c r="AE122"/>
      <c r="AF122"/>
      <c r="AG122"/>
      <c r="BF122"/>
      <c r="BG122"/>
      <c r="BH122"/>
      <c r="BI122"/>
      <c r="BJ122"/>
      <c r="BL122"/>
      <c r="BM122"/>
      <c r="BN122" s="167"/>
      <c r="CA122" s="294"/>
      <c r="CB122"/>
      <c r="CC122"/>
      <c r="CD122"/>
      <c r="CE122"/>
      <c r="CF122"/>
      <c r="CG122"/>
      <c r="CH122"/>
      <c r="CI122"/>
      <c r="CJ122"/>
      <c r="CK122" s="30"/>
      <c r="CL122" s="30"/>
      <c r="CM122" s="30"/>
      <c r="CO122" s="30"/>
      <c r="CP122" s="30"/>
      <c r="CQ122" s="293"/>
      <c r="CR122" s="30"/>
      <c r="CS122" s="30"/>
      <c r="CT122" s="30"/>
      <c r="CU122"/>
      <c r="CV122" s="30"/>
      <c r="CW122" s="30"/>
      <c r="CX122" s="30"/>
      <c r="CY122" s="30"/>
      <c r="CZ122" s="30"/>
      <c r="DA122" s="30"/>
      <c r="DB122" s="30"/>
      <c r="DC122" s="30"/>
    </row>
    <row r="123" spans="20:107" ht="14" x14ac:dyDescent="0.15">
      <c r="T123"/>
      <c r="U123"/>
      <c r="V123"/>
      <c r="W123"/>
      <c r="X123"/>
      <c r="Y123" s="264"/>
      <c r="Z123"/>
      <c r="AA123"/>
      <c r="AB123"/>
      <c r="AC123"/>
      <c r="AD123"/>
      <c r="AE123"/>
      <c r="AF123"/>
      <c r="AG123"/>
      <c r="BF123"/>
      <c r="BG123"/>
      <c r="BH123"/>
      <c r="BI123"/>
      <c r="BJ123"/>
      <c r="BL123"/>
      <c r="BM123"/>
      <c r="BN123" s="167"/>
      <c r="CA123" s="294"/>
      <c r="CB123"/>
      <c r="CC123"/>
      <c r="CD123"/>
      <c r="CE123"/>
      <c r="CF123"/>
      <c r="CG123"/>
      <c r="CH123"/>
      <c r="CI123"/>
      <c r="CJ123"/>
      <c r="CK123" s="30"/>
      <c r="CL123" s="30"/>
      <c r="CM123" s="30"/>
      <c r="CO123" s="30"/>
      <c r="CP123" s="30"/>
      <c r="CQ123" s="293"/>
      <c r="CR123" s="30"/>
      <c r="CS123" s="30"/>
      <c r="CT123" s="30"/>
      <c r="CU123"/>
      <c r="CV123" s="30"/>
      <c r="CW123" s="30"/>
      <c r="CX123" s="30"/>
      <c r="CY123" s="30"/>
      <c r="CZ123" s="30"/>
      <c r="DA123" s="30"/>
      <c r="DB123" s="30"/>
      <c r="DC123" s="30"/>
    </row>
    <row r="124" spans="20:107" ht="14" x14ac:dyDescent="0.15">
      <c r="T124"/>
      <c r="U124"/>
      <c r="V124"/>
      <c r="W124"/>
      <c r="X124"/>
      <c r="Y124" s="264"/>
      <c r="Z124"/>
      <c r="AA124"/>
      <c r="AB124"/>
      <c r="AC124"/>
      <c r="AD124"/>
      <c r="AE124"/>
      <c r="AF124"/>
      <c r="AG124"/>
      <c r="BF124"/>
      <c r="BG124"/>
      <c r="BH124"/>
      <c r="BI124"/>
      <c r="BJ124"/>
      <c r="BL124"/>
      <c r="BM124"/>
      <c r="BN124" s="167"/>
      <c r="CA124" s="294"/>
      <c r="CB124"/>
      <c r="CC124"/>
      <c r="CD124"/>
      <c r="CE124"/>
      <c r="CF124"/>
      <c r="CG124"/>
      <c r="CH124"/>
      <c r="CI124"/>
      <c r="CJ124"/>
      <c r="CK124" s="30"/>
      <c r="CL124" s="30"/>
      <c r="CM124" s="30"/>
      <c r="CO124" s="30"/>
      <c r="CP124" s="30"/>
      <c r="CQ124" s="293"/>
      <c r="CR124" s="30"/>
      <c r="CS124" s="30"/>
      <c r="CT124" s="30"/>
      <c r="CU124"/>
      <c r="CV124" s="30"/>
      <c r="CW124" s="30"/>
      <c r="CX124" s="30"/>
      <c r="CY124" s="30"/>
      <c r="CZ124" s="30"/>
      <c r="DA124" s="30"/>
      <c r="DB124" s="30"/>
      <c r="DC124" s="30"/>
    </row>
    <row r="125" spans="20:107" ht="14" x14ac:dyDescent="0.15">
      <c r="T125"/>
      <c r="U125"/>
      <c r="V125"/>
      <c r="W125"/>
      <c r="X125"/>
      <c r="Y125" s="264"/>
      <c r="Z125"/>
      <c r="AA125"/>
      <c r="AB125"/>
      <c r="AC125"/>
      <c r="AD125"/>
      <c r="AE125"/>
      <c r="AF125"/>
      <c r="AG125"/>
      <c r="BF125"/>
      <c r="BG125"/>
      <c r="BH125"/>
      <c r="BI125"/>
      <c r="BJ125"/>
      <c r="BL125"/>
      <c r="BM125"/>
      <c r="BN125" s="167"/>
      <c r="CA125" s="294"/>
      <c r="CB125"/>
      <c r="CC125"/>
      <c r="CD125"/>
      <c r="CE125"/>
      <c r="CF125"/>
      <c r="CG125"/>
      <c r="CH125"/>
      <c r="CI125"/>
      <c r="CJ125"/>
      <c r="CK125" s="30"/>
      <c r="CL125" s="30"/>
      <c r="CM125" s="30"/>
      <c r="CO125" s="30"/>
      <c r="CP125" s="30"/>
      <c r="CQ125" s="293"/>
      <c r="CR125" s="30"/>
      <c r="CS125" s="30"/>
      <c r="CT125" s="30"/>
      <c r="CU125"/>
      <c r="CV125" s="30"/>
      <c r="CW125" s="30"/>
      <c r="CX125" s="30"/>
      <c r="CY125" s="30"/>
      <c r="CZ125" s="30"/>
      <c r="DA125" s="30"/>
      <c r="DB125" s="30"/>
      <c r="DC125" s="30"/>
    </row>
    <row r="126" spans="20:107" ht="14" x14ac:dyDescent="0.15">
      <c r="T126"/>
      <c r="U126"/>
      <c r="V126"/>
      <c r="W126"/>
      <c r="X126"/>
      <c r="Y126" s="264"/>
      <c r="Z126"/>
      <c r="AA126"/>
      <c r="AB126"/>
      <c r="AC126"/>
      <c r="AD126"/>
      <c r="AE126"/>
      <c r="AF126"/>
      <c r="AG126"/>
      <c r="BF126"/>
      <c r="BG126"/>
      <c r="BH126"/>
      <c r="BI126"/>
      <c r="BJ126"/>
      <c r="BL126"/>
      <c r="BM126"/>
      <c r="BN126" s="167"/>
      <c r="CA126" s="294"/>
      <c r="CB126"/>
      <c r="CC126"/>
      <c r="CD126"/>
      <c r="CE126"/>
      <c r="CF126"/>
      <c r="CG126"/>
      <c r="CH126"/>
      <c r="CI126"/>
      <c r="CJ126"/>
      <c r="CK126" s="30"/>
      <c r="CL126" s="30"/>
      <c r="CM126" s="30"/>
      <c r="CO126" s="30"/>
      <c r="CP126" s="30"/>
      <c r="CQ126" s="293"/>
      <c r="CR126" s="30"/>
      <c r="CS126" s="30"/>
      <c r="CT126" s="30"/>
      <c r="CU126"/>
      <c r="CV126" s="30"/>
      <c r="CW126" s="30"/>
      <c r="CX126" s="30"/>
      <c r="CY126" s="30"/>
      <c r="CZ126" s="30"/>
      <c r="DA126" s="30"/>
      <c r="DB126" s="30"/>
      <c r="DC126" s="30"/>
    </row>
    <row r="127" spans="20:107" ht="14" x14ac:dyDescent="0.15">
      <c r="T127"/>
      <c r="U127"/>
      <c r="V127"/>
      <c r="W127"/>
      <c r="X127"/>
      <c r="Y127" s="264"/>
      <c r="Z127"/>
      <c r="AA127"/>
      <c r="AB127"/>
      <c r="AC127"/>
      <c r="AD127"/>
      <c r="AE127"/>
      <c r="AF127"/>
      <c r="AG127"/>
      <c r="BF127"/>
      <c r="BG127"/>
      <c r="BH127"/>
      <c r="BI127"/>
      <c r="BJ127"/>
      <c r="BL127"/>
      <c r="BM127"/>
      <c r="BN127" s="167"/>
      <c r="CA127" s="294"/>
      <c r="CB127"/>
      <c r="CC127"/>
      <c r="CD127"/>
      <c r="CE127"/>
      <c r="CF127"/>
      <c r="CG127"/>
      <c r="CH127"/>
      <c r="CI127"/>
      <c r="CJ127"/>
      <c r="CK127" s="30"/>
      <c r="CL127" s="30"/>
      <c r="CM127" s="30"/>
      <c r="CO127" s="30"/>
      <c r="CP127" s="30"/>
      <c r="CQ127" s="293"/>
      <c r="CR127" s="30"/>
      <c r="CS127" s="30"/>
      <c r="CT127" s="30"/>
      <c r="CU127"/>
      <c r="CV127" s="30"/>
      <c r="CW127" s="30"/>
      <c r="CX127" s="30"/>
      <c r="CY127" s="30"/>
      <c r="CZ127" s="30"/>
      <c r="DA127" s="30"/>
      <c r="DB127" s="30"/>
      <c r="DC127" s="30"/>
    </row>
    <row r="128" spans="20:107" ht="14" x14ac:dyDescent="0.15">
      <c r="Y128" s="265"/>
      <c r="BF128" s="30"/>
      <c r="BG128" s="30"/>
      <c r="BH128" s="30"/>
      <c r="BI128" s="30"/>
      <c r="BJ128" s="30"/>
      <c r="BL128" s="30"/>
      <c r="BM128" s="30"/>
      <c r="BN128" s="99"/>
      <c r="CA128" s="294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O128" s="30"/>
      <c r="CP128" s="30"/>
      <c r="CQ128" s="293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</row>
    <row r="129" spans="1:107" ht="14" x14ac:dyDescent="0.1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Y129" s="265"/>
      <c r="BF129" s="30"/>
      <c r="BG129" s="30"/>
      <c r="BH129" s="30"/>
      <c r="BI129" s="30"/>
      <c r="BJ129" s="30"/>
      <c r="BL129" s="30"/>
      <c r="BM129" s="30"/>
      <c r="BN129" s="99"/>
      <c r="CA129" s="294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O129" s="30"/>
      <c r="CP129" s="30"/>
      <c r="CQ129" s="293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</row>
    <row r="130" spans="1:107" ht="14" x14ac:dyDescent="0.1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Y130" s="265"/>
      <c r="BF130"/>
      <c r="BG130"/>
      <c r="BH130"/>
      <c r="BI130"/>
      <c r="BJ130"/>
      <c r="BL130"/>
      <c r="BM130"/>
      <c r="BN130" s="167"/>
      <c r="CA130" s="294"/>
      <c r="CB130"/>
      <c r="CC130"/>
      <c r="CD130"/>
      <c r="CE130"/>
      <c r="CF130"/>
      <c r="CG130"/>
      <c r="CH130"/>
      <c r="CI130"/>
      <c r="CJ130"/>
      <c r="CK130" s="30"/>
      <c r="CL130" s="30"/>
      <c r="CM130" s="30"/>
      <c r="CO130" s="30"/>
      <c r="CP130" s="30"/>
      <c r="CQ130" s="293"/>
      <c r="CR130" s="30"/>
      <c r="CS130" s="30"/>
      <c r="CT130" s="30"/>
      <c r="CU130"/>
      <c r="CV130" s="30"/>
      <c r="CW130" s="30"/>
      <c r="CX130" s="30"/>
      <c r="CY130" s="30"/>
      <c r="CZ130" s="30"/>
      <c r="DA130" s="30"/>
      <c r="DB130" s="30"/>
      <c r="DC130" s="30"/>
    </row>
    <row r="131" spans="1:107" ht="14" x14ac:dyDescent="0.1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Y131" s="265"/>
      <c r="BF131"/>
      <c r="BG131"/>
      <c r="BH131"/>
      <c r="BI131"/>
      <c r="BJ131"/>
      <c r="BL131"/>
      <c r="BM131"/>
      <c r="BN131" s="167"/>
      <c r="CA131" s="294"/>
      <c r="CB131"/>
      <c r="CC131"/>
      <c r="CD131"/>
      <c r="CE131"/>
      <c r="CF131"/>
      <c r="CG131"/>
      <c r="CH131"/>
      <c r="CI131"/>
      <c r="CJ131"/>
      <c r="CK131" s="30"/>
      <c r="CL131" s="30"/>
      <c r="CM131" s="30"/>
      <c r="CO131" s="30"/>
      <c r="CP131" s="30"/>
      <c r="CQ131" s="293"/>
      <c r="CR131" s="30"/>
      <c r="CS131" s="30"/>
      <c r="CT131" s="30"/>
      <c r="CU131"/>
      <c r="CV131" s="30"/>
      <c r="CW131" s="30"/>
      <c r="CX131" s="30"/>
      <c r="CY131" s="30"/>
      <c r="CZ131" s="30"/>
      <c r="DA131" s="30"/>
      <c r="DB131" s="30"/>
      <c r="DC131" s="30"/>
    </row>
    <row r="132" spans="1:107" ht="14" x14ac:dyDescent="0.15">
      <c r="A132" s="30" t="s">
        <v>234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T132"/>
      <c r="U132"/>
      <c r="V132"/>
      <c r="W132"/>
      <c r="X132"/>
      <c r="Y132" s="264"/>
      <c r="Z132"/>
      <c r="AA132"/>
      <c r="AB132"/>
      <c r="AC132"/>
      <c r="AD132"/>
      <c r="AE132"/>
      <c r="AF132"/>
      <c r="AG132"/>
      <c r="BC132" s="242"/>
      <c r="BD132" s="242"/>
      <c r="BE132" s="242"/>
      <c r="BF132" s="30"/>
      <c r="BG132" s="30"/>
      <c r="BH132" s="30"/>
      <c r="BI132" s="30"/>
      <c r="BJ132" s="30"/>
      <c r="BL132" s="30"/>
      <c r="BM132" s="30"/>
      <c r="BN132" s="99"/>
      <c r="BT132" s="101"/>
      <c r="BU132" s="101"/>
      <c r="BV132" s="101"/>
      <c r="BW132" s="101"/>
      <c r="BX132" s="101"/>
      <c r="BY132" s="101"/>
      <c r="BZ132" s="101"/>
      <c r="CA132" s="291"/>
      <c r="CB132" s="30"/>
      <c r="CC132"/>
      <c r="CD132"/>
      <c r="CE132"/>
      <c r="CF132"/>
      <c r="CG132"/>
      <c r="CH132"/>
      <c r="CI132"/>
      <c r="CJ132"/>
      <c r="CK132"/>
      <c r="CL132"/>
      <c r="CM132"/>
      <c r="CO132"/>
      <c r="CP132"/>
      <c r="CQ132" s="294"/>
      <c r="CR132"/>
      <c r="CS132"/>
      <c r="CT132"/>
      <c r="CU132"/>
      <c r="CV132"/>
      <c r="CW132"/>
      <c r="CX132"/>
      <c r="CY132"/>
      <c r="CZ132"/>
      <c r="DA132" s="30"/>
      <c r="DB132" s="30"/>
      <c r="DC132" s="30"/>
    </row>
    <row r="133" spans="1:107" ht="14" x14ac:dyDescent="0.1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Y133" s="265"/>
      <c r="BF133" s="30"/>
      <c r="BG133" s="30"/>
      <c r="BH133" s="30"/>
      <c r="BI133" s="30"/>
      <c r="BJ133" s="30"/>
      <c r="BL133" s="30"/>
      <c r="BM133" s="30"/>
      <c r="BN133" s="99"/>
      <c r="CA133" s="294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O133" s="30"/>
      <c r="CP133" s="30"/>
      <c r="CQ133" s="293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</row>
    <row r="134" spans="1:107" ht="14" x14ac:dyDescent="0.1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Y134" s="265"/>
      <c r="BF134" s="30"/>
      <c r="BG134" s="30"/>
      <c r="BH134" s="30"/>
      <c r="BI134" s="30"/>
      <c r="BJ134" s="30"/>
      <c r="BL134" s="30"/>
      <c r="BM134" s="30"/>
      <c r="BN134" s="99"/>
      <c r="CA134" s="294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O134" s="30"/>
      <c r="CP134" s="30"/>
      <c r="CQ134" s="293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</row>
    <row r="135" spans="1:107" ht="14" x14ac:dyDescent="0.1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Y135" s="265"/>
      <c r="BF135" s="30"/>
      <c r="BG135" s="30"/>
      <c r="BH135" s="30"/>
      <c r="BI135" s="30"/>
      <c r="BJ135" s="30"/>
      <c r="BL135" s="30"/>
      <c r="BM135" s="30"/>
      <c r="BN135" s="99"/>
      <c r="CA135" s="294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O135" s="30"/>
      <c r="CP135" s="30"/>
      <c r="CQ135" s="293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</row>
    <row r="136" spans="1:107" ht="14" x14ac:dyDescent="0.15">
      <c r="A136" s="240">
        <v>3</v>
      </c>
      <c r="B136" s="240" t="s">
        <v>175</v>
      </c>
      <c r="C136" s="240" t="s">
        <v>235</v>
      </c>
      <c r="D136" s="241">
        <v>878</v>
      </c>
      <c r="E136" s="254"/>
      <c r="F136" s="68" t="s">
        <v>101</v>
      </c>
      <c r="G136" s="68">
        <v>2</v>
      </c>
      <c r="H136" s="202">
        <v>80</v>
      </c>
      <c r="I136" s="202">
        <v>40</v>
      </c>
      <c r="J136" s="202">
        <v>18</v>
      </c>
      <c r="K136" s="202">
        <v>18</v>
      </c>
      <c r="L136" s="203">
        <f>(((J136/2)*(K136/2))*PI())*((I136/10)*H136)</f>
        <v>81430.081581047431</v>
      </c>
      <c r="M136" s="84">
        <v>14.3</v>
      </c>
      <c r="N136" s="84">
        <v>14.5</v>
      </c>
      <c r="O136" s="84">
        <v>14.5</v>
      </c>
      <c r="P136" s="84">
        <v>14.5</v>
      </c>
      <c r="Q136" s="204">
        <v>14.5</v>
      </c>
      <c r="R136" s="204">
        <v>14.5</v>
      </c>
      <c r="S136" s="84">
        <v>14.45</v>
      </c>
      <c r="T136" s="34">
        <v>14.475</v>
      </c>
      <c r="U136" s="42"/>
      <c r="V136" s="40"/>
      <c r="W136" s="40"/>
      <c r="X136" s="81"/>
      <c r="Y136" s="284"/>
      <c r="Z136" s="81"/>
      <c r="AA136" s="81"/>
      <c r="AB136" s="81"/>
      <c r="AC136" s="81"/>
      <c r="AD136" s="81"/>
      <c r="AE136" s="81"/>
      <c r="AF136"/>
      <c r="AG136" t="s">
        <v>236</v>
      </c>
      <c r="AH136" s="175">
        <v>1</v>
      </c>
      <c r="AI136" s="41">
        <v>3</v>
      </c>
      <c r="AJ136" s="41" t="s">
        <v>101</v>
      </c>
      <c r="AK136" s="41"/>
      <c r="AL136" s="175">
        <v>45</v>
      </c>
      <c r="AM136" s="175" t="s">
        <v>237</v>
      </c>
      <c r="AN136" s="175"/>
      <c r="AO136" s="175">
        <v>70</v>
      </c>
      <c r="AP136" s="205">
        <v>75</v>
      </c>
      <c r="AQ136" s="205">
        <v>20</v>
      </c>
      <c r="AR136" s="205">
        <v>15</v>
      </c>
      <c r="AS136" s="205">
        <v>11</v>
      </c>
      <c r="AT136" s="206">
        <f>(((AR136/2)*(AS136/2))*PI())*((AQ136/10)*AP136)</f>
        <v>19438.604544086844</v>
      </c>
      <c r="AU136" s="205" t="s">
        <v>238</v>
      </c>
      <c r="AV136" s="41"/>
      <c r="AW136" s="41"/>
      <c r="AX136" s="175"/>
      <c r="AY136" s="175"/>
      <c r="AZ136" s="175"/>
      <c r="BA136" s="175"/>
      <c r="BB136" s="199"/>
      <c r="BC136" s="207">
        <v>5</v>
      </c>
      <c r="BD136" s="207">
        <v>2</v>
      </c>
      <c r="BE136" s="207">
        <v>1</v>
      </c>
      <c r="BF136" s="97"/>
      <c r="BG136" s="97"/>
      <c r="BH136" s="97"/>
      <c r="BI136" s="97"/>
      <c r="BJ136" s="97"/>
      <c r="BK136" s="28"/>
      <c r="BL136" s="97"/>
      <c r="BM136" s="30"/>
      <c r="BN136" s="99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CA136" s="294"/>
      <c r="CB136" s="30"/>
      <c r="CC136" s="212"/>
      <c r="CD136" s="24" t="s">
        <v>177</v>
      </c>
      <c r="CE136" s="24">
        <v>878</v>
      </c>
      <c r="CF136" s="43">
        <v>0.45197481156716429</v>
      </c>
      <c r="CG136" s="43">
        <v>0.40585493283582091</v>
      </c>
      <c r="CH136" s="95">
        <v>0.45171297359357071</v>
      </c>
      <c r="CI136" s="43">
        <v>0.48416132417910462</v>
      </c>
      <c r="CJ136" s="43">
        <v>0.34190157707462693</v>
      </c>
      <c r="CK136" s="43">
        <v>0.25704145746268664</v>
      </c>
      <c r="CL136" s="51"/>
      <c r="CM136" s="255"/>
      <c r="CN136" s="255"/>
      <c r="CO136" s="33"/>
      <c r="CP136" s="114"/>
      <c r="CQ136" s="300" t="s">
        <v>104</v>
      </c>
      <c r="CR136" s="114"/>
      <c r="CS136" s="114"/>
      <c r="CT136" s="30"/>
      <c r="CU136" s="49"/>
      <c r="CV136" s="47" t="s">
        <v>175</v>
      </c>
      <c r="CW136" s="52" t="s">
        <v>239</v>
      </c>
      <c r="CX136" s="52" t="s">
        <v>239</v>
      </c>
      <c r="CY136" s="52" t="s">
        <v>239</v>
      </c>
      <c r="CZ136" s="185"/>
      <c r="DA136" s="30"/>
      <c r="DB136" s="30"/>
      <c r="DC136" s="30"/>
    </row>
    <row r="137" spans="1:107" ht="14" x14ac:dyDescent="0.1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BF137" s="30"/>
      <c r="BG137" s="30"/>
      <c r="BH137" s="30"/>
      <c r="BI137" s="30"/>
      <c r="BJ137" s="30"/>
      <c r="BL137" s="30"/>
      <c r="BM137" s="30"/>
      <c r="BN137" s="99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O137" s="30"/>
      <c r="CP137" s="30"/>
      <c r="CQ137" s="99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</row>
    <row r="138" spans="1:107" ht="14" x14ac:dyDescent="0.1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BF138" s="30"/>
      <c r="BG138" s="30"/>
      <c r="BH138" s="30"/>
      <c r="BI138" s="30"/>
      <c r="BJ138" s="30"/>
      <c r="BL138" s="30"/>
      <c r="BM138" s="30"/>
      <c r="BN138" s="99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O138" s="30"/>
      <c r="CP138" s="30"/>
      <c r="CQ138" s="99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</row>
  </sheetData>
  <sortState xmlns:xlrd2="http://schemas.microsoft.com/office/spreadsheetml/2017/richdata2" ref="A63:AT91">
    <sortCondition ref="D63:D91"/>
  </sortState>
  <phoneticPr fontId="23" type="noConversion"/>
  <printOptions gridLines="1"/>
  <pageMargins left="0.7" right="0.7" top="0.75" bottom="0.75" header="0.3" footer="0.3"/>
  <pageSetup orientation="portrait" horizontalDpi="4294967295" verticalDpi="4294967295" r:id="rId1"/>
  <customProperties>
    <customPr name="SSCSheetTrackingNo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1A2D-19BA-5D4C-83BE-70D9D82DBD85}">
  <dimension ref="A1:E136"/>
  <sheetViews>
    <sheetView workbookViewId="0">
      <selection activeCell="F1" sqref="F1"/>
    </sheetView>
  </sheetViews>
  <sheetFormatPr baseColWidth="10" defaultColWidth="11" defaultRowHeight="14" x14ac:dyDescent="0.15"/>
  <cols>
    <col min="1" max="2" width="8.33203125" style="19" customWidth="1"/>
    <col min="3" max="3" width="10" style="19" customWidth="1"/>
    <col min="4" max="4" width="6.1640625" style="19" customWidth="1"/>
    <col min="5" max="5" width="7.83203125" customWidth="1"/>
  </cols>
  <sheetData>
    <row r="1" spans="1:5" ht="50" customHeight="1" thickBot="1" x14ac:dyDescent="0.2">
      <c r="A1" s="57" t="s">
        <v>0</v>
      </c>
      <c r="B1" s="76" t="s">
        <v>1</v>
      </c>
      <c r="C1" s="76" t="s">
        <v>2</v>
      </c>
      <c r="D1" s="69" t="s">
        <v>3</v>
      </c>
      <c r="E1" s="186" t="s">
        <v>240</v>
      </c>
    </row>
    <row r="2" spans="1:5" x14ac:dyDescent="0.15">
      <c r="A2" s="190">
        <v>1</v>
      </c>
      <c r="B2" s="191" t="s">
        <v>99</v>
      </c>
      <c r="C2" s="190" t="s">
        <v>100</v>
      </c>
      <c r="D2" s="192">
        <v>805</v>
      </c>
    </row>
    <row r="3" spans="1:5" x14ac:dyDescent="0.15">
      <c r="A3" s="200">
        <v>1</v>
      </c>
      <c r="B3" s="107" t="s">
        <v>99</v>
      </c>
      <c r="C3" s="200" t="s">
        <v>105</v>
      </c>
      <c r="D3" s="201">
        <v>807</v>
      </c>
    </row>
    <row r="4" spans="1:5" x14ac:dyDescent="0.15">
      <c r="A4" s="200">
        <v>1</v>
      </c>
      <c r="B4" s="107" t="s">
        <v>99</v>
      </c>
      <c r="C4" s="200" t="s">
        <v>106</v>
      </c>
      <c r="D4" s="201">
        <v>813</v>
      </c>
    </row>
    <row r="5" spans="1:5" x14ac:dyDescent="0.15">
      <c r="A5" s="200">
        <v>1</v>
      </c>
      <c r="B5" s="107" t="s">
        <v>99</v>
      </c>
      <c r="C5" s="200" t="s">
        <v>107</v>
      </c>
      <c r="D5" s="201">
        <v>814</v>
      </c>
    </row>
    <row r="6" spans="1:5" x14ac:dyDescent="0.15">
      <c r="A6" s="200">
        <v>1</v>
      </c>
      <c r="B6" s="107" t="s">
        <v>99</v>
      </c>
      <c r="C6" s="200" t="s">
        <v>108</v>
      </c>
      <c r="D6" s="201">
        <v>820</v>
      </c>
    </row>
    <row r="7" spans="1:5" x14ac:dyDescent="0.15">
      <c r="A7" s="200">
        <v>1</v>
      </c>
      <c r="B7" s="107" t="s">
        <v>99</v>
      </c>
      <c r="C7" s="200" t="s">
        <v>109</v>
      </c>
      <c r="D7" s="201">
        <v>821</v>
      </c>
    </row>
    <row r="8" spans="1:5" x14ac:dyDescent="0.15">
      <c r="A8" s="200">
        <v>1</v>
      </c>
      <c r="B8" s="107" t="s">
        <v>99</v>
      </c>
      <c r="C8" s="200" t="s">
        <v>111</v>
      </c>
      <c r="D8" s="201">
        <v>824</v>
      </c>
    </row>
    <row r="9" spans="1:5" x14ac:dyDescent="0.15">
      <c r="A9" s="200">
        <v>1</v>
      </c>
      <c r="B9" s="107" t="s">
        <v>99</v>
      </c>
      <c r="C9" s="200" t="s">
        <v>113</v>
      </c>
      <c r="D9" s="201">
        <v>827</v>
      </c>
    </row>
    <row r="10" spans="1:5" x14ac:dyDescent="0.15">
      <c r="A10" s="200">
        <v>1</v>
      </c>
      <c r="B10" s="107" t="s">
        <v>99</v>
      </c>
      <c r="C10" s="200" t="s">
        <v>114</v>
      </c>
      <c r="D10" s="201">
        <v>830</v>
      </c>
    </row>
    <row r="11" spans="1:5" x14ac:dyDescent="0.15">
      <c r="A11" s="200">
        <v>1</v>
      </c>
      <c r="B11" s="107" t="s">
        <v>99</v>
      </c>
      <c r="C11" s="200" t="s">
        <v>115</v>
      </c>
      <c r="D11" s="201">
        <v>831</v>
      </c>
    </row>
    <row r="12" spans="1:5" x14ac:dyDescent="0.15">
      <c r="A12" s="200">
        <v>1</v>
      </c>
      <c r="B12" s="107" t="s">
        <v>99</v>
      </c>
      <c r="C12" s="200" t="s">
        <v>116</v>
      </c>
      <c r="D12" s="201">
        <v>837</v>
      </c>
    </row>
    <row r="13" spans="1:5" x14ac:dyDescent="0.15">
      <c r="A13" s="200">
        <v>1</v>
      </c>
      <c r="B13" s="107" t="s">
        <v>99</v>
      </c>
      <c r="C13" s="200" t="s">
        <v>117</v>
      </c>
      <c r="D13" s="201">
        <v>838</v>
      </c>
    </row>
    <row r="14" spans="1:5" x14ac:dyDescent="0.15">
      <c r="A14" s="200">
        <v>1</v>
      </c>
      <c r="B14" s="107" t="s">
        <v>99</v>
      </c>
      <c r="C14" s="200" t="s">
        <v>118</v>
      </c>
      <c r="D14" s="201">
        <v>842</v>
      </c>
    </row>
    <row r="15" spans="1:5" x14ac:dyDescent="0.15">
      <c r="A15" s="200">
        <v>1</v>
      </c>
      <c r="B15" s="107" t="s">
        <v>99</v>
      </c>
      <c r="C15" s="200" t="s">
        <v>119</v>
      </c>
      <c r="D15" s="201">
        <v>847</v>
      </c>
    </row>
    <row r="16" spans="1:5" x14ac:dyDescent="0.15">
      <c r="A16" s="200">
        <v>1</v>
      </c>
      <c r="B16" s="107" t="s">
        <v>99</v>
      </c>
      <c r="C16" s="200" t="s">
        <v>120</v>
      </c>
      <c r="D16" s="201">
        <v>848</v>
      </c>
    </row>
    <row r="17" spans="1:4" x14ac:dyDescent="0.15">
      <c r="A17" s="200">
        <v>1</v>
      </c>
      <c r="B17" s="107" t="s">
        <v>99</v>
      </c>
      <c r="C17" s="200" t="s">
        <v>121</v>
      </c>
      <c r="D17" s="201">
        <v>851</v>
      </c>
    </row>
    <row r="18" spans="1:4" x14ac:dyDescent="0.15">
      <c r="A18" s="200">
        <v>1</v>
      </c>
      <c r="B18" s="107" t="s">
        <v>99</v>
      </c>
      <c r="C18" s="200" t="s">
        <v>122</v>
      </c>
      <c r="D18" s="201">
        <v>853</v>
      </c>
    </row>
    <row r="19" spans="1:4" x14ac:dyDescent="0.15">
      <c r="A19" s="200">
        <v>1</v>
      </c>
      <c r="B19" s="107" t="s">
        <v>99</v>
      </c>
      <c r="C19" s="200" t="s">
        <v>123</v>
      </c>
      <c r="D19" s="201">
        <v>860</v>
      </c>
    </row>
    <row r="20" spans="1:4" x14ac:dyDescent="0.15">
      <c r="A20" s="200">
        <v>1</v>
      </c>
      <c r="B20" s="107" t="s">
        <v>99</v>
      </c>
      <c r="C20" s="200" t="s">
        <v>124</v>
      </c>
      <c r="D20" s="201">
        <v>863</v>
      </c>
    </row>
    <row r="21" spans="1:4" x14ac:dyDescent="0.15">
      <c r="A21" s="200">
        <v>1</v>
      </c>
      <c r="B21" s="107" t="s">
        <v>99</v>
      </c>
      <c r="C21" s="200" t="s">
        <v>125</v>
      </c>
      <c r="D21" s="201">
        <v>864</v>
      </c>
    </row>
    <row r="22" spans="1:4" x14ac:dyDescent="0.15">
      <c r="A22" s="200">
        <v>1</v>
      </c>
      <c r="B22" s="107" t="s">
        <v>99</v>
      </c>
      <c r="C22" s="200" t="s">
        <v>126</v>
      </c>
      <c r="D22" s="201">
        <v>867</v>
      </c>
    </row>
    <row r="23" spans="1:4" x14ac:dyDescent="0.15">
      <c r="A23" s="200">
        <v>1</v>
      </c>
      <c r="B23" s="107" t="s">
        <v>99</v>
      </c>
      <c r="C23" s="200" t="s">
        <v>127</v>
      </c>
      <c r="D23" s="201">
        <v>868</v>
      </c>
    </row>
    <row r="24" spans="1:4" x14ac:dyDescent="0.15">
      <c r="A24" s="200">
        <v>1</v>
      </c>
      <c r="B24" s="107" t="s">
        <v>99</v>
      </c>
      <c r="C24" s="200" t="s">
        <v>128</v>
      </c>
      <c r="D24" s="201">
        <v>869</v>
      </c>
    </row>
    <row r="25" spans="1:4" x14ac:dyDescent="0.15">
      <c r="A25" s="200">
        <v>1</v>
      </c>
      <c r="B25" s="107" t="s">
        <v>99</v>
      </c>
      <c r="C25" s="200" t="s">
        <v>129</v>
      </c>
      <c r="D25" s="201">
        <v>872</v>
      </c>
    </row>
    <row r="26" spans="1:4" x14ac:dyDescent="0.15">
      <c r="A26" s="200">
        <v>1</v>
      </c>
      <c r="B26" s="107" t="s">
        <v>99</v>
      </c>
      <c r="C26" s="200" t="s">
        <v>130</v>
      </c>
      <c r="D26" s="201">
        <v>876</v>
      </c>
    </row>
    <row r="27" spans="1:4" x14ac:dyDescent="0.15">
      <c r="A27" s="200">
        <v>1</v>
      </c>
      <c r="B27" s="107" t="s">
        <v>99</v>
      </c>
      <c r="C27" s="200" t="s">
        <v>131</v>
      </c>
      <c r="D27" s="201">
        <v>881</v>
      </c>
    </row>
    <row r="28" spans="1:4" x14ac:dyDescent="0.15">
      <c r="A28" s="200">
        <v>1</v>
      </c>
      <c r="B28" s="107" t="s">
        <v>99</v>
      </c>
      <c r="C28" s="200" t="s">
        <v>132</v>
      </c>
      <c r="D28" s="201">
        <v>882</v>
      </c>
    </row>
    <row r="29" spans="1:4" x14ac:dyDescent="0.15">
      <c r="A29" s="200">
        <v>1</v>
      </c>
      <c r="B29" s="107" t="s">
        <v>99</v>
      </c>
      <c r="C29" s="200" t="s">
        <v>133</v>
      </c>
      <c r="D29" s="201">
        <v>885</v>
      </c>
    </row>
    <row r="30" spans="1:4" x14ac:dyDescent="0.15">
      <c r="A30" s="200">
        <v>1</v>
      </c>
      <c r="B30" s="107" t="s">
        <v>99</v>
      </c>
      <c r="C30" s="200" t="s">
        <v>134</v>
      </c>
      <c r="D30" s="201">
        <v>889</v>
      </c>
    </row>
    <row r="31" spans="1:4" ht="15" thickBot="1" x14ac:dyDescent="0.2">
      <c r="A31" s="213">
        <v>1</v>
      </c>
      <c r="B31" s="214" t="s">
        <v>99</v>
      </c>
      <c r="C31" s="213" t="s">
        <v>135</v>
      </c>
      <c r="D31" s="215">
        <v>890</v>
      </c>
    </row>
    <row r="32" spans="1:4" x14ac:dyDescent="0.15">
      <c r="A32" s="229">
        <v>2</v>
      </c>
      <c r="B32" s="229" t="s">
        <v>136</v>
      </c>
      <c r="C32" s="229" t="s">
        <v>137</v>
      </c>
      <c r="D32" s="230">
        <v>800</v>
      </c>
    </row>
    <row r="33" spans="1:4" x14ac:dyDescent="0.15">
      <c r="A33" s="232">
        <v>2</v>
      </c>
      <c r="B33" s="232" t="s">
        <v>136</v>
      </c>
      <c r="C33" s="232" t="s">
        <v>139</v>
      </c>
      <c r="D33" s="233">
        <v>801</v>
      </c>
    </row>
    <row r="34" spans="1:4" x14ac:dyDescent="0.15">
      <c r="A34" s="232">
        <v>2</v>
      </c>
      <c r="B34" s="232" t="s">
        <v>136</v>
      </c>
      <c r="C34" s="232" t="s">
        <v>140</v>
      </c>
      <c r="D34" s="233">
        <v>804</v>
      </c>
    </row>
    <row r="35" spans="1:4" x14ac:dyDescent="0.15">
      <c r="A35" s="232">
        <v>2</v>
      </c>
      <c r="B35" s="232" t="s">
        <v>136</v>
      </c>
      <c r="C35" s="232" t="s">
        <v>141</v>
      </c>
      <c r="D35" s="233">
        <v>806</v>
      </c>
    </row>
    <row r="36" spans="1:4" x14ac:dyDescent="0.15">
      <c r="A36" s="232">
        <v>2</v>
      </c>
      <c r="B36" s="232" t="s">
        <v>136</v>
      </c>
      <c r="C36" s="232" t="s">
        <v>142</v>
      </c>
      <c r="D36" s="233">
        <v>809</v>
      </c>
    </row>
    <row r="37" spans="1:4" x14ac:dyDescent="0.15">
      <c r="A37" s="232">
        <v>2</v>
      </c>
      <c r="B37" s="232" t="s">
        <v>136</v>
      </c>
      <c r="C37" s="232" t="s">
        <v>143</v>
      </c>
      <c r="D37" s="233">
        <v>810</v>
      </c>
    </row>
    <row r="38" spans="1:4" x14ac:dyDescent="0.15">
      <c r="A38" s="232">
        <v>2</v>
      </c>
      <c r="B38" s="232" t="s">
        <v>136</v>
      </c>
      <c r="C38" s="232" t="s">
        <v>144</v>
      </c>
      <c r="D38" s="233">
        <v>819</v>
      </c>
    </row>
    <row r="39" spans="1:4" x14ac:dyDescent="0.15">
      <c r="A39" s="232">
        <v>2</v>
      </c>
      <c r="B39" s="232" t="s">
        <v>136</v>
      </c>
      <c r="C39" s="232" t="s">
        <v>145</v>
      </c>
      <c r="D39" s="233">
        <v>822</v>
      </c>
    </row>
    <row r="40" spans="1:4" x14ac:dyDescent="0.15">
      <c r="A40" s="232">
        <v>2</v>
      </c>
      <c r="B40" s="232" t="s">
        <v>136</v>
      </c>
      <c r="C40" s="232" t="s">
        <v>146</v>
      </c>
      <c r="D40" s="233">
        <v>823</v>
      </c>
    </row>
    <row r="41" spans="1:4" x14ac:dyDescent="0.15">
      <c r="A41" s="232">
        <v>2</v>
      </c>
      <c r="B41" s="232" t="s">
        <v>136</v>
      </c>
      <c r="C41" s="232" t="s">
        <v>147</v>
      </c>
      <c r="D41" s="233">
        <v>825</v>
      </c>
    </row>
    <row r="42" spans="1:4" x14ac:dyDescent="0.15">
      <c r="A42" s="232">
        <v>2</v>
      </c>
      <c r="B42" s="232" t="s">
        <v>136</v>
      </c>
      <c r="C42" s="232" t="s">
        <v>148</v>
      </c>
      <c r="D42" s="233">
        <v>826</v>
      </c>
    </row>
    <row r="43" spans="1:4" x14ac:dyDescent="0.15">
      <c r="A43" s="232">
        <v>2</v>
      </c>
      <c r="B43" s="232" t="s">
        <v>136</v>
      </c>
      <c r="C43" s="232" t="s">
        <v>149</v>
      </c>
      <c r="D43" s="233">
        <v>828</v>
      </c>
    </row>
    <row r="44" spans="1:4" x14ac:dyDescent="0.15">
      <c r="A44" s="232">
        <v>2</v>
      </c>
      <c r="B44" s="232" t="s">
        <v>136</v>
      </c>
      <c r="C44" s="232" t="s">
        <v>150</v>
      </c>
      <c r="D44" s="233">
        <v>829</v>
      </c>
    </row>
    <row r="45" spans="1:4" x14ac:dyDescent="0.15">
      <c r="A45" s="232">
        <v>2</v>
      </c>
      <c r="B45" s="232" t="s">
        <v>136</v>
      </c>
      <c r="C45" s="232" t="s">
        <v>151</v>
      </c>
      <c r="D45" s="233">
        <v>832</v>
      </c>
    </row>
    <row r="46" spans="1:4" x14ac:dyDescent="0.15">
      <c r="A46" s="232">
        <v>2</v>
      </c>
      <c r="B46" s="232" t="s">
        <v>136</v>
      </c>
      <c r="C46" s="232" t="s">
        <v>152</v>
      </c>
      <c r="D46" s="233">
        <v>836</v>
      </c>
    </row>
    <row r="47" spans="1:4" x14ac:dyDescent="0.15">
      <c r="A47" s="232">
        <v>2</v>
      </c>
      <c r="B47" s="232" t="s">
        <v>136</v>
      </c>
      <c r="C47" s="232" t="s">
        <v>154</v>
      </c>
      <c r="D47" s="233">
        <v>839</v>
      </c>
    </row>
    <row r="48" spans="1:4" x14ac:dyDescent="0.15">
      <c r="A48" s="232">
        <v>2</v>
      </c>
      <c r="B48" s="232" t="s">
        <v>136</v>
      </c>
      <c r="C48" s="232" t="s">
        <v>155</v>
      </c>
      <c r="D48" s="233">
        <v>840</v>
      </c>
    </row>
    <row r="49" spans="1:4" x14ac:dyDescent="0.15">
      <c r="A49" s="232">
        <v>2</v>
      </c>
      <c r="B49" s="232" t="s">
        <v>136</v>
      </c>
      <c r="C49" s="232" t="s">
        <v>156</v>
      </c>
      <c r="D49" s="233">
        <v>841</v>
      </c>
    </row>
    <row r="50" spans="1:4" x14ac:dyDescent="0.15">
      <c r="A50" s="232">
        <v>2</v>
      </c>
      <c r="B50" s="232" t="s">
        <v>136</v>
      </c>
      <c r="C50" s="232" t="s">
        <v>157</v>
      </c>
      <c r="D50" s="233">
        <v>843</v>
      </c>
    </row>
    <row r="51" spans="1:4" x14ac:dyDescent="0.15">
      <c r="A51" s="232">
        <v>2</v>
      </c>
      <c r="B51" s="232" t="s">
        <v>136</v>
      </c>
      <c r="C51" s="232" t="s">
        <v>159</v>
      </c>
      <c r="D51" s="233">
        <v>850</v>
      </c>
    </row>
    <row r="52" spans="1:4" x14ac:dyDescent="0.15">
      <c r="A52" s="232">
        <v>2</v>
      </c>
      <c r="B52" s="232" t="s">
        <v>136</v>
      </c>
      <c r="C52" s="232" t="s">
        <v>161</v>
      </c>
      <c r="D52" s="233">
        <v>852</v>
      </c>
    </row>
    <row r="53" spans="1:4" x14ac:dyDescent="0.15">
      <c r="A53" s="232">
        <v>2</v>
      </c>
      <c r="B53" s="232" t="s">
        <v>136</v>
      </c>
      <c r="C53" s="232" t="s">
        <v>162</v>
      </c>
      <c r="D53" s="233">
        <v>854</v>
      </c>
    </row>
    <row r="54" spans="1:4" x14ac:dyDescent="0.15">
      <c r="A54" s="232">
        <v>2</v>
      </c>
      <c r="B54" s="232" t="s">
        <v>136</v>
      </c>
      <c r="C54" s="232" t="s">
        <v>164</v>
      </c>
      <c r="D54" s="233">
        <v>855</v>
      </c>
    </row>
    <row r="55" spans="1:4" x14ac:dyDescent="0.15">
      <c r="A55" s="232">
        <v>2</v>
      </c>
      <c r="B55" s="232" t="s">
        <v>136</v>
      </c>
      <c r="C55" s="232" t="s">
        <v>166</v>
      </c>
      <c r="D55" s="233">
        <v>857</v>
      </c>
    </row>
    <row r="56" spans="1:4" x14ac:dyDescent="0.15">
      <c r="A56" s="232">
        <v>2</v>
      </c>
      <c r="B56" s="232" t="s">
        <v>136</v>
      </c>
      <c r="C56" s="232" t="s">
        <v>167</v>
      </c>
      <c r="D56" s="233">
        <v>858</v>
      </c>
    </row>
    <row r="57" spans="1:4" x14ac:dyDescent="0.15">
      <c r="A57" s="232">
        <v>2</v>
      </c>
      <c r="B57" s="232" t="s">
        <v>136</v>
      </c>
      <c r="C57" s="232" t="s">
        <v>168</v>
      </c>
      <c r="D57" s="233">
        <v>870</v>
      </c>
    </row>
    <row r="58" spans="1:4" x14ac:dyDescent="0.15">
      <c r="A58" s="232">
        <v>2</v>
      </c>
      <c r="B58" s="232" t="s">
        <v>136</v>
      </c>
      <c r="C58" s="232" t="s">
        <v>169</v>
      </c>
      <c r="D58" s="233">
        <v>875</v>
      </c>
    </row>
    <row r="59" spans="1:4" x14ac:dyDescent="0.15">
      <c r="A59" s="232">
        <v>2</v>
      </c>
      <c r="B59" s="232" t="s">
        <v>136</v>
      </c>
      <c r="C59" s="232" t="s">
        <v>170</v>
      </c>
      <c r="D59" s="233">
        <v>880</v>
      </c>
    </row>
    <row r="60" spans="1:4" x14ac:dyDescent="0.15">
      <c r="A60" s="232">
        <v>2</v>
      </c>
      <c r="B60" s="232" t="s">
        <v>136</v>
      </c>
      <c r="C60" s="232" t="s">
        <v>171</v>
      </c>
      <c r="D60" s="233">
        <v>883</v>
      </c>
    </row>
    <row r="61" spans="1:4" x14ac:dyDescent="0.15">
      <c r="A61" s="232">
        <v>2</v>
      </c>
      <c r="B61" s="232" t="s">
        <v>136</v>
      </c>
      <c r="C61" s="232" t="s">
        <v>172</v>
      </c>
      <c r="D61" s="233">
        <v>884</v>
      </c>
    </row>
    <row r="62" spans="1:4" ht="15" thickBot="1" x14ac:dyDescent="0.2">
      <c r="A62" s="235">
        <v>2</v>
      </c>
      <c r="B62" s="235" t="s">
        <v>136</v>
      </c>
      <c r="C62" s="235" t="s">
        <v>174</v>
      </c>
      <c r="D62" s="236">
        <v>886</v>
      </c>
    </row>
    <row r="63" spans="1:4" x14ac:dyDescent="0.15">
      <c r="A63" s="238">
        <v>3</v>
      </c>
      <c r="B63" s="238" t="s">
        <v>175</v>
      </c>
      <c r="C63" s="238" t="s">
        <v>176</v>
      </c>
      <c r="D63" s="239">
        <v>802</v>
      </c>
    </row>
    <row r="64" spans="1:4" x14ac:dyDescent="0.15">
      <c r="A64" s="240">
        <v>3</v>
      </c>
      <c r="B64" s="240" t="s">
        <v>175</v>
      </c>
      <c r="C64" s="240" t="s">
        <v>178</v>
      </c>
      <c r="D64" s="241">
        <v>803</v>
      </c>
    </row>
    <row r="65" spans="1:4" x14ac:dyDescent="0.15">
      <c r="A65" s="240">
        <v>3</v>
      </c>
      <c r="B65" s="240" t="s">
        <v>175</v>
      </c>
      <c r="C65" s="240" t="s">
        <v>180</v>
      </c>
      <c r="D65" s="241">
        <v>808</v>
      </c>
    </row>
    <row r="66" spans="1:4" x14ac:dyDescent="0.15">
      <c r="A66" s="240">
        <v>3</v>
      </c>
      <c r="B66" s="240" t="s">
        <v>175</v>
      </c>
      <c r="C66" s="240" t="s">
        <v>181</v>
      </c>
      <c r="D66" s="241">
        <v>811</v>
      </c>
    </row>
    <row r="67" spans="1:4" x14ac:dyDescent="0.15">
      <c r="A67" s="240">
        <v>3</v>
      </c>
      <c r="B67" s="240" t="s">
        <v>175</v>
      </c>
      <c r="C67" s="240" t="s">
        <v>183</v>
      </c>
      <c r="D67" s="241">
        <v>812</v>
      </c>
    </row>
    <row r="68" spans="1:4" x14ac:dyDescent="0.15">
      <c r="A68" s="240">
        <v>3</v>
      </c>
      <c r="B68" s="240" t="s">
        <v>175</v>
      </c>
      <c r="C68" s="240" t="s">
        <v>185</v>
      </c>
      <c r="D68" s="241">
        <v>815</v>
      </c>
    </row>
    <row r="69" spans="1:4" x14ac:dyDescent="0.15">
      <c r="A69" s="240">
        <v>3</v>
      </c>
      <c r="B69" s="240" t="s">
        <v>175</v>
      </c>
      <c r="C69" s="240" t="s">
        <v>186</v>
      </c>
      <c r="D69" s="241">
        <v>816</v>
      </c>
    </row>
    <row r="70" spans="1:4" x14ac:dyDescent="0.15">
      <c r="A70" s="240">
        <v>3</v>
      </c>
      <c r="B70" s="240" t="s">
        <v>175</v>
      </c>
      <c r="C70" s="240" t="s">
        <v>188</v>
      </c>
      <c r="D70" s="241">
        <v>817</v>
      </c>
    </row>
    <row r="71" spans="1:4" x14ac:dyDescent="0.15">
      <c r="A71" s="240">
        <v>3</v>
      </c>
      <c r="B71" s="240" t="s">
        <v>175</v>
      </c>
      <c r="C71" s="240" t="s">
        <v>190</v>
      </c>
      <c r="D71" s="241">
        <v>818</v>
      </c>
    </row>
    <row r="72" spans="1:4" x14ac:dyDescent="0.15">
      <c r="A72" s="240">
        <v>3</v>
      </c>
      <c r="B72" s="240" t="s">
        <v>175</v>
      </c>
      <c r="C72" s="240" t="s">
        <v>193</v>
      </c>
      <c r="D72" s="241">
        <v>833</v>
      </c>
    </row>
    <row r="73" spans="1:4" x14ac:dyDescent="0.15">
      <c r="A73" s="240">
        <v>3</v>
      </c>
      <c r="B73" s="240" t="s">
        <v>175</v>
      </c>
      <c r="C73" s="240" t="s">
        <v>194</v>
      </c>
      <c r="D73" s="241">
        <v>834</v>
      </c>
    </row>
    <row r="74" spans="1:4" x14ac:dyDescent="0.15">
      <c r="A74" s="240">
        <v>3</v>
      </c>
      <c r="B74" s="240" t="s">
        <v>175</v>
      </c>
      <c r="C74" s="240" t="s">
        <v>195</v>
      </c>
      <c r="D74" s="241">
        <v>835</v>
      </c>
    </row>
    <row r="75" spans="1:4" x14ac:dyDescent="0.15">
      <c r="A75" s="240">
        <v>3</v>
      </c>
      <c r="B75" s="240" t="s">
        <v>175</v>
      </c>
      <c r="C75" s="240" t="s">
        <v>196</v>
      </c>
      <c r="D75" s="241">
        <v>844</v>
      </c>
    </row>
    <row r="76" spans="1:4" x14ac:dyDescent="0.15">
      <c r="A76" s="240">
        <v>3</v>
      </c>
      <c r="B76" s="240" t="s">
        <v>175</v>
      </c>
      <c r="C76" s="240" t="s">
        <v>197</v>
      </c>
      <c r="D76" s="241">
        <v>845</v>
      </c>
    </row>
    <row r="77" spans="1:4" x14ac:dyDescent="0.15">
      <c r="A77" s="240">
        <v>3</v>
      </c>
      <c r="B77" s="240" t="s">
        <v>175</v>
      </c>
      <c r="C77" s="240" t="s">
        <v>199</v>
      </c>
      <c r="D77" s="241">
        <v>846</v>
      </c>
    </row>
    <row r="78" spans="1:4" x14ac:dyDescent="0.15">
      <c r="A78" s="240">
        <v>3</v>
      </c>
      <c r="B78" s="240" t="s">
        <v>175</v>
      </c>
      <c r="C78" s="240" t="s">
        <v>200</v>
      </c>
      <c r="D78" s="241">
        <v>849</v>
      </c>
    </row>
    <row r="79" spans="1:4" x14ac:dyDescent="0.15">
      <c r="A79" s="240">
        <v>3</v>
      </c>
      <c r="B79" s="240" t="s">
        <v>175</v>
      </c>
      <c r="C79" s="240" t="s">
        <v>202</v>
      </c>
      <c r="D79" s="241">
        <v>856</v>
      </c>
    </row>
    <row r="80" spans="1:4" x14ac:dyDescent="0.15">
      <c r="A80" s="240">
        <v>3</v>
      </c>
      <c r="B80" s="240" t="s">
        <v>175</v>
      </c>
      <c r="C80" s="240" t="s">
        <v>203</v>
      </c>
      <c r="D80" s="241">
        <v>859</v>
      </c>
    </row>
    <row r="81" spans="1:4" x14ac:dyDescent="0.15">
      <c r="A81" s="240">
        <v>3</v>
      </c>
      <c r="B81" s="240" t="s">
        <v>175</v>
      </c>
      <c r="C81" s="240" t="s">
        <v>204</v>
      </c>
      <c r="D81" s="241">
        <v>861</v>
      </c>
    </row>
    <row r="82" spans="1:4" x14ac:dyDescent="0.15">
      <c r="A82" s="240">
        <v>3</v>
      </c>
      <c r="B82" s="240" t="s">
        <v>175</v>
      </c>
      <c r="C82" s="240" t="s">
        <v>205</v>
      </c>
      <c r="D82" s="241">
        <v>862</v>
      </c>
    </row>
    <row r="83" spans="1:4" x14ac:dyDescent="0.15">
      <c r="A83" s="240">
        <v>3</v>
      </c>
      <c r="B83" s="240" t="s">
        <v>175</v>
      </c>
      <c r="C83" s="240" t="s">
        <v>207</v>
      </c>
      <c r="D83" s="241">
        <v>865</v>
      </c>
    </row>
    <row r="84" spans="1:4" x14ac:dyDescent="0.15">
      <c r="A84" s="240">
        <v>3</v>
      </c>
      <c r="B84" s="240" t="s">
        <v>175</v>
      </c>
      <c r="C84" s="240" t="s">
        <v>208</v>
      </c>
      <c r="D84" s="241">
        <v>866</v>
      </c>
    </row>
    <row r="85" spans="1:4" x14ac:dyDescent="0.15">
      <c r="A85" s="240">
        <v>3</v>
      </c>
      <c r="B85" s="240" t="s">
        <v>175</v>
      </c>
      <c r="C85" s="240" t="s">
        <v>209</v>
      </c>
      <c r="D85" s="241">
        <v>871</v>
      </c>
    </row>
    <row r="86" spans="1:4" x14ac:dyDescent="0.15">
      <c r="A86" s="240">
        <v>3</v>
      </c>
      <c r="B86" s="240" t="s">
        <v>175</v>
      </c>
      <c r="C86" s="240" t="s">
        <v>210</v>
      </c>
      <c r="D86" s="241">
        <v>873</v>
      </c>
    </row>
    <row r="87" spans="1:4" x14ac:dyDescent="0.15">
      <c r="A87" s="240">
        <v>3</v>
      </c>
      <c r="B87" s="240" t="s">
        <v>175</v>
      </c>
      <c r="C87" s="240" t="s">
        <v>211</v>
      </c>
      <c r="D87" s="241">
        <v>874</v>
      </c>
    </row>
    <row r="88" spans="1:4" x14ac:dyDescent="0.15">
      <c r="A88" s="240">
        <v>3</v>
      </c>
      <c r="B88" s="240" t="s">
        <v>175</v>
      </c>
      <c r="C88" s="240" t="s">
        <v>212</v>
      </c>
      <c r="D88" s="241">
        <v>877</v>
      </c>
    </row>
    <row r="89" spans="1:4" x14ac:dyDescent="0.15">
      <c r="A89" s="240">
        <v>3</v>
      </c>
      <c r="B89" s="240" t="s">
        <v>175</v>
      </c>
      <c r="C89" s="240" t="s">
        <v>213</v>
      </c>
      <c r="D89" s="241">
        <v>879</v>
      </c>
    </row>
    <row r="90" spans="1:4" x14ac:dyDescent="0.15">
      <c r="A90" s="240">
        <v>3</v>
      </c>
      <c r="B90" s="240" t="s">
        <v>175</v>
      </c>
      <c r="C90" s="240" t="s">
        <v>214</v>
      </c>
      <c r="D90" s="241">
        <v>887</v>
      </c>
    </row>
    <row r="91" spans="1:4" x14ac:dyDescent="0.15">
      <c r="A91" s="240">
        <v>3</v>
      </c>
      <c r="B91" s="240" t="s">
        <v>175</v>
      </c>
      <c r="C91" s="240" t="s">
        <v>215</v>
      </c>
      <c r="D91" s="241">
        <v>888</v>
      </c>
    </row>
    <row r="93" spans="1:4" x14ac:dyDescent="0.15">
      <c r="A93" s="30"/>
      <c r="B93" s="30"/>
      <c r="C93" s="30"/>
      <c r="D93" s="91" t="s">
        <v>216</v>
      </c>
    </row>
    <row r="94" spans="1:4" x14ac:dyDescent="0.15">
      <c r="A94" s="30"/>
      <c r="B94" s="30"/>
      <c r="C94" s="88" t="s">
        <v>99</v>
      </c>
      <c r="D94" s="211">
        <f>COUNT(G2:G31)</f>
        <v>0</v>
      </c>
    </row>
    <row r="95" spans="1:4" x14ac:dyDescent="0.15">
      <c r="A95" s="30"/>
      <c r="B95" s="30"/>
      <c r="C95" s="89" t="s">
        <v>136</v>
      </c>
      <c r="D95" s="211">
        <f>COUNT(G32:G62)</f>
        <v>0</v>
      </c>
    </row>
    <row r="96" spans="1:4" x14ac:dyDescent="0.15">
      <c r="A96" s="30"/>
      <c r="B96" s="30"/>
      <c r="C96" s="90" t="s">
        <v>175</v>
      </c>
      <c r="D96" s="211">
        <f>COUNT(G63:G91)</f>
        <v>0</v>
      </c>
    </row>
    <row r="98" spans="1:4" x14ac:dyDescent="0.15">
      <c r="A98" s="30"/>
      <c r="B98" s="113"/>
      <c r="C98" s="88" t="s">
        <v>99</v>
      </c>
      <c r="D98" s="113" t="s">
        <v>233</v>
      </c>
    </row>
    <row r="99" spans="1:4" x14ac:dyDescent="0.15">
      <c r="A99" s="30"/>
      <c r="B99" s="30"/>
      <c r="C99" s="89" t="s">
        <v>136</v>
      </c>
      <c r="D99" s="113" t="s">
        <v>233</v>
      </c>
    </row>
    <row r="100" spans="1:4" x14ac:dyDescent="0.15">
      <c r="A100" s="30"/>
      <c r="B100" s="30"/>
      <c r="C100" s="90" t="s">
        <v>175</v>
      </c>
      <c r="D100" s="113" t="s">
        <v>233</v>
      </c>
    </row>
    <row r="101" spans="1:4" x14ac:dyDescent="0.15">
      <c r="A101" s="31"/>
      <c r="B101" s="31"/>
      <c r="C101" s="31"/>
      <c r="D101" s="31"/>
    </row>
    <row r="132" spans="1:4" x14ac:dyDescent="0.15">
      <c r="A132" s="30" t="s">
        <v>234</v>
      </c>
      <c r="B132" s="30"/>
      <c r="C132" s="30"/>
      <c r="D132" s="30"/>
    </row>
    <row r="136" spans="1:4" x14ac:dyDescent="0.15">
      <c r="A136" s="240">
        <v>3</v>
      </c>
      <c r="B136" s="240" t="s">
        <v>175</v>
      </c>
      <c r="C136" s="240" t="s">
        <v>235</v>
      </c>
      <c r="D136" s="241">
        <v>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412A-3B7D-454A-93AA-A42F1307C6BE}">
  <dimension ref="A1:AH11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5" sqref="A45"/>
    </sheetView>
  </sheetViews>
  <sheetFormatPr baseColWidth="10" defaultColWidth="8.83203125" defaultRowHeight="14" x14ac:dyDescent="0.15"/>
  <cols>
    <col min="1" max="1" width="17.83203125" customWidth="1"/>
    <col min="5" max="5" width="2.33203125" style="139" customWidth="1"/>
    <col min="9" max="9" width="2.83203125" style="139" customWidth="1"/>
    <col min="13" max="13" width="2.33203125" style="139" customWidth="1"/>
    <col min="17" max="17" width="2.1640625" style="139" customWidth="1"/>
    <col min="21" max="21" width="2" style="139" customWidth="1"/>
    <col min="29" max="29" width="2.1640625" customWidth="1"/>
    <col min="32" max="32" width="1.6640625" customWidth="1"/>
    <col min="35" max="35" width="1.83203125" customWidth="1"/>
  </cols>
  <sheetData>
    <row r="1" spans="1:34" ht="15" thickBot="1" x14ac:dyDescent="0.2">
      <c r="B1">
        <v>1</v>
      </c>
      <c r="C1">
        <v>2</v>
      </c>
      <c r="D1">
        <v>3</v>
      </c>
      <c r="F1">
        <v>1</v>
      </c>
      <c r="G1">
        <v>2</v>
      </c>
      <c r="H1">
        <v>3</v>
      </c>
      <c r="J1">
        <v>1</v>
      </c>
      <c r="K1">
        <v>2</v>
      </c>
      <c r="L1">
        <v>3</v>
      </c>
      <c r="N1">
        <v>1</v>
      </c>
      <c r="O1">
        <v>2</v>
      </c>
      <c r="P1">
        <v>3</v>
      </c>
      <c r="R1">
        <v>1</v>
      </c>
      <c r="S1">
        <v>2</v>
      </c>
      <c r="T1">
        <v>3</v>
      </c>
      <c r="V1">
        <v>1</v>
      </c>
      <c r="W1">
        <v>2</v>
      </c>
      <c r="X1">
        <v>3</v>
      </c>
      <c r="Z1">
        <v>1</v>
      </c>
      <c r="AA1">
        <v>2</v>
      </c>
      <c r="AB1">
        <v>3</v>
      </c>
      <c r="AD1">
        <v>2</v>
      </c>
      <c r="AE1">
        <v>3</v>
      </c>
      <c r="AG1">
        <v>2</v>
      </c>
      <c r="AH1">
        <v>3</v>
      </c>
    </row>
    <row r="2" spans="1:34" ht="53" thickBot="1" x14ac:dyDescent="0.2">
      <c r="A2" s="73" t="s">
        <v>241</v>
      </c>
      <c r="B2" s="73" t="s">
        <v>242</v>
      </c>
      <c r="C2" s="73" t="s">
        <v>242</v>
      </c>
      <c r="D2" s="73" t="s">
        <v>242</v>
      </c>
      <c r="E2" s="136"/>
      <c r="F2" s="73" t="s">
        <v>243</v>
      </c>
      <c r="G2" s="73" t="s">
        <v>243</v>
      </c>
      <c r="H2" s="73" t="s">
        <v>243</v>
      </c>
      <c r="I2" s="136"/>
      <c r="J2" s="73" t="s">
        <v>244</v>
      </c>
      <c r="K2" s="73" t="s">
        <v>244</v>
      </c>
      <c r="L2" s="73" t="s">
        <v>244</v>
      </c>
      <c r="M2" s="136"/>
      <c r="N2" s="73" t="s">
        <v>245</v>
      </c>
      <c r="O2" s="73" t="s">
        <v>245</v>
      </c>
      <c r="P2" s="73" t="s">
        <v>245</v>
      </c>
      <c r="Q2" s="136"/>
      <c r="R2" s="73" t="s">
        <v>246</v>
      </c>
      <c r="S2" s="73" t="s">
        <v>246</v>
      </c>
      <c r="T2" s="73" t="s">
        <v>246</v>
      </c>
      <c r="U2" s="136"/>
      <c r="V2" s="73" t="s">
        <v>247</v>
      </c>
      <c r="W2" s="73" t="s">
        <v>247</v>
      </c>
      <c r="X2" s="73" t="s">
        <v>247</v>
      </c>
      <c r="Z2" s="70" t="s">
        <v>12</v>
      </c>
      <c r="AA2" s="70" t="s">
        <v>12</v>
      </c>
      <c r="AB2" s="70" t="s">
        <v>12</v>
      </c>
      <c r="AD2" s="160" t="s">
        <v>248</v>
      </c>
      <c r="AE2" s="160" t="s">
        <v>249</v>
      </c>
      <c r="AG2" s="160" t="s">
        <v>250</v>
      </c>
      <c r="AH2" s="160" t="s">
        <v>251</v>
      </c>
    </row>
    <row r="3" spans="1:34" x14ac:dyDescent="0.15">
      <c r="A3" s="83">
        <v>1</v>
      </c>
      <c r="B3" s="83">
        <v>1.0299999999999994</v>
      </c>
      <c r="C3" s="144">
        <v>1.1999999999999993</v>
      </c>
      <c r="D3" s="151">
        <v>0.87999999999999901</v>
      </c>
      <c r="E3" s="137"/>
      <c r="F3" s="86">
        <v>8.2399999999999946E-2</v>
      </c>
      <c r="G3" s="145">
        <v>0.11428571428571421</v>
      </c>
      <c r="H3" s="152">
        <v>7.7192982456140258E-2</v>
      </c>
      <c r="I3" s="140"/>
      <c r="J3" s="83">
        <v>0.51499999999999968</v>
      </c>
      <c r="K3" s="144">
        <v>0.59999999999999964</v>
      </c>
      <c r="L3" s="151">
        <v>0.4399999999999995</v>
      </c>
      <c r="M3" s="137"/>
      <c r="N3" s="86">
        <v>8.2399999999999946E-2</v>
      </c>
      <c r="O3" s="145">
        <v>0.11428571428571421</v>
      </c>
      <c r="P3" s="152">
        <v>7.7192982456140258E-2</v>
      </c>
      <c r="Q3" s="140"/>
      <c r="R3" s="87">
        <v>0.14622664859999979</v>
      </c>
      <c r="S3" s="146">
        <v>0.14529455999999985</v>
      </c>
      <c r="T3" s="153">
        <v>0.11365263359999989</v>
      </c>
      <c r="U3" s="142"/>
      <c r="V3" s="86">
        <v>0.17330565759999975</v>
      </c>
      <c r="W3" s="145">
        <v>0.24404897959183647</v>
      </c>
      <c r="X3" s="152">
        <v>0.16194816866728207</v>
      </c>
      <c r="Z3" s="82">
        <v>12.5</v>
      </c>
      <c r="AA3" s="156">
        <v>10.5</v>
      </c>
      <c r="AB3" s="157">
        <v>11.4</v>
      </c>
      <c r="AD3" s="96">
        <v>1.9</v>
      </c>
      <c r="AE3" s="96">
        <v>1.6</v>
      </c>
      <c r="AG3" s="96">
        <v>2.2999999999999998</v>
      </c>
      <c r="AH3" s="96">
        <v>1.7</v>
      </c>
    </row>
    <row r="4" spans="1:34" x14ac:dyDescent="0.15">
      <c r="A4" s="83">
        <v>1</v>
      </c>
      <c r="B4" s="83">
        <v>1.0999999999999996</v>
      </c>
      <c r="C4" s="144">
        <v>1.2699999999999996</v>
      </c>
      <c r="D4" s="151">
        <v>1.0500000000000007</v>
      </c>
      <c r="E4" s="137"/>
      <c r="F4" s="86">
        <v>9.0909090909090884E-2</v>
      </c>
      <c r="G4" s="145">
        <v>0.11043478260869562</v>
      </c>
      <c r="H4" s="152">
        <v>8.267716535433077E-2</v>
      </c>
      <c r="I4" s="140"/>
      <c r="J4" s="83">
        <v>0.54999999999999982</v>
      </c>
      <c r="K4" s="144">
        <v>0.63499999999999979</v>
      </c>
      <c r="L4" s="151">
        <v>0.52500000000000036</v>
      </c>
      <c r="M4" s="137"/>
      <c r="N4" s="86">
        <v>9.0909090909090884E-2</v>
      </c>
      <c r="O4" s="145">
        <v>0.11043478260869562</v>
      </c>
      <c r="P4" s="152">
        <v>8.267716535433077E-2</v>
      </c>
      <c r="Q4" s="140"/>
      <c r="R4" s="87">
        <v>0.15178481999999993</v>
      </c>
      <c r="S4" s="146">
        <v>0.16810809659999981</v>
      </c>
      <c r="T4" s="153">
        <v>0.15147121500000005</v>
      </c>
      <c r="U4" s="142"/>
      <c r="V4" s="86">
        <v>0.19198347107438007</v>
      </c>
      <c r="W4" s="145">
        <v>0.23539606049149309</v>
      </c>
      <c r="X4" s="152">
        <v>0.1739117428234857</v>
      </c>
      <c r="Z4" s="84">
        <v>12.1</v>
      </c>
      <c r="AA4" s="156">
        <v>11.5</v>
      </c>
      <c r="AB4" s="157">
        <v>12.7</v>
      </c>
      <c r="AD4" s="43">
        <v>1.4</v>
      </c>
      <c r="AE4" s="43">
        <v>2.4</v>
      </c>
      <c r="AG4" s="43">
        <v>2</v>
      </c>
      <c r="AH4" s="43">
        <v>1.8909307397468362</v>
      </c>
    </row>
    <row r="5" spans="1:34" x14ac:dyDescent="0.15">
      <c r="A5" s="83">
        <v>1</v>
      </c>
      <c r="B5" s="83">
        <v>0.76999999999999957</v>
      </c>
      <c r="C5" s="144">
        <v>0.95000000000000107</v>
      </c>
      <c r="D5" s="151">
        <v>1.0500000000000007</v>
      </c>
      <c r="E5" s="137"/>
      <c r="F5" s="86">
        <v>7.6237623762376194E-2</v>
      </c>
      <c r="G5" s="145">
        <v>8.1896551724138025E-2</v>
      </c>
      <c r="H5" s="152">
        <v>9.0517241379310415E-2</v>
      </c>
      <c r="I5" s="140"/>
      <c r="J5" s="83">
        <v>0.38499999999999979</v>
      </c>
      <c r="K5" s="144">
        <v>0.47500000000000053</v>
      </c>
      <c r="L5" s="151">
        <v>0.52500000000000036</v>
      </c>
      <c r="M5" s="137"/>
      <c r="N5" s="86">
        <v>7.6237623762376194E-2</v>
      </c>
      <c r="O5" s="145">
        <v>8.1896551724138025E-2</v>
      </c>
      <c r="P5" s="152">
        <v>9.0517241379310415E-2</v>
      </c>
      <c r="Q5" s="140"/>
      <c r="R5" s="87">
        <v>8.8065192599999897E-2</v>
      </c>
      <c r="S5" s="146">
        <v>0.12512839500000017</v>
      </c>
      <c r="T5" s="153">
        <v>0.13887247500000011</v>
      </c>
      <c r="U5" s="142"/>
      <c r="V5" s="86">
        <v>0.15987029702970279</v>
      </c>
      <c r="W5" s="145">
        <v>0.17220515011890627</v>
      </c>
      <c r="X5" s="152">
        <v>0.19112013228299657</v>
      </c>
      <c r="Z5" s="84">
        <v>10.1</v>
      </c>
      <c r="AA5" s="156">
        <v>11.6</v>
      </c>
      <c r="AB5" s="157">
        <v>11.6</v>
      </c>
      <c r="AD5" s="43">
        <v>2.5</v>
      </c>
      <c r="AE5" s="43">
        <v>1.6</v>
      </c>
      <c r="AG5" s="43">
        <v>2.8</v>
      </c>
      <c r="AH5" s="43">
        <v>1.5486165661605613</v>
      </c>
    </row>
    <row r="6" spans="1:34" x14ac:dyDescent="0.15">
      <c r="A6" s="83">
        <v>1</v>
      </c>
      <c r="B6" s="83">
        <v>1.9700000000000024</v>
      </c>
      <c r="C6" s="144">
        <v>1.0999999999999996</v>
      </c>
      <c r="D6" s="151">
        <v>0.33000000000000007</v>
      </c>
      <c r="E6" s="137"/>
      <c r="F6" s="86">
        <v>0.12960526315789489</v>
      </c>
      <c r="G6" s="145">
        <v>8.7999999999999967E-2</v>
      </c>
      <c r="H6" s="152">
        <v>2.5384615384615391E-2</v>
      </c>
      <c r="I6" s="140"/>
      <c r="J6" s="83">
        <v>0.98500000000000121</v>
      </c>
      <c r="K6" s="144">
        <v>0.54999999999999982</v>
      </c>
      <c r="L6" s="151">
        <v>0.16500000000000004</v>
      </c>
      <c r="M6" s="137"/>
      <c r="N6" s="86">
        <v>0.12960526315789489</v>
      </c>
      <c r="O6" s="145">
        <v>8.7999999999999967E-2</v>
      </c>
      <c r="P6" s="152">
        <v>2.5384615384615391E-2</v>
      </c>
      <c r="Q6" s="140"/>
      <c r="R6" s="87">
        <v>0.34779558060000038</v>
      </c>
      <c r="S6" s="146">
        <v>0.15658433999999988</v>
      </c>
      <c r="T6" s="153">
        <v>4.7389260599999927E-2</v>
      </c>
      <c r="U6" s="142"/>
      <c r="V6" s="86">
        <v>0.27876813105955706</v>
      </c>
      <c r="W6" s="145">
        <v>0.18558143999999985</v>
      </c>
      <c r="X6" s="152">
        <v>5.1927745562130097E-2</v>
      </c>
      <c r="Z6" s="84">
        <v>15.2</v>
      </c>
      <c r="AA6" s="156">
        <v>12.5</v>
      </c>
      <c r="AB6" s="157">
        <v>13</v>
      </c>
      <c r="AD6" s="43">
        <v>1.6</v>
      </c>
      <c r="AE6" s="43">
        <v>2.4</v>
      </c>
      <c r="AG6" s="43">
        <v>1.9</v>
      </c>
      <c r="AH6" s="43">
        <v>1.8062261912002682</v>
      </c>
    </row>
    <row r="7" spans="1:34" x14ac:dyDescent="0.15">
      <c r="A7" s="83">
        <v>1</v>
      </c>
      <c r="B7" s="83">
        <v>0.62999999999999901</v>
      </c>
      <c r="C7" s="144">
        <v>0.55000000000000071</v>
      </c>
      <c r="D7" s="151">
        <v>0.4399999999999995</v>
      </c>
      <c r="E7" s="137"/>
      <c r="F7" s="86">
        <v>4.7368421052631504E-2</v>
      </c>
      <c r="G7" s="145">
        <v>4.0740740740740793E-2</v>
      </c>
      <c r="H7" s="152">
        <v>3.0136986301369829E-2</v>
      </c>
      <c r="I7" s="140"/>
      <c r="J7" s="83">
        <v>0.3149999999999995</v>
      </c>
      <c r="K7" s="144">
        <v>0.27500000000000036</v>
      </c>
      <c r="L7" s="151">
        <v>0.21999999999999975</v>
      </c>
      <c r="M7" s="137"/>
      <c r="N7" s="86">
        <v>4.7368421052631504E-2</v>
      </c>
      <c r="O7" s="145">
        <v>4.0740740740740793E-2</v>
      </c>
      <c r="P7" s="152">
        <v>3.0136986301369829E-2</v>
      </c>
      <c r="Q7" s="140"/>
      <c r="R7" s="87">
        <v>9.3562824599999872E-2</v>
      </c>
      <c r="S7" s="146">
        <v>8.264173500000016E-2</v>
      </c>
      <c r="T7" s="153">
        <v>7.1128886399999924E-2</v>
      </c>
      <c r="U7" s="142"/>
      <c r="V7" s="86">
        <v>9.7950415512465222E-2</v>
      </c>
      <c r="W7" s="145">
        <v>8.3972702331961746E-2</v>
      </c>
      <c r="X7" s="152">
        <v>6.1794032651529295E-2</v>
      </c>
      <c r="Z7" s="84">
        <v>13.3</v>
      </c>
      <c r="AA7" s="156">
        <v>13.5</v>
      </c>
      <c r="AB7" s="157">
        <v>14.6</v>
      </c>
      <c r="AD7" s="43">
        <v>2.8</v>
      </c>
      <c r="AE7" s="43">
        <v>2.4</v>
      </c>
      <c r="AG7" s="43">
        <v>3.2</v>
      </c>
      <c r="AH7" s="43">
        <v>2.1</v>
      </c>
    </row>
    <row r="8" spans="1:34" x14ac:dyDescent="0.15">
      <c r="A8" s="83">
        <v>1</v>
      </c>
      <c r="B8" s="83">
        <v>0.66999999999999993</v>
      </c>
      <c r="C8" s="144">
        <v>0.56999999999999851</v>
      </c>
      <c r="D8" s="151">
        <v>1.33</v>
      </c>
      <c r="E8" s="137"/>
      <c r="F8" s="86">
        <v>4.9999999999999996E-2</v>
      </c>
      <c r="G8" s="145">
        <v>4.4531249999999883E-2</v>
      </c>
      <c r="H8" s="152">
        <v>0.12666666666666668</v>
      </c>
      <c r="I8" s="140"/>
      <c r="J8" s="83">
        <v>0.33499999999999996</v>
      </c>
      <c r="K8" s="144">
        <v>0.28499999999999925</v>
      </c>
      <c r="L8" s="151">
        <v>0.66500000000000004</v>
      </c>
      <c r="M8" s="137"/>
      <c r="N8" s="86">
        <v>4.9999999999999996E-2</v>
      </c>
      <c r="O8" s="145">
        <v>4.4531249999999883E-2</v>
      </c>
      <c r="P8" s="152">
        <v>0.12666666666666668</v>
      </c>
      <c r="Q8" s="140"/>
      <c r="R8" s="87">
        <v>0.10038032460000001</v>
      </c>
      <c r="S8" s="146">
        <v>8.1356772599999627E-2</v>
      </c>
      <c r="T8" s="153">
        <v>0.1619778006</v>
      </c>
      <c r="U8" s="142"/>
      <c r="V8" s="86">
        <v>0.10352500000000001</v>
      </c>
      <c r="W8" s="145">
        <v>9.1955987548827681E-2</v>
      </c>
      <c r="X8" s="152">
        <v>0.27207155555555551</v>
      </c>
      <c r="Z8" s="84">
        <v>13.4</v>
      </c>
      <c r="AA8" s="156">
        <v>12.8</v>
      </c>
      <c r="AB8" s="157">
        <v>10.5</v>
      </c>
      <c r="AD8" s="43">
        <v>2.7</v>
      </c>
      <c r="AE8" s="43">
        <v>2.6</v>
      </c>
      <c r="AG8" s="43">
        <v>2.9</v>
      </c>
      <c r="AH8" s="43">
        <v>2.1923342430577453</v>
      </c>
    </row>
    <row r="9" spans="1:34" x14ac:dyDescent="0.15">
      <c r="A9" s="83">
        <v>1</v>
      </c>
      <c r="B9" s="83">
        <v>1.1500000000000004</v>
      </c>
      <c r="C9" s="144">
        <v>0.85000000000000142</v>
      </c>
      <c r="D9" s="151">
        <v>1.1199999999999992</v>
      </c>
      <c r="E9" s="137"/>
      <c r="F9" s="86">
        <v>0.10087719298245616</v>
      </c>
      <c r="G9" s="145">
        <v>5.7823129251700779E-2</v>
      </c>
      <c r="H9" s="152">
        <v>9.4915254237288069E-2</v>
      </c>
      <c r="I9" s="140"/>
      <c r="J9" s="83">
        <v>0.57500000000000018</v>
      </c>
      <c r="K9" s="144">
        <v>0.42500000000000071</v>
      </c>
      <c r="L9" s="151">
        <v>0.55999999999999961</v>
      </c>
      <c r="M9" s="137"/>
      <c r="N9" s="86">
        <v>0.10087719298245616</v>
      </c>
      <c r="O9" s="145">
        <v>5.7823129251700779E-2</v>
      </c>
      <c r="P9" s="152">
        <v>9.4915254237288069E-2</v>
      </c>
      <c r="Q9" s="140"/>
      <c r="R9" s="87">
        <v>0.15021679500000007</v>
      </c>
      <c r="S9" s="146">
        <v>0.14023597500000018</v>
      </c>
      <c r="T9" s="153">
        <v>0.15100162559999997</v>
      </c>
      <c r="U9" s="142"/>
      <c r="V9" s="86">
        <v>0.21404989996922139</v>
      </c>
      <c r="W9" s="145">
        <v>0.12017967050765901</v>
      </c>
      <c r="X9" s="152">
        <v>0.2008278081011203</v>
      </c>
      <c r="Z9" s="84">
        <v>11.4</v>
      </c>
      <c r="AA9" s="156">
        <v>14.7</v>
      </c>
      <c r="AB9" s="157">
        <v>11.8</v>
      </c>
      <c r="AD9" s="43">
        <v>1.9</v>
      </c>
      <c r="AE9" s="43">
        <v>2.5</v>
      </c>
      <c r="AG9" s="43">
        <v>2.5</v>
      </c>
      <c r="AH9" s="43">
        <v>2.2581972724873229</v>
      </c>
    </row>
    <row r="10" spans="1:34" x14ac:dyDescent="0.15">
      <c r="A10" s="83">
        <v>1</v>
      </c>
      <c r="B10" s="83">
        <v>1.5</v>
      </c>
      <c r="C10" s="144">
        <v>1.7299999999999986</v>
      </c>
      <c r="D10" s="151">
        <v>0.63000000000000078</v>
      </c>
      <c r="E10" s="137"/>
      <c r="F10" s="86">
        <v>0.10869565217391304</v>
      </c>
      <c r="G10" s="145">
        <v>0.1201388888888888</v>
      </c>
      <c r="H10" s="152">
        <v>4.5000000000000054E-2</v>
      </c>
      <c r="I10" s="140"/>
      <c r="J10" s="83">
        <v>0.75</v>
      </c>
      <c r="K10" s="144">
        <v>0.86499999999999932</v>
      </c>
      <c r="L10" s="151">
        <v>0.31500000000000039</v>
      </c>
      <c r="M10" s="137"/>
      <c r="N10" s="86">
        <v>0.10869565217391304</v>
      </c>
      <c r="O10" s="145">
        <v>0.1201388888888888</v>
      </c>
      <c r="P10" s="152">
        <v>4.5000000000000054E-2</v>
      </c>
      <c r="Q10" s="140"/>
      <c r="R10" s="87">
        <v>0.23806710000000009</v>
      </c>
      <c r="S10" s="146">
        <v>0.28806337259999992</v>
      </c>
      <c r="T10" s="153">
        <v>9.8373252600000072E-2</v>
      </c>
      <c r="U10" s="142"/>
      <c r="V10" s="86">
        <v>0.23149810964083181</v>
      </c>
      <c r="W10" s="145">
        <v>0.2572582417052468</v>
      </c>
      <c r="X10" s="152">
        <v>9.2945250000000063E-2</v>
      </c>
      <c r="Z10" s="84">
        <v>13.8</v>
      </c>
      <c r="AA10" s="156">
        <v>14.4</v>
      </c>
      <c r="AB10" s="157">
        <v>14</v>
      </c>
      <c r="AD10" s="43">
        <v>1.9</v>
      </c>
      <c r="AE10" s="43">
        <v>1.4</v>
      </c>
      <c r="AG10" s="43">
        <v>2.2999999999999998</v>
      </c>
      <c r="AH10" s="43">
        <v>1.78547765625507</v>
      </c>
    </row>
    <row r="11" spans="1:34" x14ac:dyDescent="0.15">
      <c r="A11" s="83">
        <v>1</v>
      </c>
      <c r="B11" s="83">
        <v>1.9900000000000002</v>
      </c>
      <c r="C11" s="144">
        <v>2.41</v>
      </c>
      <c r="D11" s="151">
        <v>0.73999999999999844</v>
      </c>
      <c r="E11" s="137"/>
      <c r="F11" s="86">
        <v>0.13178807947019869</v>
      </c>
      <c r="G11" s="145">
        <v>0.17214285714285715</v>
      </c>
      <c r="H11" s="152">
        <v>3.5922330097087299E-2</v>
      </c>
      <c r="I11" s="140"/>
      <c r="J11" s="83">
        <v>0.99500000000000011</v>
      </c>
      <c r="K11" s="144">
        <v>1.2050000000000001</v>
      </c>
      <c r="L11" s="151">
        <v>0.36999999999999922</v>
      </c>
      <c r="M11" s="137"/>
      <c r="N11" s="86">
        <v>0.13178807947019869</v>
      </c>
      <c r="O11" s="145">
        <v>0.17214285714285715</v>
      </c>
      <c r="P11" s="152">
        <v>3.5922330097087299E-2</v>
      </c>
      <c r="Q11" s="140"/>
      <c r="R11" s="87">
        <v>0.34937287740000023</v>
      </c>
      <c r="S11" s="146">
        <v>0.39971329739999995</v>
      </c>
      <c r="T11" s="153">
        <v>0.16926816239999942</v>
      </c>
      <c r="U11" s="142"/>
      <c r="V11" s="86">
        <v>0.28375369939914935</v>
      </c>
      <c r="W11" s="145">
        <v>0.37765806632653054</v>
      </c>
      <c r="X11" s="152">
        <v>7.3866424733716393E-2</v>
      </c>
      <c r="Z11" s="84">
        <v>15.1</v>
      </c>
      <c r="AA11" s="156">
        <v>14</v>
      </c>
      <c r="AB11" s="157">
        <v>20.6</v>
      </c>
      <c r="AD11" s="43">
        <v>2.2999999999999998</v>
      </c>
      <c r="AE11" s="43">
        <v>1.9</v>
      </c>
      <c r="AG11" s="43">
        <v>3.1</v>
      </c>
      <c r="AH11" s="43">
        <v>2.12</v>
      </c>
    </row>
    <row r="12" spans="1:34" x14ac:dyDescent="0.15">
      <c r="A12" s="83">
        <v>1</v>
      </c>
      <c r="B12" s="83">
        <v>1.1600000000000001</v>
      </c>
      <c r="C12" s="144">
        <v>1.1799999999999997</v>
      </c>
      <c r="D12" s="151">
        <v>2</v>
      </c>
      <c r="E12" s="137"/>
      <c r="F12" s="86">
        <v>7.483870967741936E-2</v>
      </c>
      <c r="G12" s="145">
        <v>0.10172413793103446</v>
      </c>
      <c r="H12" s="152">
        <v>0.14705882352941177</v>
      </c>
      <c r="I12" s="140"/>
      <c r="J12" s="83">
        <v>0.58000000000000007</v>
      </c>
      <c r="K12" s="144">
        <v>0.58999999999999986</v>
      </c>
      <c r="L12" s="151">
        <v>1</v>
      </c>
      <c r="M12" s="137"/>
      <c r="N12" s="86">
        <v>7.483870967741936E-2</v>
      </c>
      <c r="O12" s="145">
        <v>0.10172413793103446</v>
      </c>
      <c r="P12" s="152">
        <v>0.14705882352941177</v>
      </c>
      <c r="Q12" s="140"/>
      <c r="R12" s="87">
        <v>0.20346474240000001</v>
      </c>
      <c r="S12" s="146">
        <v>0.1569028536</v>
      </c>
      <c r="T12" s="153">
        <v>0.31851359999999995</v>
      </c>
      <c r="U12" s="142"/>
      <c r="V12" s="86">
        <v>0.15683103433922999</v>
      </c>
      <c r="W12" s="145">
        <v>0.21593403686087989</v>
      </c>
      <c r="X12" s="152">
        <v>0.31890138408304497</v>
      </c>
      <c r="Z12" s="84">
        <v>15.5</v>
      </c>
      <c r="AA12" s="156">
        <v>11.6</v>
      </c>
      <c r="AB12" s="157">
        <v>13.6</v>
      </c>
      <c r="AD12" s="43">
        <v>1.9</v>
      </c>
      <c r="AE12" s="43">
        <v>1.7</v>
      </c>
      <c r="AG12" s="43">
        <v>2.4</v>
      </c>
      <c r="AH12" s="43">
        <v>1.8408238045661003</v>
      </c>
    </row>
    <row r="13" spans="1:34" x14ac:dyDescent="0.15">
      <c r="A13" s="83">
        <v>1</v>
      </c>
      <c r="B13" s="83">
        <v>1.759999999999998</v>
      </c>
      <c r="C13" s="144">
        <v>1.379999999999999</v>
      </c>
      <c r="D13" s="151">
        <v>0.8100000000000005</v>
      </c>
      <c r="E13" s="137"/>
      <c r="F13" s="86">
        <v>0.10931677018633527</v>
      </c>
      <c r="G13" s="145">
        <v>9.3243243243243165E-2</v>
      </c>
      <c r="H13" s="152">
        <v>5.3642384105960297E-2</v>
      </c>
      <c r="I13" s="140"/>
      <c r="J13" s="83">
        <v>0.87999999999999901</v>
      </c>
      <c r="K13" s="144">
        <v>0.6899999999999995</v>
      </c>
      <c r="L13" s="151">
        <v>0.40500000000000025</v>
      </c>
      <c r="M13" s="137"/>
      <c r="N13" s="86">
        <v>0.10931677018633527</v>
      </c>
      <c r="O13" s="145">
        <v>9.3243243243243165E-2</v>
      </c>
      <c r="P13" s="152">
        <v>5.3642384105960297E-2</v>
      </c>
      <c r="Q13" s="140"/>
      <c r="R13" s="87">
        <v>0.32598339840000001</v>
      </c>
      <c r="S13" s="146">
        <v>0.23317158959999995</v>
      </c>
      <c r="T13" s="153">
        <v>0.13699411740000023</v>
      </c>
      <c r="U13" s="142"/>
      <c r="V13" s="86">
        <v>0.23288953358280928</v>
      </c>
      <c r="W13" s="145">
        <v>0.19713259678597511</v>
      </c>
      <c r="X13" s="152">
        <v>0.11126389632033701</v>
      </c>
      <c r="Z13" s="84">
        <v>16.100000000000001</v>
      </c>
      <c r="AA13" s="156">
        <v>14.8</v>
      </c>
      <c r="AB13" s="157">
        <v>15.1</v>
      </c>
      <c r="AD13" s="43">
        <v>1.9</v>
      </c>
      <c r="AE13" s="43">
        <v>1.5</v>
      </c>
      <c r="AG13" s="43">
        <v>2.4</v>
      </c>
      <c r="AH13" s="43">
        <v>2</v>
      </c>
    </row>
    <row r="14" spans="1:34" x14ac:dyDescent="0.15">
      <c r="A14" s="83">
        <v>1</v>
      </c>
      <c r="B14" s="83">
        <v>1.17</v>
      </c>
      <c r="C14" s="144">
        <v>1.4800000000000004</v>
      </c>
      <c r="D14" s="151">
        <v>0.82000000000000028</v>
      </c>
      <c r="E14" s="137"/>
      <c r="F14" s="86">
        <v>9.9152542372881347E-2</v>
      </c>
      <c r="G14" s="145">
        <v>0.11384615384615387</v>
      </c>
      <c r="H14" s="152">
        <v>5.6164383561643855E-2</v>
      </c>
      <c r="I14" s="140"/>
      <c r="J14" s="83">
        <v>0.58499999999999996</v>
      </c>
      <c r="K14" s="144">
        <v>0.74000000000000021</v>
      </c>
      <c r="L14" s="151">
        <v>0.41000000000000014</v>
      </c>
      <c r="M14" s="137"/>
      <c r="N14" s="86">
        <v>9.9152542372881347E-2</v>
      </c>
      <c r="O14" s="145">
        <v>0.11384615384615387</v>
      </c>
      <c r="P14" s="152">
        <v>5.6164383561643855E-2</v>
      </c>
      <c r="Q14" s="140"/>
      <c r="R14" s="87">
        <v>0.15806182860000018</v>
      </c>
      <c r="S14" s="146">
        <v>0.22181636160000007</v>
      </c>
      <c r="T14" s="153">
        <v>0.13425784560000009</v>
      </c>
      <c r="U14" s="142"/>
      <c r="V14" s="86">
        <v>0.21021767451881662</v>
      </c>
      <c r="W14" s="145">
        <v>0.24305978698224856</v>
      </c>
      <c r="X14" s="152">
        <v>0.11663803715518867</v>
      </c>
      <c r="Z14" s="84">
        <v>11.8</v>
      </c>
      <c r="AA14" s="156">
        <v>13</v>
      </c>
      <c r="AB14" s="157">
        <v>14.6</v>
      </c>
      <c r="AD14" s="43">
        <v>1.6</v>
      </c>
      <c r="AE14" s="43">
        <v>2.2000000000000002</v>
      </c>
      <c r="AG14" s="43">
        <v>1.9</v>
      </c>
      <c r="AH14" s="43">
        <v>1.8928319509222831</v>
      </c>
    </row>
    <row r="15" spans="1:34" x14ac:dyDescent="0.15">
      <c r="A15" s="83">
        <v>1</v>
      </c>
      <c r="B15" s="83">
        <v>1.6399999999999988</v>
      </c>
      <c r="C15" s="144">
        <v>1.5999999999999996</v>
      </c>
      <c r="D15" s="151">
        <v>1.870000000000001</v>
      </c>
      <c r="E15" s="137"/>
      <c r="F15" s="86">
        <v>0.11232876712328758</v>
      </c>
      <c r="G15" s="145">
        <v>0.10958904109589039</v>
      </c>
      <c r="H15" s="152">
        <v>0.14166666666666675</v>
      </c>
      <c r="I15" s="140"/>
      <c r="J15" s="83">
        <v>0.8199999999999994</v>
      </c>
      <c r="K15" s="144">
        <v>0.79999999999999982</v>
      </c>
      <c r="L15" s="151">
        <v>0.9350000000000005</v>
      </c>
      <c r="M15" s="137"/>
      <c r="N15" s="86">
        <v>0.11232876712328758</v>
      </c>
      <c r="O15" s="145">
        <v>0.10958904109589039</v>
      </c>
      <c r="P15" s="152">
        <v>0.14166666666666675</v>
      </c>
      <c r="Q15" s="140"/>
      <c r="R15" s="87">
        <v>0.27585023039999967</v>
      </c>
      <c r="S15" s="146">
        <v>0.26877312000000009</v>
      </c>
      <c r="T15" s="153">
        <v>0.28832516460000013</v>
      </c>
      <c r="U15" s="142"/>
      <c r="V15" s="86">
        <v>0.23964803903171297</v>
      </c>
      <c r="W15" s="145">
        <v>0.23349971852129861</v>
      </c>
      <c r="X15" s="152">
        <v>0.30643680555555569</v>
      </c>
      <c r="Z15" s="84">
        <v>14.6</v>
      </c>
      <c r="AA15" s="156">
        <v>14.6</v>
      </c>
      <c r="AB15" s="157">
        <v>13.2</v>
      </c>
      <c r="AD15" s="43">
        <v>1.9</v>
      </c>
      <c r="AE15" s="43">
        <v>2.2000000000000002</v>
      </c>
      <c r="AG15" s="43">
        <v>2.4</v>
      </c>
      <c r="AH15" s="43">
        <v>2.1</v>
      </c>
    </row>
    <row r="16" spans="1:34" x14ac:dyDescent="0.15">
      <c r="A16" s="83">
        <v>1</v>
      </c>
      <c r="B16" s="83">
        <v>1.629999999999999</v>
      </c>
      <c r="C16" s="144">
        <v>1.7600000000000016</v>
      </c>
      <c r="D16" s="151">
        <v>1.0300000000000011</v>
      </c>
      <c r="E16" s="137"/>
      <c r="F16" s="86">
        <v>0.12734374999999992</v>
      </c>
      <c r="G16" s="145">
        <v>9.0721649484536176E-2</v>
      </c>
      <c r="H16" s="152">
        <v>6.8666666666666737E-2</v>
      </c>
      <c r="I16" s="140"/>
      <c r="J16" s="83">
        <v>0.8149999999999995</v>
      </c>
      <c r="K16" s="144">
        <v>0.88000000000000078</v>
      </c>
      <c r="L16" s="151">
        <v>0.51500000000000057</v>
      </c>
      <c r="M16" s="137"/>
      <c r="N16" s="86">
        <v>0.12734374999999992</v>
      </c>
      <c r="O16" s="145">
        <v>9.0721649484536176E-2</v>
      </c>
      <c r="P16" s="152">
        <v>6.8666666666666737E-2</v>
      </c>
      <c r="Q16" s="140"/>
      <c r="R16" s="87">
        <v>0.24207524459999974</v>
      </c>
      <c r="S16" s="146">
        <v>0.38933706240000054</v>
      </c>
      <c r="T16" s="153">
        <v>0.17431474860000007</v>
      </c>
      <c r="U16" s="142"/>
      <c r="V16" s="86">
        <v>0.27361296997070278</v>
      </c>
      <c r="W16" s="145">
        <v>0.19157045382081017</v>
      </c>
      <c r="X16" s="152">
        <v>0.14346892888888893</v>
      </c>
      <c r="Z16" s="84">
        <v>12.8</v>
      </c>
      <c r="AA16" s="156">
        <v>19.399999999999999</v>
      </c>
      <c r="AB16" s="157">
        <v>15</v>
      </c>
      <c r="AD16" s="43">
        <v>1.9</v>
      </c>
      <c r="AE16" s="43">
        <v>1.8</v>
      </c>
      <c r="AG16" s="43">
        <v>2.2000000000000002</v>
      </c>
      <c r="AH16" s="43">
        <v>2.0674424637436766</v>
      </c>
    </row>
    <row r="17" spans="1:34" x14ac:dyDescent="0.15">
      <c r="A17" s="83">
        <v>1</v>
      </c>
      <c r="B17" s="83">
        <v>1.1999999999999993</v>
      </c>
      <c r="C17" s="144">
        <v>1.5599999999999987</v>
      </c>
      <c r="D17" s="151">
        <v>1.7300000000000004</v>
      </c>
      <c r="E17" s="137"/>
      <c r="F17" s="86">
        <v>9.5999999999999946E-2</v>
      </c>
      <c r="G17" s="145">
        <v>9.5705521472392557E-2</v>
      </c>
      <c r="H17" s="152">
        <v>0.12183098591549299</v>
      </c>
      <c r="I17" s="140"/>
      <c r="J17" s="83">
        <v>0.59999999999999964</v>
      </c>
      <c r="K17" s="144">
        <v>0.77999999999999936</v>
      </c>
      <c r="L17" s="151">
        <v>0.86500000000000021</v>
      </c>
      <c r="M17" s="137"/>
      <c r="N17" s="86">
        <v>9.5999999999999946E-2</v>
      </c>
      <c r="O17" s="145">
        <v>9.5705521472392557E-2</v>
      </c>
      <c r="P17" s="152">
        <v>0.12183098591549299</v>
      </c>
      <c r="Q17" s="140"/>
      <c r="R17" s="87">
        <v>0.1714737599999997</v>
      </c>
      <c r="S17" s="146">
        <v>0.29064147840000021</v>
      </c>
      <c r="T17" s="153">
        <v>0.28428920460000007</v>
      </c>
      <c r="U17" s="142"/>
      <c r="V17" s="86">
        <v>0.20322815999999963</v>
      </c>
      <c r="W17" s="145">
        <v>0.20257629568293889</v>
      </c>
      <c r="X17" s="152">
        <v>0.2610898085697283</v>
      </c>
      <c r="Z17" s="84">
        <v>12.5</v>
      </c>
      <c r="AA17" s="156">
        <v>16.3</v>
      </c>
      <c r="AB17" s="157">
        <v>14.2</v>
      </c>
      <c r="AD17" s="43">
        <v>2.9</v>
      </c>
      <c r="AE17" s="43">
        <v>2</v>
      </c>
      <c r="AG17" s="43">
        <v>3.1</v>
      </c>
      <c r="AH17" s="43">
        <v>1.7661054112843528</v>
      </c>
    </row>
    <row r="18" spans="1:34" x14ac:dyDescent="0.15">
      <c r="A18" s="83">
        <v>1</v>
      </c>
      <c r="B18" s="83">
        <v>1.4400000000000013</v>
      </c>
      <c r="C18" s="144">
        <v>1.2400000000000002</v>
      </c>
      <c r="D18" s="151">
        <v>1.3599999999999994</v>
      </c>
      <c r="E18" s="137"/>
      <c r="F18" s="86">
        <v>9.795918367346948E-2</v>
      </c>
      <c r="G18" s="145">
        <v>0.10333333333333335</v>
      </c>
      <c r="H18" s="152">
        <v>7.5138121546961284E-2</v>
      </c>
      <c r="I18" s="140"/>
      <c r="J18" s="83">
        <v>0.72000000000000064</v>
      </c>
      <c r="K18" s="144">
        <v>0.62000000000000011</v>
      </c>
      <c r="L18" s="151">
        <v>0.67999999999999972</v>
      </c>
      <c r="M18" s="137"/>
      <c r="N18" s="86">
        <v>9.795918367346948E-2</v>
      </c>
      <c r="O18" s="145">
        <v>0.10333333333333335</v>
      </c>
      <c r="P18" s="152">
        <v>7.5138121546961284E-2</v>
      </c>
      <c r="Q18" s="140"/>
      <c r="R18" s="87">
        <v>0.24220995840000037</v>
      </c>
      <c r="S18" s="146">
        <v>0.17069711040000002</v>
      </c>
      <c r="T18" s="153">
        <v>0.27859904639999988</v>
      </c>
      <c r="U18" s="142"/>
      <c r="V18" s="86">
        <v>0.20756951270304075</v>
      </c>
      <c r="W18" s="145">
        <v>0.2195178888888889</v>
      </c>
      <c r="X18" s="152">
        <v>0.15748120020756376</v>
      </c>
      <c r="Z18" s="84">
        <v>14.7</v>
      </c>
      <c r="AA18" s="156">
        <v>12</v>
      </c>
      <c r="AB18" s="157">
        <v>18.100000000000001</v>
      </c>
      <c r="AD18" s="43">
        <v>2.1</v>
      </c>
      <c r="AE18" s="43">
        <v>2.2000000000000002</v>
      </c>
      <c r="AG18" s="43">
        <v>2.1</v>
      </c>
      <c r="AH18" s="43">
        <v>1.8481075765655905</v>
      </c>
    </row>
    <row r="19" spans="1:34" x14ac:dyDescent="0.15">
      <c r="A19" s="83">
        <v>1</v>
      </c>
      <c r="B19" s="83">
        <v>1.3399999999999999</v>
      </c>
      <c r="C19" s="144">
        <v>0.75</v>
      </c>
      <c r="D19" s="151">
        <v>1.4500000000000011</v>
      </c>
      <c r="E19" s="137"/>
      <c r="F19" s="86">
        <v>6.9791666666666669E-2</v>
      </c>
      <c r="G19" s="145">
        <v>6.9444444444444434E-2</v>
      </c>
      <c r="H19" s="152">
        <v>0.11068702290076345</v>
      </c>
      <c r="I19" s="140"/>
      <c r="J19" s="83">
        <v>0.66999999999999993</v>
      </c>
      <c r="K19" s="144">
        <v>0.375</v>
      </c>
      <c r="L19" s="151">
        <v>0.72500000000000053</v>
      </c>
      <c r="M19" s="137"/>
      <c r="N19" s="86">
        <v>6.9791666666666669E-2</v>
      </c>
      <c r="O19" s="145">
        <v>6.9444444444444434E-2</v>
      </c>
      <c r="P19" s="152">
        <v>0.11068702290076345</v>
      </c>
      <c r="Q19" s="140"/>
      <c r="R19" s="87">
        <v>0.29043422639999994</v>
      </c>
      <c r="S19" s="146">
        <v>9.1422674999999898E-2</v>
      </c>
      <c r="T19" s="153">
        <v>0.21866449500000018</v>
      </c>
      <c r="U19" s="142"/>
      <c r="V19" s="86">
        <v>0.14589875217013887</v>
      </c>
      <c r="W19" s="145">
        <v>0.14514853395061711</v>
      </c>
      <c r="X19" s="152">
        <v>0.23596191946856263</v>
      </c>
      <c r="Z19" s="84">
        <v>19.2</v>
      </c>
      <c r="AA19" s="156">
        <v>10.8</v>
      </c>
      <c r="AB19" s="157">
        <v>13.1</v>
      </c>
      <c r="AD19" s="43">
        <v>2.4</v>
      </c>
      <c r="AE19" s="43">
        <v>1.9</v>
      </c>
      <c r="AG19" s="43">
        <v>2.4</v>
      </c>
      <c r="AH19" s="43">
        <v>2.1</v>
      </c>
    </row>
    <row r="20" spans="1:34" x14ac:dyDescent="0.15">
      <c r="A20" s="83">
        <v>1</v>
      </c>
      <c r="B20" s="83">
        <v>1.1400000000000006</v>
      </c>
      <c r="C20" s="144">
        <v>1.4100000000000001</v>
      </c>
      <c r="D20" s="151">
        <v>1.2799999999999976</v>
      </c>
      <c r="E20" s="137"/>
      <c r="F20" s="86">
        <v>0.10178571428571434</v>
      </c>
      <c r="G20" s="145">
        <v>8.24561403508772E-2</v>
      </c>
      <c r="H20" s="152">
        <v>6.9945355191256692E-2</v>
      </c>
      <c r="I20" s="140"/>
      <c r="J20" s="83">
        <v>0.57000000000000028</v>
      </c>
      <c r="K20" s="144">
        <v>0.70500000000000007</v>
      </c>
      <c r="L20" s="151">
        <v>0.63999999999999879</v>
      </c>
      <c r="M20" s="137"/>
      <c r="N20" s="86">
        <v>0.10178571428571434</v>
      </c>
      <c r="O20" s="145">
        <v>8.24561403508772E-2</v>
      </c>
      <c r="P20" s="152">
        <v>6.9945355191256692E-2</v>
      </c>
      <c r="Q20" s="140"/>
      <c r="R20" s="87">
        <v>0.14636136240000008</v>
      </c>
      <c r="S20" s="146">
        <v>0.2738458854000001</v>
      </c>
      <c r="T20" s="153">
        <v>0.26444482559999938</v>
      </c>
      <c r="U20" s="142"/>
      <c r="V20" s="86">
        <v>0.21607107780612259</v>
      </c>
      <c r="W20" s="145">
        <v>0.17342840874115117</v>
      </c>
      <c r="X20" s="152">
        <v>0.1462308937262978</v>
      </c>
      <c r="Z20" s="84">
        <v>11.2</v>
      </c>
      <c r="AA20" s="156">
        <v>17.100000000000001</v>
      </c>
      <c r="AB20" s="157">
        <v>18.3</v>
      </c>
      <c r="AD20" s="43">
        <v>2.1</v>
      </c>
      <c r="AE20" s="43">
        <v>2.4</v>
      </c>
      <c r="AG20" s="43">
        <v>2</v>
      </c>
      <c r="AH20" s="43">
        <v>2.0878835538749172</v>
      </c>
    </row>
    <row r="21" spans="1:34" x14ac:dyDescent="0.15">
      <c r="A21" s="83">
        <v>1</v>
      </c>
      <c r="B21" s="83">
        <v>2.5700000000000003</v>
      </c>
      <c r="C21" s="144">
        <v>1.6499999999999986</v>
      </c>
      <c r="D21" s="151">
        <v>1.33</v>
      </c>
      <c r="E21" s="137"/>
      <c r="F21" s="86">
        <v>0.15389221556886229</v>
      </c>
      <c r="G21" s="145">
        <v>0.1099999999999999</v>
      </c>
      <c r="H21" s="152">
        <v>9.8518518518518519E-2</v>
      </c>
      <c r="I21" s="140"/>
      <c r="J21" s="83">
        <v>1.2850000000000001</v>
      </c>
      <c r="K21" s="144">
        <v>0.82499999999999929</v>
      </c>
      <c r="L21" s="151">
        <v>0.66500000000000004</v>
      </c>
      <c r="M21" s="137"/>
      <c r="N21" s="86">
        <v>0.15389221556886229</v>
      </c>
      <c r="O21" s="145">
        <v>0.1099999999999999</v>
      </c>
      <c r="P21" s="152">
        <v>9.8518518518518519E-2</v>
      </c>
      <c r="Q21" s="140"/>
      <c r="R21" s="87">
        <v>0.50418357660000002</v>
      </c>
      <c r="S21" s="146">
        <v>0.28482151499999975</v>
      </c>
      <c r="T21" s="153">
        <v>0.20550072059999991</v>
      </c>
      <c r="U21" s="142"/>
      <c r="V21" s="86">
        <v>0.33478191760192194</v>
      </c>
      <c r="W21" s="145">
        <v>0.23442099999999977</v>
      </c>
      <c r="X21" s="152">
        <v>0.20881036488340182</v>
      </c>
      <c r="Z21" s="84">
        <v>16.7</v>
      </c>
      <c r="AA21" s="156">
        <v>15</v>
      </c>
      <c r="AB21" s="157">
        <v>13.5</v>
      </c>
      <c r="AD21" s="43">
        <v>2.5</v>
      </c>
      <c r="AE21" s="43">
        <v>1.7</v>
      </c>
      <c r="AG21" s="43">
        <v>2.7</v>
      </c>
      <c r="AH21" s="43">
        <v>1.7902302382928252</v>
      </c>
    </row>
    <row r="22" spans="1:34" x14ac:dyDescent="0.15">
      <c r="A22" s="83">
        <v>1</v>
      </c>
      <c r="B22" s="83">
        <v>1.1500000000000004</v>
      </c>
      <c r="C22" s="144">
        <v>1.0600000000000005</v>
      </c>
      <c r="D22" s="151">
        <v>0.98999999999999844</v>
      </c>
      <c r="E22" s="137"/>
      <c r="F22" s="86">
        <v>8.7786259541984768E-2</v>
      </c>
      <c r="G22" s="145">
        <v>8.5483870967741973E-2</v>
      </c>
      <c r="H22" s="152">
        <v>5.722543352601147E-2</v>
      </c>
      <c r="I22" s="140"/>
      <c r="J22" s="83">
        <v>0.57500000000000018</v>
      </c>
      <c r="K22" s="144">
        <v>0.53000000000000025</v>
      </c>
      <c r="L22" s="151">
        <v>0.49499999999999922</v>
      </c>
      <c r="M22" s="137"/>
      <c r="N22" s="86">
        <v>8.7786259541984768E-2</v>
      </c>
      <c r="O22" s="145">
        <v>8.5483870967741973E-2</v>
      </c>
      <c r="P22" s="152">
        <v>5.722543352601147E-2</v>
      </c>
      <c r="Q22" s="140"/>
      <c r="R22" s="87">
        <v>0.17154193500000015</v>
      </c>
      <c r="S22" s="146">
        <v>0.14950286639999988</v>
      </c>
      <c r="T22" s="153">
        <v>0.19216678139999965</v>
      </c>
      <c r="U22" s="142"/>
      <c r="V22" s="86">
        <v>0.18511173591282576</v>
      </c>
      <c r="W22" s="145">
        <v>0.18005798647242438</v>
      </c>
      <c r="X22" s="152">
        <v>0.11890287346720549</v>
      </c>
      <c r="Z22" s="84">
        <v>13.1</v>
      </c>
      <c r="AA22" s="156">
        <v>12.4</v>
      </c>
      <c r="AB22" s="157">
        <v>17.3</v>
      </c>
      <c r="AD22" s="43">
        <v>2.1</v>
      </c>
      <c r="AE22" s="43">
        <v>1.6</v>
      </c>
      <c r="AG22" s="43">
        <v>2.2999999999999998</v>
      </c>
      <c r="AH22" s="43">
        <v>1.8692323995029771</v>
      </c>
    </row>
    <row r="23" spans="1:34" x14ac:dyDescent="0.15">
      <c r="A23" s="83">
        <v>1</v>
      </c>
      <c r="B23" s="83">
        <v>0.28999999999999915</v>
      </c>
      <c r="C23" s="144">
        <v>0.96000000000000085</v>
      </c>
      <c r="D23" s="151">
        <v>1.5399999999999991</v>
      </c>
      <c r="E23" s="137"/>
      <c r="F23" s="86">
        <v>2.0138888888888828E-2</v>
      </c>
      <c r="G23" s="145">
        <v>7.0072992700729989E-2</v>
      </c>
      <c r="H23" s="152">
        <v>9.5061728395061676E-2</v>
      </c>
      <c r="I23" s="140"/>
      <c r="J23" s="83">
        <v>0.14499999999999957</v>
      </c>
      <c r="K23" s="144">
        <v>0.48000000000000043</v>
      </c>
      <c r="L23" s="151">
        <v>0.76999999999999957</v>
      </c>
      <c r="M23" s="137"/>
      <c r="N23" s="86">
        <v>2.0138888888888828E-2</v>
      </c>
      <c r="O23" s="145">
        <v>7.0072992700729989E-2</v>
      </c>
      <c r="P23" s="152">
        <v>9.5061728395061676E-2</v>
      </c>
      <c r="Q23" s="140"/>
      <c r="R23" s="87">
        <v>4.6010489399999965E-2</v>
      </c>
      <c r="S23" s="146">
        <v>0.14848842240000026</v>
      </c>
      <c r="T23" s="153">
        <v>0.28506749039999968</v>
      </c>
      <c r="U23" s="142"/>
      <c r="V23" s="86">
        <v>4.1090186149691323E-2</v>
      </c>
      <c r="W23" s="145">
        <v>0.14650677180457164</v>
      </c>
      <c r="X23" s="152">
        <v>0.2011517908855355</v>
      </c>
      <c r="Z23" s="84">
        <v>14.4</v>
      </c>
      <c r="AA23" s="156">
        <v>13.7</v>
      </c>
      <c r="AB23" s="157">
        <v>16.2</v>
      </c>
      <c r="AD23" s="43">
        <v>1.9</v>
      </c>
      <c r="AE23" s="43">
        <v>1.9</v>
      </c>
      <c r="AG23" s="43">
        <v>2.2000000000000002</v>
      </c>
      <c r="AH23" s="43">
        <v>1.9</v>
      </c>
    </row>
    <row r="24" spans="1:34" x14ac:dyDescent="0.15">
      <c r="A24" s="83">
        <v>1</v>
      </c>
      <c r="B24" s="83">
        <v>0.70000000000000107</v>
      </c>
      <c r="C24" s="144">
        <v>0.45999999999999908</v>
      </c>
      <c r="D24" s="151">
        <v>0.26999999999999957</v>
      </c>
      <c r="E24" s="137"/>
      <c r="F24" s="86">
        <v>4.7619047619047693E-2</v>
      </c>
      <c r="G24" s="145">
        <v>3.0065359477124121E-2</v>
      </c>
      <c r="H24" s="152">
        <v>1.7307692307692281E-2</v>
      </c>
      <c r="I24" s="140"/>
      <c r="J24" s="83">
        <v>0.35000000000000053</v>
      </c>
      <c r="K24" s="144">
        <v>0.22999999999999954</v>
      </c>
      <c r="L24" s="151">
        <v>0.13499999999999979</v>
      </c>
      <c r="M24" s="137"/>
      <c r="N24" s="86">
        <v>4.7619047619047693E-2</v>
      </c>
      <c r="O24" s="145">
        <v>3.0065359477124121E-2</v>
      </c>
      <c r="P24" s="152">
        <v>1.7307692307692281E-2</v>
      </c>
      <c r="Q24" s="140"/>
      <c r="R24" s="87">
        <v>0.11491578000000024</v>
      </c>
      <c r="S24" s="146">
        <v>7.7924570399999782E-2</v>
      </c>
      <c r="T24" s="153">
        <v>4.6342092599999996E-2</v>
      </c>
      <c r="U24" s="142"/>
      <c r="V24" s="86">
        <v>9.8480725623582982E-2</v>
      </c>
      <c r="W24" s="145">
        <v>6.1644991242684251E-2</v>
      </c>
      <c r="X24" s="152">
        <v>3.5264090236686391E-2</v>
      </c>
      <c r="Z24" s="84">
        <v>14.7</v>
      </c>
      <c r="AA24" s="156">
        <v>15.3</v>
      </c>
      <c r="AB24" s="157">
        <v>15.6</v>
      </c>
      <c r="AD24" s="43">
        <v>2.2000000000000002</v>
      </c>
      <c r="AE24" s="43">
        <v>2.6</v>
      </c>
      <c r="AG24" s="43">
        <v>2.2999999999999998</v>
      </c>
      <c r="AH24" s="43">
        <v>1.7246617195600973</v>
      </c>
    </row>
    <row r="25" spans="1:34" x14ac:dyDescent="0.15">
      <c r="A25" s="83">
        <v>1</v>
      </c>
      <c r="B25" s="83">
        <v>0.59999999999999964</v>
      </c>
      <c r="C25" s="144">
        <v>1.6999999999999993</v>
      </c>
      <c r="D25" s="151">
        <v>0.47000000000000064</v>
      </c>
      <c r="E25" s="137"/>
      <c r="F25" s="86">
        <v>4.4117647058823505E-2</v>
      </c>
      <c r="G25" s="145">
        <v>0.10967741935483867</v>
      </c>
      <c r="H25" s="152">
        <v>3.4814814814814861E-2</v>
      </c>
      <c r="I25" s="140"/>
      <c r="J25" s="83">
        <v>0.29999999999999982</v>
      </c>
      <c r="K25" s="144">
        <v>0.84999999999999964</v>
      </c>
      <c r="L25" s="151">
        <v>0.23500000000000032</v>
      </c>
      <c r="M25" s="137"/>
      <c r="N25" s="86">
        <v>4.4117647058823505E-2</v>
      </c>
      <c r="O25" s="145">
        <v>0.10967741935483867</v>
      </c>
      <c r="P25" s="152">
        <v>3.4814814814814861E-2</v>
      </c>
      <c r="Q25" s="140"/>
      <c r="R25" s="87">
        <v>9.0972719999999896E-2</v>
      </c>
      <c r="S25" s="146">
        <v>0.30318785999999975</v>
      </c>
      <c r="T25" s="153">
        <v>7.0416048600000058E-2</v>
      </c>
      <c r="U25" s="142"/>
      <c r="V25" s="86">
        <v>9.1083477508650423E-2</v>
      </c>
      <c r="W25" s="145">
        <v>0.23369781477627452</v>
      </c>
      <c r="X25" s="152">
        <v>7.1550117969821733E-2</v>
      </c>
      <c r="Z25" s="84">
        <v>13.6</v>
      </c>
      <c r="AA25" s="156">
        <v>15.5</v>
      </c>
      <c r="AB25" s="157">
        <v>13.5</v>
      </c>
      <c r="AD25" s="43">
        <v>2.6</v>
      </c>
      <c r="AE25" s="43">
        <v>2.2999999999999998</v>
      </c>
      <c r="AG25" s="43">
        <v>2.7</v>
      </c>
      <c r="AH25" s="43">
        <v>2.1602118547666369</v>
      </c>
    </row>
    <row r="26" spans="1:34" x14ac:dyDescent="0.15">
      <c r="A26" s="83">
        <v>1</v>
      </c>
      <c r="B26" s="83">
        <v>0.74000000000000021</v>
      </c>
      <c r="C26" s="144">
        <v>2</v>
      </c>
      <c r="D26" s="151">
        <v>1.2399999999999984</v>
      </c>
      <c r="E26" s="137"/>
      <c r="F26" s="86">
        <v>6.1666666666666682E-2</v>
      </c>
      <c r="G26" s="145">
        <v>0.1111111111111111</v>
      </c>
      <c r="H26" s="152">
        <v>7.7499999999999902E-2</v>
      </c>
      <c r="I26" s="140"/>
      <c r="J26" s="83">
        <v>0.37000000000000011</v>
      </c>
      <c r="K26" s="144">
        <v>1</v>
      </c>
      <c r="L26" s="151">
        <v>0.61999999999999922</v>
      </c>
      <c r="M26" s="137"/>
      <c r="N26" s="86">
        <v>6.1666666666666682E-2</v>
      </c>
      <c r="O26" s="145">
        <v>0.1111111111111111</v>
      </c>
      <c r="P26" s="152">
        <v>7.7499999999999902E-2</v>
      </c>
      <c r="Q26" s="140"/>
      <c r="R26" s="87">
        <v>9.9849650400000045E-2</v>
      </c>
      <c r="S26" s="146">
        <v>0.41450400000000021</v>
      </c>
      <c r="T26" s="153">
        <v>0.22480079039999978</v>
      </c>
      <c r="U26" s="142"/>
      <c r="V26" s="86">
        <v>0.12840747222222226</v>
      </c>
      <c r="W26" s="145">
        <v>0.2369135802469137</v>
      </c>
      <c r="X26" s="152">
        <v>0.16261631249999983</v>
      </c>
      <c r="Z26" s="84">
        <v>12</v>
      </c>
      <c r="AA26" s="156">
        <v>18</v>
      </c>
      <c r="AB26" s="157">
        <v>16</v>
      </c>
      <c r="AD26" s="43">
        <v>2.1</v>
      </c>
      <c r="AE26" s="43">
        <v>2.1</v>
      </c>
      <c r="AG26" s="43">
        <v>2.2999999999999998</v>
      </c>
      <c r="AH26" s="43">
        <v>1.7659086694837001</v>
      </c>
    </row>
    <row r="27" spans="1:34" x14ac:dyDescent="0.15">
      <c r="A27" s="83">
        <v>1</v>
      </c>
      <c r="B27" s="83">
        <v>0.35999999999999943</v>
      </c>
      <c r="C27" s="144">
        <v>1.3200000000000003</v>
      </c>
      <c r="D27" s="151">
        <v>1.5199999999999996</v>
      </c>
      <c r="E27" s="137"/>
      <c r="F27" s="86">
        <v>2.8124999999999956E-2</v>
      </c>
      <c r="G27" s="145">
        <v>6.9109947643979069E-2</v>
      </c>
      <c r="H27" s="152">
        <v>0.13818181818181816</v>
      </c>
      <c r="I27" s="140"/>
      <c r="J27" s="83">
        <v>0.17999999999999972</v>
      </c>
      <c r="K27" s="144">
        <v>0.66000000000000014</v>
      </c>
      <c r="L27" s="151">
        <v>0.75999999999999979</v>
      </c>
      <c r="M27" s="137"/>
      <c r="N27" s="86">
        <v>2.8124999999999956E-2</v>
      </c>
      <c r="O27" s="145">
        <v>6.9109947643979069E-2</v>
      </c>
      <c r="P27" s="152">
        <v>0.13818181818181816</v>
      </c>
      <c r="Q27" s="140"/>
      <c r="R27" s="87">
        <v>5.0970902399999796E-2</v>
      </c>
      <c r="S27" s="146">
        <v>0.28451554560000014</v>
      </c>
      <c r="T27" s="153">
        <v>0.19498268159999999</v>
      </c>
      <c r="U27" s="142"/>
      <c r="V27" s="86">
        <v>5.761142578124976E-2</v>
      </c>
      <c r="W27" s="145">
        <v>0.1444260409528248</v>
      </c>
      <c r="X27" s="152">
        <v>0.29841242975206611</v>
      </c>
      <c r="Z27" s="84">
        <v>12.8</v>
      </c>
      <c r="AA27" s="156">
        <v>19.100000000000001</v>
      </c>
      <c r="AB27" s="157">
        <v>11</v>
      </c>
      <c r="AD27" s="43">
        <v>3.7</v>
      </c>
      <c r="AE27" s="43">
        <v>2.2999999999999998</v>
      </c>
      <c r="AG27" s="43">
        <v>3.4</v>
      </c>
      <c r="AH27" s="43">
        <v>2.1475859284596521</v>
      </c>
    </row>
    <row r="28" spans="1:34" x14ac:dyDescent="0.15">
      <c r="A28" s="83">
        <v>1</v>
      </c>
      <c r="B28" s="83">
        <v>1.5599999999999987</v>
      </c>
      <c r="C28" s="144">
        <v>0.33999999999999986</v>
      </c>
      <c r="D28" s="151">
        <v>0.79999999999999893</v>
      </c>
      <c r="E28" s="137"/>
      <c r="F28" s="86">
        <v>9.5705521472392557E-2</v>
      </c>
      <c r="G28" s="145">
        <v>2.3287671232876703E-2</v>
      </c>
      <c r="H28" s="152">
        <v>5.3691275167785164E-2</v>
      </c>
      <c r="I28" s="140"/>
      <c r="J28" s="83">
        <v>0.77999999999999936</v>
      </c>
      <c r="K28" s="144">
        <v>0.16999999999999993</v>
      </c>
      <c r="L28" s="151">
        <v>0.39999999999999947</v>
      </c>
      <c r="M28" s="137"/>
      <c r="N28" s="86">
        <v>9.5705521472392557E-2</v>
      </c>
      <c r="O28" s="145">
        <v>2.3287671232876703E-2</v>
      </c>
      <c r="P28" s="152">
        <v>5.3691275167785164E-2</v>
      </c>
      <c r="Q28" s="140"/>
      <c r="R28" s="87">
        <v>0.29064147840000021</v>
      </c>
      <c r="S28" s="146">
        <v>5.4777794400000079E-2</v>
      </c>
      <c r="T28" s="153">
        <v>0.13351391999999973</v>
      </c>
      <c r="U28" s="142"/>
      <c r="V28" s="86">
        <v>0.20257629568293889</v>
      </c>
      <c r="W28" s="145">
        <v>4.7588834678176081E-2</v>
      </c>
      <c r="X28" s="152">
        <v>0.1113679563983602</v>
      </c>
      <c r="Z28" s="84">
        <v>16.3</v>
      </c>
      <c r="AA28" s="156">
        <v>14.6</v>
      </c>
      <c r="AB28" s="157">
        <v>14.9</v>
      </c>
      <c r="AD28" s="43">
        <v>2.6</v>
      </c>
      <c r="AE28" s="43">
        <v>2.1</v>
      </c>
      <c r="AG28" s="43">
        <v>2.9</v>
      </c>
      <c r="AH28" s="43">
        <v>1.5985536392634432</v>
      </c>
    </row>
    <row r="29" spans="1:34" x14ac:dyDescent="0.15">
      <c r="A29" s="83">
        <v>1</v>
      </c>
      <c r="B29" s="83">
        <v>1.1000000000000014</v>
      </c>
      <c r="C29" s="144">
        <v>0.94999999999999929</v>
      </c>
      <c r="D29" s="151">
        <v>1.2400000000000002</v>
      </c>
      <c r="E29" s="137"/>
      <c r="F29" s="86">
        <v>5.8823529411764781E-2</v>
      </c>
      <c r="G29" s="145">
        <v>7.0370370370370319E-2</v>
      </c>
      <c r="H29" s="152">
        <v>8.4353741496598661E-2</v>
      </c>
      <c r="I29" s="140"/>
      <c r="J29" s="83">
        <v>0.55000000000000071</v>
      </c>
      <c r="K29" s="144">
        <v>0.47499999999999964</v>
      </c>
      <c r="L29" s="151">
        <v>0.62000000000000011</v>
      </c>
      <c r="M29" s="137"/>
      <c r="N29" s="86">
        <v>5.8823529411764781E-2</v>
      </c>
      <c r="O29" s="145">
        <v>7.0370370370370319E-2</v>
      </c>
      <c r="P29" s="152">
        <v>8.4353741496598661E-2</v>
      </c>
      <c r="Q29" s="140"/>
      <c r="R29" s="87">
        <v>0.23097690000000015</v>
      </c>
      <c r="S29" s="146">
        <v>0.14481733499999994</v>
      </c>
      <c r="T29" s="153">
        <v>0.20721709440000002</v>
      </c>
      <c r="U29" s="142"/>
      <c r="V29" s="86">
        <v>0.12231833910034609</v>
      </c>
      <c r="W29" s="145">
        <v>0.14714965706447181</v>
      </c>
      <c r="X29" s="152">
        <v>0.17758126706464902</v>
      </c>
      <c r="Z29" s="84">
        <v>18.7</v>
      </c>
      <c r="AA29" s="156">
        <v>13.5</v>
      </c>
      <c r="AB29" s="157">
        <v>14.7</v>
      </c>
      <c r="AD29" s="43">
        <v>2.2999999999999998</v>
      </c>
      <c r="AE29" s="43">
        <v>3</v>
      </c>
      <c r="AG29" s="43">
        <v>2.7</v>
      </c>
      <c r="AH29" s="43">
        <v>1.9987511375322826</v>
      </c>
    </row>
    <row r="30" spans="1:34" x14ac:dyDescent="0.15">
      <c r="A30" s="83">
        <v>1</v>
      </c>
      <c r="B30" s="83">
        <v>0.94999999999999929</v>
      </c>
      <c r="C30" s="144">
        <v>1.3499999999999979</v>
      </c>
      <c r="D30" s="151">
        <v>1.0999999999999996</v>
      </c>
      <c r="E30" s="137"/>
      <c r="F30" s="86">
        <v>5.1912568306010889E-2</v>
      </c>
      <c r="G30" s="145">
        <v>8.5443037974683403E-2</v>
      </c>
      <c r="H30" s="152">
        <v>8.7999999999999967E-2</v>
      </c>
      <c r="I30" s="140"/>
      <c r="J30" s="83">
        <v>0.47499999999999964</v>
      </c>
      <c r="K30" s="144">
        <v>0.67499999999999893</v>
      </c>
      <c r="L30" s="151">
        <v>0.54999999999999982</v>
      </c>
      <c r="M30" s="137"/>
      <c r="N30" s="86">
        <v>5.1912568306010889E-2</v>
      </c>
      <c r="O30" s="145">
        <v>8.5443037974683403E-2</v>
      </c>
      <c r="P30" s="152">
        <v>8.7999999999999967E-2</v>
      </c>
      <c r="Q30" s="140"/>
      <c r="R30" s="87">
        <v>0.1945578149999998</v>
      </c>
      <c r="S30" s="146">
        <v>0.24260755499999953</v>
      </c>
      <c r="T30" s="153">
        <v>0.15658433999999988</v>
      </c>
      <c r="U30" s="142"/>
      <c r="V30" s="86">
        <v>0.10758525187374945</v>
      </c>
      <c r="W30" s="145">
        <v>0.17996845457458704</v>
      </c>
      <c r="X30" s="152">
        <v>0.18558143999999985</v>
      </c>
      <c r="Z30" s="84">
        <v>18.3</v>
      </c>
      <c r="AA30" s="156">
        <v>15.8</v>
      </c>
      <c r="AB30" s="157">
        <v>12.5</v>
      </c>
      <c r="AD30" s="43">
        <v>2.9</v>
      </c>
      <c r="AE30" s="43">
        <v>2.8</v>
      </c>
      <c r="AG30" s="43">
        <v>3.1</v>
      </c>
      <c r="AH30" s="43">
        <v>2.2999999999999998</v>
      </c>
    </row>
    <row r="31" spans="1:34" x14ac:dyDescent="0.15">
      <c r="A31" s="83">
        <v>1</v>
      </c>
      <c r="B31" s="83">
        <v>1.4800000000000004</v>
      </c>
      <c r="C31" s="144">
        <v>1.0999999999999996</v>
      </c>
      <c r="D31" s="151">
        <v>0.80000000000000071</v>
      </c>
      <c r="E31" s="137"/>
      <c r="F31" s="86">
        <v>0.10206896551724141</v>
      </c>
      <c r="G31" s="145">
        <v>7.8571428571428542E-2</v>
      </c>
      <c r="H31" s="152">
        <v>6.6666666666666721E-2</v>
      </c>
      <c r="I31" s="140"/>
      <c r="J31" s="83">
        <v>0.74000000000000021</v>
      </c>
      <c r="K31" s="144">
        <v>0.54999999999999982</v>
      </c>
      <c r="L31" s="151">
        <v>0.40000000000000036</v>
      </c>
      <c r="M31" s="137"/>
      <c r="N31" s="86">
        <v>0.10206896551724141</v>
      </c>
      <c r="O31" s="145">
        <v>7.8571428571428542E-2</v>
      </c>
      <c r="P31" s="152">
        <v>6.6666666666666721E-2</v>
      </c>
      <c r="Q31" s="140"/>
      <c r="R31" s="87">
        <v>0.2460321216000001</v>
      </c>
      <c r="S31" s="146">
        <v>0.17458253999999984</v>
      </c>
      <c r="T31" s="153">
        <v>0.1082073600000002</v>
      </c>
      <c r="U31" s="142"/>
      <c r="V31" s="86">
        <v>0.21670156480380506</v>
      </c>
      <c r="W31" s="145">
        <v>0.16494948979591822</v>
      </c>
      <c r="X31" s="152">
        <v>0.13915555555555581</v>
      </c>
      <c r="Z31" s="84">
        <v>14.5</v>
      </c>
      <c r="AA31" s="156">
        <v>14</v>
      </c>
      <c r="AB31" s="157">
        <v>12</v>
      </c>
      <c r="AD31" s="43">
        <v>2.2999999999999998</v>
      </c>
      <c r="AE31" s="43">
        <v>2.1</v>
      </c>
      <c r="AG31" s="43">
        <v>2.9</v>
      </c>
      <c r="AH31" s="43">
        <v>2.2000000000000002</v>
      </c>
    </row>
    <row r="32" spans="1:34" ht="15" thickBot="1" x14ac:dyDescent="0.2">
      <c r="A32" s="83">
        <v>1</v>
      </c>
      <c r="B32" s="123">
        <v>1.3399999999999999</v>
      </c>
      <c r="C32" s="144">
        <v>1</v>
      </c>
      <c r="D32" s="123"/>
      <c r="E32" s="138"/>
      <c r="F32" s="124">
        <v>9.7810218978102187E-2</v>
      </c>
      <c r="G32" s="145">
        <v>7.4626865671641784E-2</v>
      </c>
      <c r="H32" s="124"/>
      <c r="I32" s="141"/>
      <c r="J32" s="123">
        <v>0.66999999999999993</v>
      </c>
      <c r="K32" s="144">
        <v>0.5</v>
      </c>
      <c r="L32" s="123"/>
      <c r="M32" s="138"/>
      <c r="N32" s="124">
        <v>9.7810218978102187E-2</v>
      </c>
      <c r="O32" s="145">
        <v>7.4626865671641784E-2</v>
      </c>
      <c r="P32" s="124"/>
      <c r="Q32" s="141"/>
      <c r="R32" s="125">
        <v>0.21004226640000012</v>
      </c>
      <c r="S32" s="146">
        <v>0.15162120000000001</v>
      </c>
      <c r="T32" s="125"/>
      <c r="U32" s="143"/>
      <c r="V32" s="124">
        <v>0.20723914966167631</v>
      </c>
      <c r="W32" s="145">
        <v>0.15637112942748943</v>
      </c>
      <c r="X32" s="124"/>
      <c r="Z32" s="121">
        <v>13.7</v>
      </c>
      <c r="AA32" s="156">
        <v>13.4</v>
      </c>
      <c r="AB32" s="158"/>
      <c r="AD32" s="43">
        <v>2</v>
      </c>
      <c r="AG32" s="43">
        <v>2</v>
      </c>
    </row>
    <row r="33" spans="1:33" s="147" customFormat="1" ht="15" thickBot="1" x14ac:dyDescent="0.2">
      <c r="A33" s="144">
        <v>2</v>
      </c>
      <c r="C33" s="148">
        <v>1.0999999999999996</v>
      </c>
      <c r="D33" s="144"/>
      <c r="E33" s="144"/>
      <c r="G33" s="149">
        <v>8.5271317829457335E-2</v>
      </c>
      <c r="H33" s="145"/>
      <c r="I33" s="145"/>
      <c r="K33" s="148">
        <v>0.54999999999999982</v>
      </c>
      <c r="L33" s="144"/>
      <c r="M33" s="144"/>
      <c r="O33" s="149">
        <v>8.5271317829457335E-2</v>
      </c>
      <c r="P33" s="145"/>
      <c r="Q33" s="145"/>
      <c r="S33" s="150">
        <v>0.16138386000000005</v>
      </c>
      <c r="T33" s="146"/>
      <c r="U33" s="146"/>
      <c r="W33" s="149">
        <v>0.17959197163631999</v>
      </c>
      <c r="X33" s="145"/>
      <c r="AA33" s="159">
        <v>12.9</v>
      </c>
      <c r="AB33" s="156"/>
      <c r="AD33" s="128">
        <v>3</v>
      </c>
      <c r="AG33" s="128">
        <v>2.9</v>
      </c>
    </row>
    <row r="36" spans="1:33" x14ac:dyDescent="0.15">
      <c r="A36" t="s">
        <v>252</v>
      </c>
      <c r="C36" s="155" t="s">
        <v>4</v>
      </c>
      <c r="D36" s="155"/>
      <c r="E36"/>
    </row>
    <row r="37" spans="1:33" x14ac:dyDescent="0.15">
      <c r="E37"/>
    </row>
    <row r="38" spans="1:33" ht="15" thickBot="1" x14ac:dyDescent="0.2">
      <c r="A38" t="s">
        <v>253</v>
      </c>
      <c r="E38"/>
    </row>
    <row r="39" spans="1:33" x14ac:dyDescent="0.15">
      <c r="A39" s="154" t="s">
        <v>254</v>
      </c>
      <c r="B39" s="154" t="s">
        <v>255</v>
      </c>
      <c r="C39" s="154" t="s">
        <v>256</v>
      </c>
      <c r="D39" s="154" t="s">
        <v>257</v>
      </c>
      <c r="E39" s="154" t="s">
        <v>258</v>
      </c>
    </row>
    <row r="40" spans="1:33" x14ac:dyDescent="0.15">
      <c r="A40" t="s">
        <v>12</v>
      </c>
      <c r="B40">
        <v>30</v>
      </c>
      <c r="C40">
        <v>424.1</v>
      </c>
      <c r="D40">
        <v>14.136666666666667</v>
      </c>
      <c r="E40">
        <v>4.9065402298850227</v>
      </c>
    </row>
    <row r="41" spans="1:33" ht="15" thickBot="1" x14ac:dyDescent="0.2">
      <c r="A41" s="9" t="s">
        <v>12</v>
      </c>
      <c r="B41" s="9">
        <v>31</v>
      </c>
      <c r="C41" s="9">
        <v>438.3</v>
      </c>
      <c r="D41" s="9">
        <v>14.138709677419355</v>
      </c>
      <c r="E41" s="9">
        <v>4.9777849462365644</v>
      </c>
    </row>
    <row r="42" spans="1:33" x14ac:dyDescent="0.15">
      <c r="E42"/>
    </row>
    <row r="43" spans="1:33" x14ac:dyDescent="0.15">
      <c r="E43"/>
    </row>
    <row r="44" spans="1:33" ht="15" thickBot="1" x14ac:dyDescent="0.2">
      <c r="A44" t="s">
        <v>259</v>
      </c>
      <c r="E44"/>
    </row>
    <row r="45" spans="1:33" x14ac:dyDescent="0.15">
      <c r="A45" s="154" t="s">
        <v>260</v>
      </c>
      <c r="B45" s="154" t="s">
        <v>261</v>
      </c>
      <c r="C45" s="154" t="s">
        <v>262</v>
      </c>
      <c r="D45" s="154" t="s">
        <v>263</v>
      </c>
      <c r="E45" s="154" t="s">
        <v>264</v>
      </c>
      <c r="F45" s="154" t="s">
        <v>265</v>
      </c>
      <c r="G45" s="154" t="s">
        <v>266</v>
      </c>
    </row>
    <row r="46" spans="1:33" x14ac:dyDescent="0.15">
      <c r="A46" t="s">
        <v>267</v>
      </c>
      <c r="B46">
        <v>6.3634761147568497E-5</v>
      </c>
      <c r="C46">
        <v>1</v>
      </c>
      <c r="D46">
        <v>6.3634761147568497E-5</v>
      </c>
      <c r="E46">
        <v>1.2874321089335679E-5</v>
      </c>
      <c r="F46" s="155">
        <v>0.9971492368309236</v>
      </c>
      <c r="G46">
        <v>4.0039825031306115</v>
      </c>
    </row>
    <row r="47" spans="1:33" x14ac:dyDescent="0.15">
      <c r="A47" t="s">
        <v>268</v>
      </c>
      <c r="B47">
        <v>291.62321505376349</v>
      </c>
      <c r="C47">
        <v>59</v>
      </c>
      <c r="D47">
        <v>4.9427663568434488</v>
      </c>
      <c r="E47"/>
    </row>
    <row r="48" spans="1:33" x14ac:dyDescent="0.15">
      <c r="E48"/>
    </row>
    <row r="49" spans="1:16" ht="15" thickBot="1" x14ac:dyDescent="0.2">
      <c r="A49" s="9" t="s">
        <v>269</v>
      </c>
      <c r="B49" s="9">
        <v>291.62327868852464</v>
      </c>
      <c r="C49" s="9">
        <v>60</v>
      </c>
      <c r="D49" s="9"/>
      <c r="E49" s="9"/>
      <c r="F49" s="9"/>
      <c r="G49" s="9"/>
    </row>
    <row r="52" spans="1:16" x14ac:dyDescent="0.15">
      <c r="A52" t="s">
        <v>252</v>
      </c>
      <c r="C52" s="155" t="s">
        <v>242</v>
      </c>
      <c r="D52" s="155"/>
      <c r="E52" s="155"/>
      <c r="F52" s="155"/>
      <c r="J52" t="s">
        <v>252</v>
      </c>
      <c r="L52" s="155" t="s">
        <v>243</v>
      </c>
      <c r="M52" s="155"/>
      <c r="N52" s="155"/>
      <c r="O52" s="155"/>
    </row>
    <row r="53" spans="1:16" x14ac:dyDescent="0.15">
      <c r="E53"/>
      <c r="M53"/>
    </row>
    <row r="54" spans="1:16" ht="15" thickBot="1" x14ac:dyDescent="0.2">
      <c r="A54" t="s">
        <v>253</v>
      </c>
      <c r="E54"/>
      <c r="J54" t="s">
        <v>253</v>
      </c>
      <c r="M54"/>
    </row>
    <row r="55" spans="1:16" x14ac:dyDescent="0.15">
      <c r="A55" s="154" t="s">
        <v>254</v>
      </c>
      <c r="B55" s="154" t="s">
        <v>255</v>
      </c>
      <c r="C55" s="154" t="s">
        <v>256</v>
      </c>
      <c r="D55" s="154" t="s">
        <v>257</v>
      </c>
      <c r="E55" s="154" t="s">
        <v>258</v>
      </c>
      <c r="J55" s="154" t="s">
        <v>254</v>
      </c>
      <c r="K55" s="154" t="s">
        <v>255</v>
      </c>
      <c r="L55" s="154" t="s">
        <v>256</v>
      </c>
      <c r="M55" s="154" t="s">
        <v>257</v>
      </c>
      <c r="N55" s="154" t="s">
        <v>258</v>
      </c>
    </row>
    <row r="56" spans="1:16" x14ac:dyDescent="0.15">
      <c r="A56" t="s">
        <v>242</v>
      </c>
      <c r="B56">
        <v>30</v>
      </c>
      <c r="C56">
        <v>36.13000000000001</v>
      </c>
      <c r="D56">
        <v>1.2043333333333337</v>
      </c>
      <c r="E56">
        <v>0.25685298850574623</v>
      </c>
      <c r="J56" t="s">
        <v>243</v>
      </c>
      <c r="K56">
        <v>30</v>
      </c>
      <c r="L56">
        <v>2.5560649565241205</v>
      </c>
      <c r="M56">
        <v>8.5202165217470677E-2</v>
      </c>
      <c r="N56">
        <v>1.0395245384820122E-3</v>
      </c>
    </row>
    <row r="57" spans="1:16" x14ac:dyDescent="0.15">
      <c r="A57" t="s">
        <v>242</v>
      </c>
      <c r="B57">
        <v>31</v>
      </c>
      <c r="C57">
        <v>37.980000000000004</v>
      </c>
      <c r="D57">
        <v>1.2251612903225808</v>
      </c>
      <c r="E57">
        <v>0.21078580645161249</v>
      </c>
      <c r="J57" t="s">
        <v>243</v>
      </c>
      <c r="K57">
        <v>31</v>
      </c>
      <c r="L57">
        <v>2.6931489727506239</v>
      </c>
      <c r="M57">
        <v>8.6875773314536262E-2</v>
      </c>
      <c r="N57">
        <v>8.8916577287513805E-4</v>
      </c>
    </row>
    <row r="58" spans="1:16" ht="15" thickBot="1" x14ac:dyDescent="0.2">
      <c r="A58" s="9" t="s">
        <v>242</v>
      </c>
      <c r="B58" s="9">
        <v>29</v>
      </c>
      <c r="C58" s="9">
        <v>31.219999999999995</v>
      </c>
      <c r="D58" s="9">
        <v>1.0765517241379308</v>
      </c>
      <c r="E58" s="9">
        <v>0.1928376847290641</v>
      </c>
      <c r="J58" s="9" t="s">
        <v>243</v>
      </c>
      <c r="K58" s="9">
        <v>29</v>
      </c>
      <c r="L58" s="9">
        <v>2.2645353410366003</v>
      </c>
      <c r="M58" s="9">
        <v>7.8087425552986214E-2</v>
      </c>
      <c r="N58" s="9">
        <v>1.2488858546138401E-3</v>
      </c>
    </row>
    <row r="59" spans="1:16" x14ac:dyDescent="0.15">
      <c r="E59"/>
      <c r="M59"/>
    </row>
    <row r="60" spans="1:16" x14ac:dyDescent="0.15">
      <c r="E60"/>
      <c r="M60"/>
    </row>
    <row r="61" spans="1:16" ht="15" thickBot="1" x14ac:dyDescent="0.2">
      <c r="A61" t="s">
        <v>259</v>
      </c>
      <c r="E61"/>
      <c r="J61" t="s">
        <v>259</v>
      </c>
      <c r="M61"/>
    </row>
    <row r="62" spans="1:16" x14ac:dyDescent="0.15">
      <c r="A62" s="154" t="s">
        <v>260</v>
      </c>
      <c r="B62" s="154" t="s">
        <v>261</v>
      </c>
      <c r="C62" s="154" t="s">
        <v>262</v>
      </c>
      <c r="D62" s="154" t="s">
        <v>263</v>
      </c>
      <c r="E62" s="154" t="s">
        <v>264</v>
      </c>
      <c r="F62" s="154" t="s">
        <v>265</v>
      </c>
      <c r="G62" s="154" t="s">
        <v>266</v>
      </c>
      <c r="J62" s="154" t="s">
        <v>260</v>
      </c>
      <c r="K62" s="154" t="s">
        <v>261</v>
      </c>
      <c r="L62" s="154" t="s">
        <v>262</v>
      </c>
      <c r="M62" s="154" t="s">
        <v>263</v>
      </c>
      <c r="N62" s="154" t="s">
        <v>264</v>
      </c>
      <c r="O62" s="154" t="s">
        <v>265</v>
      </c>
      <c r="P62" s="154" t="s">
        <v>266</v>
      </c>
    </row>
    <row r="63" spans="1:16" x14ac:dyDescent="0.15">
      <c r="A63" t="s">
        <v>267</v>
      </c>
      <c r="B63">
        <v>0.38292396737114842</v>
      </c>
      <c r="C63">
        <v>2</v>
      </c>
      <c r="D63">
        <v>0.19146198368557421</v>
      </c>
      <c r="E63">
        <v>0.868839759065269</v>
      </c>
      <c r="F63" s="155">
        <v>0.4230449751319687</v>
      </c>
      <c r="G63">
        <v>3.1012957566671893</v>
      </c>
      <c r="J63" t="s">
        <v>267</v>
      </c>
      <c r="K63">
        <v>1.2897577232355989E-3</v>
      </c>
      <c r="L63">
        <v>2</v>
      </c>
      <c r="M63">
        <v>6.4487886161779945E-4</v>
      </c>
      <c r="N63">
        <v>0.61122636287614862</v>
      </c>
      <c r="O63" s="155">
        <v>0.5449986597042854</v>
      </c>
      <c r="P63">
        <v>3.1012957566671893</v>
      </c>
    </row>
    <row r="64" spans="1:16" x14ac:dyDescent="0.15">
      <c r="A64" t="s">
        <v>268</v>
      </c>
      <c r="B64">
        <v>19.171766032628849</v>
      </c>
      <c r="C64">
        <v>87</v>
      </c>
      <c r="D64">
        <v>0.22036512681182585</v>
      </c>
      <c r="E64"/>
      <c r="J64" t="s">
        <v>268</v>
      </c>
      <c r="K64">
        <v>9.1789988731420052E-2</v>
      </c>
      <c r="L64">
        <v>87</v>
      </c>
      <c r="M64">
        <v>1.0550573417404605E-3</v>
      </c>
    </row>
    <row r="65" spans="1:16" x14ac:dyDescent="0.15">
      <c r="E65"/>
      <c r="M65"/>
    </row>
    <row r="66" spans="1:16" ht="15" thickBot="1" x14ac:dyDescent="0.2">
      <c r="A66" s="9" t="s">
        <v>269</v>
      </c>
      <c r="B66" s="9">
        <v>19.554689999999997</v>
      </c>
      <c r="C66" s="9">
        <v>89</v>
      </c>
      <c r="D66" s="9"/>
      <c r="E66" s="9"/>
      <c r="F66" s="9"/>
      <c r="G66" s="9"/>
      <c r="J66" s="9" t="s">
        <v>269</v>
      </c>
      <c r="K66" s="9">
        <v>9.3079746454655651E-2</v>
      </c>
      <c r="L66" s="9">
        <v>89</v>
      </c>
      <c r="M66" s="9"/>
      <c r="N66" s="9"/>
      <c r="O66" s="9"/>
      <c r="P66" s="9"/>
    </row>
    <row r="69" spans="1:16" x14ac:dyDescent="0.15">
      <c r="A69" t="s">
        <v>252</v>
      </c>
      <c r="C69" s="155" t="s">
        <v>244</v>
      </c>
      <c r="D69" s="155"/>
      <c r="E69" s="155"/>
      <c r="F69" s="155"/>
      <c r="J69" t="s">
        <v>252</v>
      </c>
      <c r="L69" s="155" t="s">
        <v>245</v>
      </c>
      <c r="M69" s="155"/>
      <c r="N69" s="155"/>
      <c r="O69" s="155"/>
    </row>
    <row r="70" spans="1:16" x14ac:dyDescent="0.15">
      <c r="E70"/>
      <c r="M70"/>
    </row>
    <row r="71" spans="1:16" ht="15" thickBot="1" x14ac:dyDescent="0.2">
      <c r="A71" t="s">
        <v>253</v>
      </c>
      <c r="E71"/>
      <c r="J71" t="s">
        <v>253</v>
      </c>
      <c r="M71"/>
    </row>
    <row r="72" spans="1:16" x14ac:dyDescent="0.15">
      <c r="A72" s="154" t="s">
        <v>254</v>
      </c>
      <c r="B72" s="154" t="s">
        <v>255</v>
      </c>
      <c r="C72" s="154" t="s">
        <v>256</v>
      </c>
      <c r="D72" s="154" t="s">
        <v>257</v>
      </c>
      <c r="E72" s="154" t="s">
        <v>258</v>
      </c>
      <c r="J72" s="154" t="s">
        <v>254</v>
      </c>
      <c r="K72" s="154" t="s">
        <v>255</v>
      </c>
      <c r="L72" s="154" t="s">
        <v>256</v>
      </c>
      <c r="M72" s="154" t="s">
        <v>257</v>
      </c>
      <c r="N72" s="154" t="s">
        <v>258</v>
      </c>
    </row>
    <row r="73" spans="1:16" x14ac:dyDescent="0.15">
      <c r="A73" t="s">
        <v>244</v>
      </c>
      <c r="B73">
        <v>30</v>
      </c>
      <c r="C73">
        <v>18.065000000000005</v>
      </c>
      <c r="D73">
        <v>0.60216666666666685</v>
      </c>
      <c r="E73">
        <v>6.4213247126436557E-2</v>
      </c>
      <c r="J73" t="s">
        <v>245</v>
      </c>
      <c r="K73">
        <v>30</v>
      </c>
      <c r="L73">
        <v>2.5560649565241205</v>
      </c>
      <c r="M73">
        <v>8.5202165217470677E-2</v>
      </c>
      <c r="N73">
        <v>1.0395245384820122E-3</v>
      </c>
    </row>
    <row r="74" spans="1:16" ht="15" thickBot="1" x14ac:dyDescent="0.2">
      <c r="A74" s="9" t="s">
        <v>244</v>
      </c>
      <c r="B74" s="9">
        <v>31</v>
      </c>
      <c r="C74" s="9">
        <v>18.990000000000002</v>
      </c>
      <c r="D74" s="9">
        <v>0.6125806451612904</v>
      </c>
      <c r="E74" s="9">
        <v>5.2696451612903122E-2</v>
      </c>
      <c r="J74" t="s">
        <v>245</v>
      </c>
      <c r="K74">
        <v>31</v>
      </c>
      <c r="L74">
        <v>2.6931489727506239</v>
      </c>
      <c r="M74">
        <v>8.6875773314536262E-2</v>
      </c>
      <c r="N74">
        <v>8.8916577287513805E-4</v>
      </c>
    </row>
    <row r="75" spans="1:16" ht="15" thickBot="1" x14ac:dyDescent="0.2">
      <c r="E75"/>
      <c r="J75" s="9" t="s">
        <v>245</v>
      </c>
      <c r="K75" s="9">
        <v>29</v>
      </c>
      <c r="L75" s="9">
        <v>2.2645353410366003</v>
      </c>
      <c r="M75" s="9">
        <v>7.8087425552986214E-2</v>
      </c>
      <c r="N75" s="9">
        <v>1.2488858546138401E-3</v>
      </c>
    </row>
    <row r="76" spans="1:16" x14ac:dyDescent="0.15">
      <c r="E76"/>
      <c r="M76"/>
    </row>
    <row r="77" spans="1:16" ht="15" thickBot="1" x14ac:dyDescent="0.2">
      <c r="A77" t="s">
        <v>259</v>
      </c>
      <c r="E77"/>
      <c r="M77"/>
    </row>
    <row r="78" spans="1:16" ht="15" thickBot="1" x14ac:dyDescent="0.2">
      <c r="A78" s="154" t="s">
        <v>260</v>
      </c>
      <c r="B78" s="154" t="s">
        <v>261</v>
      </c>
      <c r="C78" s="154" t="s">
        <v>262</v>
      </c>
      <c r="D78" s="154" t="s">
        <v>263</v>
      </c>
      <c r="E78" s="154" t="s">
        <v>264</v>
      </c>
      <c r="F78" s="154" t="s">
        <v>265</v>
      </c>
      <c r="G78" s="154" t="s">
        <v>266</v>
      </c>
      <c r="J78" t="s">
        <v>259</v>
      </c>
      <c r="M78"/>
    </row>
    <row r="79" spans="1:16" x14ac:dyDescent="0.15">
      <c r="A79" t="s">
        <v>267</v>
      </c>
      <c r="B79">
        <v>1.6534324872221617E-3</v>
      </c>
      <c r="C79">
        <v>1</v>
      </c>
      <c r="D79">
        <v>1.6534324872221617E-3</v>
      </c>
      <c r="E79">
        <v>2.8332940705808107E-2</v>
      </c>
      <c r="F79" s="155">
        <v>0.86690416040419749</v>
      </c>
      <c r="G79">
        <v>4.0039825031306115</v>
      </c>
      <c r="J79" s="154" t="s">
        <v>260</v>
      </c>
      <c r="K79" s="154" t="s">
        <v>261</v>
      </c>
      <c r="L79" s="154" t="s">
        <v>262</v>
      </c>
      <c r="M79" s="154" t="s">
        <v>263</v>
      </c>
      <c r="N79" s="154" t="s">
        <v>264</v>
      </c>
      <c r="O79" s="154" t="s">
        <v>265</v>
      </c>
      <c r="P79" s="154" t="s">
        <v>266</v>
      </c>
    </row>
    <row r="80" spans="1:16" x14ac:dyDescent="0.15">
      <c r="A80" t="s">
        <v>268</v>
      </c>
      <c r="B80">
        <v>3.4430777150537635</v>
      </c>
      <c r="C80">
        <v>59</v>
      </c>
      <c r="D80">
        <v>5.8357249407690909E-2</v>
      </c>
      <c r="E80"/>
      <c r="J80" t="s">
        <v>267</v>
      </c>
      <c r="K80">
        <v>1.2897577232355989E-3</v>
      </c>
      <c r="L80">
        <v>2</v>
      </c>
      <c r="M80">
        <v>6.4487886161779945E-4</v>
      </c>
      <c r="N80">
        <v>0.61122636287614862</v>
      </c>
      <c r="O80" s="155">
        <v>0.5449986597042854</v>
      </c>
      <c r="P80">
        <v>3.1012957566671893</v>
      </c>
    </row>
    <row r="81" spans="1:16" x14ac:dyDescent="0.15">
      <c r="E81"/>
      <c r="J81" t="s">
        <v>268</v>
      </c>
      <c r="K81">
        <v>9.1789988731420052E-2</v>
      </c>
      <c r="L81">
        <v>87</v>
      </c>
      <c r="M81">
        <v>1.0550573417404605E-3</v>
      </c>
    </row>
    <row r="82" spans="1:16" ht="15" thickBot="1" x14ac:dyDescent="0.2">
      <c r="A82" s="9" t="s">
        <v>269</v>
      </c>
      <c r="B82" s="9">
        <v>3.4447311475409856</v>
      </c>
      <c r="C82" s="9">
        <v>60</v>
      </c>
      <c r="D82" s="9"/>
      <c r="E82" s="9"/>
      <c r="F82" s="9"/>
      <c r="G82" s="9"/>
      <c r="M82"/>
    </row>
    <row r="83" spans="1:16" ht="15" thickBot="1" x14ac:dyDescent="0.2">
      <c r="J83" s="9" t="s">
        <v>269</v>
      </c>
      <c r="K83" s="9">
        <v>9.3079746454655651E-2</v>
      </c>
      <c r="L83" s="9">
        <v>89</v>
      </c>
      <c r="M83" s="9"/>
      <c r="N83" s="9"/>
      <c r="O83" s="9"/>
      <c r="P83" s="9"/>
    </row>
    <row r="86" spans="1:16" x14ac:dyDescent="0.15">
      <c r="A86" t="s">
        <v>252</v>
      </c>
      <c r="C86" s="155" t="s">
        <v>270</v>
      </c>
      <c r="D86" s="155"/>
      <c r="E86" s="155"/>
      <c r="F86" s="155"/>
      <c r="G86" s="155"/>
      <c r="J86" t="s">
        <v>252</v>
      </c>
      <c r="L86" s="155" t="s">
        <v>271</v>
      </c>
      <c r="M86" s="155"/>
      <c r="N86" s="155"/>
      <c r="O86" s="155"/>
      <c r="P86" s="155"/>
    </row>
    <row r="87" spans="1:16" x14ac:dyDescent="0.15">
      <c r="E87"/>
      <c r="M87"/>
    </row>
    <row r="88" spans="1:16" ht="15" thickBot="1" x14ac:dyDescent="0.2">
      <c r="A88" t="s">
        <v>253</v>
      </c>
      <c r="E88"/>
      <c r="J88" t="s">
        <v>253</v>
      </c>
      <c r="M88"/>
    </row>
    <row r="89" spans="1:16" x14ac:dyDescent="0.15">
      <c r="A89" s="154" t="s">
        <v>254</v>
      </c>
      <c r="B89" s="154" t="s">
        <v>255</v>
      </c>
      <c r="C89" s="154" t="s">
        <v>256</v>
      </c>
      <c r="D89" s="154" t="s">
        <v>257</v>
      </c>
      <c r="E89" s="154" t="s">
        <v>258</v>
      </c>
      <c r="J89" s="154" t="s">
        <v>254</v>
      </c>
      <c r="K89" s="154" t="s">
        <v>255</v>
      </c>
      <c r="L89" s="154" t="s">
        <v>256</v>
      </c>
      <c r="M89" s="154" t="s">
        <v>257</v>
      </c>
      <c r="N89" s="154" t="s">
        <v>258</v>
      </c>
    </row>
    <row r="90" spans="1:16" x14ac:dyDescent="0.15">
      <c r="A90" t="s">
        <v>246</v>
      </c>
      <c r="B90">
        <v>30</v>
      </c>
      <c r="C90">
        <v>5.9720825502000006</v>
      </c>
      <c r="D90">
        <v>0.19906941834000003</v>
      </c>
      <c r="E90">
        <v>1.0541868604205286E-2</v>
      </c>
      <c r="J90" t="s">
        <v>247</v>
      </c>
      <c r="K90">
        <v>30</v>
      </c>
      <c r="L90">
        <v>5.4136589773305426</v>
      </c>
      <c r="M90">
        <v>0.18045529924435141</v>
      </c>
      <c r="N90">
        <v>4.9818294978102766E-3</v>
      </c>
    </row>
    <row r="91" spans="1:16" x14ac:dyDescent="0.15">
      <c r="A91" t="s">
        <v>246</v>
      </c>
      <c r="B91">
        <v>31</v>
      </c>
      <c r="C91">
        <v>6.2764697447999982</v>
      </c>
      <c r="D91">
        <v>0.20246676596129026</v>
      </c>
      <c r="E91">
        <v>9.4077628074837657E-3</v>
      </c>
      <c r="J91" t="s">
        <v>247</v>
      </c>
      <c r="K91">
        <v>31</v>
      </c>
      <c r="L91">
        <v>5.7034117415299255</v>
      </c>
      <c r="M91">
        <v>0.18398102392032017</v>
      </c>
      <c r="N91">
        <v>4.3041176164836086E-3</v>
      </c>
    </row>
    <row r="92" spans="1:16" ht="15" thickBot="1" x14ac:dyDescent="0.2">
      <c r="A92" s="9" t="s">
        <v>246</v>
      </c>
      <c r="B92" s="9">
        <v>29</v>
      </c>
      <c r="C92" s="9">
        <v>5.0263376795999992</v>
      </c>
      <c r="D92" s="9">
        <v>0.1733219889517241</v>
      </c>
      <c r="E92" s="9">
        <v>5.7021846595308257E-3</v>
      </c>
      <c r="J92" s="9" t="s">
        <v>247</v>
      </c>
      <c r="K92" s="9">
        <v>29</v>
      </c>
      <c r="L92" s="9">
        <v>4.7882799330662653</v>
      </c>
      <c r="M92" s="9">
        <v>0.16511310114021605</v>
      </c>
      <c r="N92" s="9">
        <v>5.9770213897680103E-3</v>
      </c>
    </row>
    <row r="93" spans="1:16" x14ac:dyDescent="0.15">
      <c r="E93"/>
      <c r="M93"/>
    </row>
    <row r="94" spans="1:16" x14ac:dyDescent="0.15">
      <c r="E94"/>
      <c r="M94"/>
    </row>
    <row r="95" spans="1:16" ht="15" thickBot="1" x14ac:dyDescent="0.2">
      <c r="A95" t="s">
        <v>259</v>
      </c>
      <c r="E95"/>
      <c r="J95" t="s">
        <v>259</v>
      </c>
      <c r="M95"/>
    </row>
    <row r="96" spans="1:16" x14ac:dyDescent="0.15">
      <c r="A96" s="154" t="s">
        <v>260</v>
      </c>
      <c r="B96" s="154" t="s">
        <v>261</v>
      </c>
      <c r="C96" s="154" t="s">
        <v>262</v>
      </c>
      <c r="D96" s="154" t="s">
        <v>263</v>
      </c>
      <c r="E96" s="154" t="s">
        <v>264</v>
      </c>
      <c r="F96" s="154" t="s">
        <v>265</v>
      </c>
      <c r="G96" s="154" t="s">
        <v>266</v>
      </c>
      <c r="J96" s="154" t="s">
        <v>260</v>
      </c>
      <c r="K96" s="154" t="s">
        <v>261</v>
      </c>
      <c r="L96" s="154" t="s">
        <v>262</v>
      </c>
      <c r="M96" s="154" t="s">
        <v>263</v>
      </c>
      <c r="N96" s="154" t="s">
        <v>264</v>
      </c>
      <c r="O96" s="154" t="s">
        <v>265</v>
      </c>
      <c r="P96" s="154" t="s">
        <v>266</v>
      </c>
    </row>
    <row r="97" spans="1:26" x14ac:dyDescent="0.15">
      <c r="A97" t="s">
        <v>267</v>
      </c>
      <c r="B97">
        <v>1.5012333817856383E-2</v>
      </c>
      <c r="C97">
        <v>2</v>
      </c>
      <c r="D97">
        <v>7.5061669089281913E-3</v>
      </c>
      <c r="E97">
        <v>0.87350096274541522</v>
      </c>
      <c r="F97" s="155">
        <v>0.42111620231008229</v>
      </c>
      <c r="G97">
        <v>3.1012957566671893</v>
      </c>
      <c r="J97" t="s">
        <v>267</v>
      </c>
      <c r="K97">
        <v>5.9598498968732039E-3</v>
      </c>
      <c r="L97">
        <v>2</v>
      </c>
      <c r="M97">
        <v>2.9799249484366019E-3</v>
      </c>
      <c r="N97">
        <v>0.58793876674522683</v>
      </c>
      <c r="O97" s="155">
        <v>0.55766270676817031</v>
      </c>
      <c r="P97">
        <v>3.1012957566671893</v>
      </c>
    </row>
    <row r="98" spans="1:26" x14ac:dyDescent="0.15">
      <c r="A98" t="s">
        <v>268</v>
      </c>
      <c r="B98">
        <v>0.74760824421332939</v>
      </c>
      <c r="C98">
        <v>87</v>
      </c>
      <c r="D98">
        <v>8.5931982093486129E-3</v>
      </c>
      <c r="E98"/>
      <c r="J98" t="s">
        <v>268</v>
      </c>
      <c r="K98">
        <v>0.44095318284451113</v>
      </c>
      <c r="L98">
        <v>87</v>
      </c>
      <c r="M98">
        <v>5.068427389017369E-3</v>
      </c>
    </row>
    <row r="99" spans="1:26" x14ac:dyDescent="0.15">
      <c r="E99"/>
      <c r="M99"/>
    </row>
    <row r="100" spans="1:26" ht="15" thickBot="1" x14ac:dyDescent="0.2">
      <c r="A100" s="9" t="s">
        <v>269</v>
      </c>
      <c r="B100" s="9">
        <v>0.76262057803118577</v>
      </c>
      <c r="C100" s="9">
        <v>89</v>
      </c>
      <c r="D100" s="9"/>
      <c r="E100" s="9"/>
      <c r="F100" s="9"/>
      <c r="G100" s="9"/>
      <c r="J100" s="9" t="s">
        <v>269</v>
      </c>
      <c r="K100" s="9">
        <v>0.44691303274138433</v>
      </c>
      <c r="L100" s="9">
        <v>89</v>
      </c>
      <c r="M100" s="9"/>
      <c r="N100" s="9"/>
      <c r="O100" s="9"/>
      <c r="P100" s="9"/>
    </row>
    <row r="103" spans="1:26" x14ac:dyDescent="0.15">
      <c r="A103" t="s">
        <v>252</v>
      </c>
      <c r="C103" s="155" t="s">
        <v>248</v>
      </c>
      <c r="E103"/>
      <c r="J103" t="s">
        <v>252</v>
      </c>
      <c r="L103" s="155" t="s">
        <v>250</v>
      </c>
      <c r="M103"/>
    </row>
    <row r="104" spans="1:26" x14ac:dyDescent="0.15">
      <c r="E104"/>
      <c r="M104"/>
    </row>
    <row r="105" spans="1:26" ht="15" thickBot="1" x14ac:dyDescent="0.2">
      <c r="A105" t="s">
        <v>253</v>
      </c>
      <c r="E105"/>
      <c r="J105" t="s">
        <v>253</v>
      </c>
      <c r="M105"/>
    </row>
    <row r="106" spans="1:26" x14ac:dyDescent="0.15">
      <c r="A106" s="154" t="s">
        <v>254</v>
      </c>
      <c r="B106" s="154" t="s">
        <v>255</v>
      </c>
      <c r="C106" s="154" t="s">
        <v>256</v>
      </c>
      <c r="D106" s="154" t="s">
        <v>257</v>
      </c>
      <c r="E106" s="154" t="s">
        <v>258</v>
      </c>
      <c r="J106" s="154" t="s">
        <v>254</v>
      </c>
      <c r="K106" s="154" t="s">
        <v>255</v>
      </c>
      <c r="L106" s="154" t="s">
        <v>256</v>
      </c>
      <c r="M106" s="154" t="s">
        <v>257</v>
      </c>
      <c r="N106" s="154" t="s">
        <v>258</v>
      </c>
    </row>
    <row r="107" spans="1:26" x14ac:dyDescent="0.15">
      <c r="A107" t="s">
        <v>248</v>
      </c>
      <c r="B107">
        <v>31</v>
      </c>
      <c r="C107">
        <v>69.900000000000006</v>
      </c>
      <c r="D107">
        <v>2.2548387096774194</v>
      </c>
      <c r="E107">
        <v>0.23722580645161032</v>
      </c>
      <c r="J107" t="s">
        <v>250</v>
      </c>
      <c r="K107">
        <v>31</v>
      </c>
      <c r="L107">
        <v>78.300000000000011</v>
      </c>
      <c r="M107">
        <v>2.5258064516129037</v>
      </c>
      <c r="N107">
        <v>0.17531182795698708</v>
      </c>
    </row>
    <row r="108" spans="1:26" ht="15" thickBot="1" x14ac:dyDescent="0.2">
      <c r="A108" s="9" t="s">
        <v>249</v>
      </c>
      <c r="B108" s="9">
        <v>29</v>
      </c>
      <c r="C108" s="9">
        <v>61.199999999999996</v>
      </c>
      <c r="D108" s="9">
        <v>2.1103448275862067</v>
      </c>
      <c r="E108" s="9">
        <v>0.16310344827586221</v>
      </c>
      <c r="J108" s="9" t="s">
        <v>251</v>
      </c>
      <c r="K108" s="9">
        <v>29</v>
      </c>
      <c r="L108" s="9">
        <v>56.560113016726341</v>
      </c>
      <c r="M108" s="9">
        <v>1.9503487247147013</v>
      </c>
      <c r="N108" s="9">
        <v>4.0463320253015259E-2</v>
      </c>
    </row>
    <row r="109" spans="1:26" x14ac:dyDescent="0.15">
      <c r="E109"/>
      <c r="M109"/>
    </row>
    <row r="110" spans="1:26" x14ac:dyDescent="0.15">
      <c r="E110"/>
      <c r="M110"/>
      <c r="Z110" s="30"/>
    </row>
    <row r="111" spans="1:26" ht="15" thickBot="1" x14ac:dyDescent="0.2">
      <c r="A111" t="s">
        <v>259</v>
      </c>
      <c r="E111"/>
      <c r="J111" t="s">
        <v>259</v>
      </c>
      <c r="M111"/>
    </row>
    <row r="112" spans="1:26" x14ac:dyDescent="0.15">
      <c r="A112" s="154" t="s">
        <v>260</v>
      </c>
      <c r="B112" s="154" t="s">
        <v>261</v>
      </c>
      <c r="C112" s="154" t="s">
        <v>262</v>
      </c>
      <c r="D112" s="154" t="s">
        <v>263</v>
      </c>
      <c r="E112" s="154" t="s">
        <v>264</v>
      </c>
      <c r="F112" s="154" t="s">
        <v>265</v>
      </c>
      <c r="G112" s="154" t="s">
        <v>266</v>
      </c>
      <c r="J112" s="154" t="s">
        <v>260</v>
      </c>
      <c r="K112" s="154" t="s">
        <v>261</v>
      </c>
      <c r="L112" s="154" t="s">
        <v>262</v>
      </c>
      <c r="M112" s="154" t="s">
        <v>263</v>
      </c>
      <c r="N112" s="154" t="s">
        <v>264</v>
      </c>
      <c r="O112" s="154" t="s">
        <v>265</v>
      </c>
      <c r="P112" s="154" t="s">
        <v>266</v>
      </c>
    </row>
    <row r="113" spans="1:16" x14ac:dyDescent="0.15">
      <c r="A113" t="s">
        <v>267</v>
      </c>
      <c r="B113">
        <v>0.31282925472747714</v>
      </c>
      <c r="C113">
        <v>1</v>
      </c>
      <c r="D113">
        <v>0.31282925472747714</v>
      </c>
      <c r="E113">
        <v>1.5529448894762101</v>
      </c>
      <c r="F113" s="155">
        <v>0.21771124332014485</v>
      </c>
      <c r="G113">
        <v>4.0068728863327339</v>
      </c>
      <c r="J113" t="s">
        <v>267</v>
      </c>
      <c r="K113">
        <v>4.9617547384452347</v>
      </c>
      <c r="L113">
        <v>1</v>
      </c>
      <c r="M113">
        <v>4.9617547384452347</v>
      </c>
      <c r="N113">
        <v>45.019871253938724</v>
      </c>
      <c r="O113" s="161">
        <v>8.9935159806674761E-9</v>
      </c>
      <c r="P113">
        <v>4.0068728863327339</v>
      </c>
    </row>
    <row r="114" spans="1:16" x14ac:dyDescent="0.15">
      <c r="A114" t="s">
        <v>268</v>
      </c>
      <c r="B114">
        <v>11.683670745272526</v>
      </c>
      <c r="C114">
        <v>58</v>
      </c>
      <c r="D114">
        <v>0.20144259905642287</v>
      </c>
      <c r="E114"/>
      <c r="J114" t="s">
        <v>268</v>
      </c>
      <c r="K114">
        <v>6.392327805794114</v>
      </c>
      <c r="L114">
        <v>58</v>
      </c>
      <c r="M114">
        <v>0.11021254837576058</v>
      </c>
    </row>
    <row r="115" spans="1:16" x14ac:dyDescent="0.15">
      <c r="E115"/>
      <c r="M115"/>
    </row>
    <row r="116" spans="1:16" ht="15" thickBot="1" x14ac:dyDescent="0.2">
      <c r="A116" s="9" t="s">
        <v>269</v>
      </c>
      <c r="B116" s="9">
        <v>11.996500000000003</v>
      </c>
      <c r="C116" s="9">
        <v>59</v>
      </c>
      <c r="D116" s="9"/>
      <c r="E116" s="9"/>
      <c r="F116" s="9"/>
      <c r="G116" s="9"/>
      <c r="J116" s="9" t="s">
        <v>269</v>
      </c>
      <c r="K116" s="9">
        <v>11.354082544239349</v>
      </c>
      <c r="L116" s="9">
        <v>59</v>
      </c>
      <c r="M116" s="9"/>
      <c r="N116" s="9"/>
      <c r="O116" s="9"/>
      <c r="P116" s="9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37D5-9CF0-43A5-8A38-ACCCB7E11234}">
  <dimension ref="A1:V62"/>
  <sheetViews>
    <sheetView zoomScaleNormal="100" workbookViewId="0">
      <selection activeCell="D26" sqref="D26"/>
    </sheetView>
  </sheetViews>
  <sheetFormatPr baseColWidth="10" defaultColWidth="9" defaultRowHeight="13" x14ac:dyDescent="0.15"/>
  <cols>
    <col min="1" max="1" width="12.33203125" style="19" customWidth="1"/>
    <col min="2" max="2" width="7.6640625" style="19" customWidth="1"/>
    <col min="3" max="4" width="5" style="19" customWidth="1"/>
    <col min="5" max="5" width="5.6640625" style="19" customWidth="1"/>
    <col min="6" max="6" width="5.5" style="19" customWidth="1"/>
    <col min="7" max="8" width="4.83203125" style="19" customWidth="1"/>
    <col min="9" max="9" width="5" style="19" customWidth="1"/>
    <col min="10" max="10" width="6.5" style="19" customWidth="1"/>
    <col min="11" max="11" width="10.83203125" style="19" bestFit="1" customWidth="1"/>
    <col min="12" max="16384" width="9" style="19"/>
  </cols>
  <sheetData>
    <row r="1" spans="1:22" ht="84" x14ac:dyDescent="0.15">
      <c r="A1" s="30" t="s">
        <v>75</v>
      </c>
      <c r="B1" s="30" t="s">
        <v>272</v>
      </c>
      <c r="C1" s="31" t="s">
        <v>273</v>
      </c>
      <c r="D1" s="31" t="s">
        <v>274</v>
      </c>
      <c r="E1" s="31" t="s">
        <v>275</v>
      </c>
      <c r="F1" s="31" t="s">
        <v>276</v>
      </c>
      <c r="G1" s="31" t="s">
        <v>277</v>
      </c>
      <c r="H1" s="31" t="s">
        <v>278</v>
      </c>
      <c r="I1" s="30" t="s">
        <v>279</v>
      </c>
      <c r="J1" s="31" t="s">
        <v>280</v>
      </c>
      <c r="K1" s="31" t="s">
        <v>281</v>
      </c>
      <c r="L1" s="31" t="s">
        <v>282</v>
      </c>
      <c r="M1" s="31" t="s">
        <v>283</v>
      </c>
      <c r="N1" s="31" t="s">
        <v>284</v>
      </c>
      <c r="O1" s="31" t="s">
        <v>285</v>
      </c>
      <c r="P1" s="31" t="s">
        <v>286</v>
      </c>
      <c r="Q1" s="31" t="s">
        <v>287</v>
      </c>
      <c r="R1" s="31" t="s">
        <v>288</v>
      </c>
      <c r="S1" s="31" t="s">
        <v>289</v>
      </c>
      <c r="T1" s="31" t="s">
        <v>290</v>
      </c>
      <c r="U1" s="31" t="s">
        <v>291</v>
      </c>
      <c r="V1" s="31" t="s">
        <v>292</v>
      </c>
    </row>
    <row r="2" spans="1:22" x14ac:dyDescent="0.15">
      <c r="A2" s="30" t="s">
        <v>99</v>
      </c>
      <c r="B2" s="30">
        <v>30</v>
      </c>
      <c r="C2" s="211">
        <v>14.136666667</v>
      </c>
      <c r="D2" s="211">
        <v>14.26</v>
      </c>
      <c r="E2" s="211">
        <v>14.45</v>
      </c>
      <c r="F2" s="211">
        <v>14.663333333000001</v>
      </c>
      <c r="G2" s="211">
        <v>14.78</v>
      </c>
      <c r="H2" s="211">
        <v>14.936666667000001</v>
      </c>
      <c r="I2" s="211">
        <v>14.937333333</v>
      </c>
      <c r="J2" s="248">
        <v>0.40441481299999998</v>
      </c>
      <c r="K2" s="248">
        <v>0.4043612815</v>
      </c>
      <c r="L2" s="248">
        <v>0.40961854980000001</v>
      </c>
      <c r="M2" s="248">
        <v>0.41524077860000003</v>
      </c>
      <c r="N2" s="99">
        <v>0.42095676459999998</v>
      </c>
      <c r="O2" s="99">
        <v>0.42762329900000001</v>
      </c>
      <c r="P2" s="30">
        <v>0.42853048370000002</v>
      </c>
      <c r="Q2" s="99">
        <v>15.021000000000001</v>
      </c>
      <c r="R2" s="99">
        <v>0.430056826</v>
      </c>
      <c r="S2" s="99">
        <v>15.128833333333334</v>
      </c>
      <c r="T2" s="99">
        <v>0.43429290418835309</v>
      </c>
      <c r="U2" s="211">
        <v>14.636490119140442</v>
      </c>
      <c r="V2" s="99">
        <v>1.1015332044315866</v>
      </c>
    </row>
    <row r="3" spans="1:22" x14ac:dyDescent="0.15">
      <c r="A3" s="30" t="s">
        <v>136</v>
      </c>
      <c r="B3" s="30">
        <v>31</v>
      </c>
      <c r="C3" s="211">
        <v>14.138709677</v>
      </c>
      <c r="D3" s="211">
        <v>14.277419354999999</v>
      </c>
      <c r="E3" s="211">
        <v>14.448387096999999</v>
      </c>
      <c r="F3" s="211">
        <v>14.664516129000001</v>
      </c>
      <c r="G3" s="211">
        <v>14.777419354999999</v>
      </c>
      <c r="H3" s="211">
        <v>14.922580645</v>
      </c>
      <c r="I3" s="211">
        <v>14.93516129</v>
      </c>
      <c r="J3" s="248">
        <v>0.40071649320000002</v>
      </c>
      <c r="K3" s="248">
        <v>0.40779263329999998</v>
      </c>
      <c r="L3" s="248">
        <v>0.4144661281</v>
      </c>
      <c r="M3" s="248">
        <v>0.41704408850000002</v>
      </c>
      <c r="N3" s="99">
        <v>0.41984917100000002</v>
      </c>
      <c r="O3" s="99">
        <v>0.42336871440000001</v>
      </c>
      <c r="P3" s="30">
        <v>0.42494272119999998</v>
      </c>
      <c r="Q3" s="99">
        <v>15.029354839</v>
      </c>
      <c r="R3" s="99">
        <v>0.42816310210000003</v>
      </c>
      <c r="S3" s="99">
        <v>15.123548387096774</v>
      </c>
      <c r="T3" s="99">
        <v>0.42999013451726192</v>
      </c>
      <c r="U3" s="211">
        <v>14.533274190465285</v>
      </c>
      <c r="V3" s="99">
        <v>0.96290300857073319</v>
      </c>
    </row>
    <row r="4" spans="1:22" x14ac:dyDescent="0.15">
      <c r="A4" s="30" t="s">
        <v>175</v>
      </c>
      <c r="B4" s="30">
        <v>29</v>
      </c>
      <c r="C4" s="211">
        <v>14.227586207</v>
      </c>
      <c r="D4" s="211">
        <v>14.35862069</v>
      </c>
      <c r="E4" s="211">
        <v>14.54137931</v>
      </c>
      <c r="F4" s="211">
        <v>14.720689654999999</v>
      </c>
      <c r="G4" s="211">
        <v>14.820689655000001</v>
      </c>
      <c r="H4" s="211">
        <v>14.94137931</v>
      </c>
      <c r="I4" s="211">
        <v>14.94862069</v>
      </c>
      <c r="J4" s="248">
        <v>0.43489697980000003</v>
      </c>
      <c r="K4" s="248">
        <v>0.43618693850000001</v>
      </c>
      <c r="L4" s="248">
        <v>0.43539567080000002</v>
      </c>
      <c r="M4" s="248">
        <v>0.4364935097</v>
      </c>
      <c r="N4" s="99">
        <v>0.43337884630000001</v>
      </c>
      <c r="O4" s="99">
        <v>0.4343195017</v>
      </c>
      <c r="P4" s="30">
        <v>0.43362878389999998</v>
      </c>
      <c r="Q4" s="99">
        <v>15.018448276000001</v>
      </c>
      <c r="R4" s="99">
        <v>0.43200358789999999</v>
      </c>
      <c r="S4" s="99">
        <v>15.091034482758623</v>
      </c>
      <c r="T4" s="99">
        <v>0.43191928890131515</v>
      </c>
      <c r="U4" s="211">
        <v>13.011724146711122</v>
      </c>
      <c r="V4" s="99">
        <v>1.1133465265452123</v>
      </c>
    </row>
    <row r="6" spans="1:22" ht="14" x14ac:dyDescent="0.1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 s="30"/>
      <c r="R6" s="30"/>
      <c r="S6" s="30"/>
      <c r="T6" s="30"/>
      <c r="U6" s="30"/>
      <c r="V6" s="30"/>
    </row>
    <row r="7" spans="1:22" ht="14" x14ac:dyDescent="0.1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 s="30"/>
      <c r="R7" s="30"/>
      <c r="S7" s="30"/>
      <c r="T7" s="30"/>
      <c r="U7" s="30"/>
      <c r="V7" s="30"/>
    </row>
    <row r="8" spans="1:22" ht="14" x14ac:dyDescent="0.1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 s="30"/>
      <c r="R8" s="30"/>
      <c r="S8" s="30"/>
      <c r="T8" s="30"/>
      <c r="U8" s="30"/>
      <c r="V8" s="30"/>
    </row>
    <row r="11" spans="1:22" x14ac:dyDescent="0.15">
      <c r="A11" s="30"/>
      <c r="B11" s="30" t="s">
        <v>293</v>
      </c>
      <c r="C11" s="30" t="s">
        <v>293</v>
      </c>
      <c r="D11" s="30" t="s">
        <v>293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spans="1:22" x14ac:dyDescent="0.15">
      <c r="A12" s="30" t="s">
        <v>75</v>
      </c>
      <c r="B12" s="30" t="s">
        <v>99</v>
      </c>
      <c r="C12" s="30" t="s">
        <v>136</v>
      </c>
      <c r="D12" s="30" t="s">
        <v>175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 spans="1:22" x14ac:dyDescent="0.15">
      <c r="A13" s="31">
        <v>2013</v>
      </c>
      <c r="B13" s="211">
        <v>14.136666667</v>
      </c>
      <c r="C13" s="211">
        <v>14.138709677</v>
      </c>
      <c r="D13" s="211">
        <v>14.227586207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1:22" x14ac:dyDescent="0.15">
      <c r="A14" s="31">
        <v>2014</v>
      </c>
      <c r="B14" s="211">
        <v>14.26</v>
      </c>
      <c r="C14" s="211">
        <v>14.277419354999999</v>
      </c>
      <c r="D14" s="211">
        <v>14.35862069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spans="1:22" x14ac:dyDescent="0.15">
      <c r="A15" s="31">
        <v>2015</v>
      </c>
      <c r="B15" s="211">
        <v>14.45</v>
      </c>
      <c r="C15" s="211">
        <v>14.448387096999999</v>
      </c>
      <c r="D15" s="211">
        <v>14.54137931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spans="1:22" x14ac:dyDescent="0.15">
      <c r="A16" s="31">
        <v>2016</v>
      </c>
      <c r="B16" s="211">
        <v>14.663333333000001</v>
      </c>
      <c r="C16" s="211">
        <v>14.664516129000001</v>
      </c>
      <c r="D16" s="211">
        <v>14.720689654999999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spans="1:5" x14ac:dyDescent="0.15">
      <c r="A17" s="31">
        <v>2017</v>
      </c>
      <c r="B17" s="211">
        <v>14.78</v>
      </c>
      <c r="C17" s="211">
        <v>14.777419354999999</v>
      </c>
      <c r="D17" s="211">
        <v>14.820689655000001</v>
      </c>
      <c r="E17" s="30"/>
    </row>
    <row r="18" spans="1:5" x14ac:dyDescent="0.15">
      <c r="A18" s="31">
        <v>2018</v>
      </c>
      <c r="B18" s="211">
        <v>14.936666667000001</v>
      </c>
      <c r="C18" s="211">
        <v>14.922580645</v>
      </c>
      <c r="D18" s="211">
        <v>14.94137931</v>
      </c>
      <c r="E18" s="30"/>
    </row>
    <row r="19" spans="1:5" x14ac:dyDescent="0.15">
      <c r="A19" s="30">
        <v>2019</v>
      </c>
      <c r="B19" s="211">
        <v>14.937333333</v>
      </c>
      <c r="C19" s="211">
        <v>14.93516129</v>
      </c>
      <c r="D19" s="211">
        <v>14.94862069</v>
      </c>
      <c r="E19" s="30"/>
    </row>
    <row r="20" spans="1:5" x14ac:dyDescent="0.15">
      <c r="A20" s="30">
        <v>2020</v>
      </c>
      <c r="B20" s="211">
        <v>15.021000000000001</v>
      </c>
      <c r="C20" s="211">
        <v>15.029354839</v>
      </c>
      <c r="D20" s="211">
        <v>15.018448276000001</v>
      </c>
      <c r="E20" s="30"/>
    </row>
    <row r="21" spans="1:5" x14ac:dyDescent="0.15">
      <c r="A21" s="30">
        <v>2021</v>
      </c>
      <c r="B21" s="99">
        <v>15.128833333333334</v>
      </c>
      <c r="C21" s="99">
        <v>15.123548387096774</v>
      </c>
      <c r="D21" s="99">
        <v>15.091034482758623</v>
      </c>
      <c r="E21" s="30"/>
    </row>
    <row r="22" spans="1:5" x14ac:dyDescent="0.15">
      <c r="A22" s="30" t="s">
        <v>272</v>
      </c>
      <c r="B22" s="30">
        <v>30</v>
      </c>
      <c r="C22" s="30">
        <v>31</v>
      </c>
      <c r="D22" s="30">
        <v>29</v>
      </c>
      <c r="E22" s="30"/>
    </row>
    <row r="26" spans="1:5" ht="39.75" customHeight="1" x14ac:dyDescent="0.15">
      <c r="A26" s="30" t="s">
        <v>75</v>
      </c>
      <c r="B26" s="30" t="s">
        <v>272</v>
      </c>
      <c r="C26" s="31" t="s">
        <v>294</v>
      </c>
      <c r="D26" s="31" t="s">
        <v>295</v>
      </c>
      <c r="E26"/>
    </row>
    <row r="27" spans="1:5" ht="14" x14ac:dyDescent="0.15">
      <c r="A27" s="30">
        <v>1</v>
      </c>
      <c r="B27" s="30">
        <v>30</v>
      </c>
      <c r="C27" s="211">
        <v>7.0325403057763181</v>
      </c>
      <c r="D27" s="30">
        <v>0.51475898633651462</v>
      </c>
      <c r="E27"/>
    </row>
    <row r="28" spans="1:5" ht="14" x14ac:dyDescent="0.15">
      <c r="A28" s="30">
        <v>2</v>
      </c>
      <c r="B28" s="30">
        <v>31</v>
      </c>
      <c r="C28" s="211">
        <v>6.9918553125677301</v>
      </c>
      <c r="D28" s="30">
        <v>0.44982647843735135</v>
      </c>
      <c r="E28"/>
    </row>
    <row r="29" spans="1:5" ht="14" x14ac:dyDescent="0.15">
      <c r="A29" s="30">
        <v>3</v>
      </c>
      <c r="B29" s="30">
        <v>29</v>
      </c>
      <c r="C29" s="211">
        <v>6.2710144370840784</v>
      </c>
      <c r="D29" s="30">
        <v>0.52249077859872994</v>
      </c>
      <c r="E29"/>
    </row>
    <row r="31" spans="1:5" ht="14" x14ac:dyDescent="0.15">
      <c r="A31"/>
      <c r="B31"/>
      <c r="C31"/>
      <c r="D31"/>
      <c r="E31"/>
    </row>
    <row r="32" spans="1:5" ht="14" x14ac:dyDescent="0.15">
      <c r="A32"/>
      <c r="B32"/>
      <c r="C32"/>
      <c r="D32"/>
      <c r="E32"/>
    </row>
    <row r="33" spans="1:5" ht="14" x14ac:dyDescent="0.15">
      <c r="A33"/>
      <c r="B33"/>
      <c r="C33"/>
      <c r="D33"/>
      <c r="E33"/>
    </row>
    <row r="34" spans="1:5" ht="14" x14ac:dyDescent="0.15">
      <c r="A34"/>
      <c r="B34"/>
      <c r="C34"/>
      <c r="D34"/>
      <c r="E34"/>
    </row>
    <row r="39" spans="1:5" ht="126" x14ac:dyDescent="0.15">
      <c r="A39" s="31" t="s">
        <v>75</v>
      </c>
      <c r="B39" s="31" t="s">
        <v>296</v>
      </c>
      <c r="C39" s="31"/>
      <c r="D39" s="31" t="s">
        <v>297</v>
      </c>
      <c r="E39" s="31" t="s">
        <v>298</v>
      </c>
    </row>
    <row r="40" spans="1:5" x14ac:dyDescent="0.15">
      <c r="A40" s="30" t="s">
        <v>99</v>
      </c>
      <c r="B40" s="30"/>
      <c r="C40" s="30"/>
      <c r="D40" s="30"/>
      <c r="E40" s="30"/>
    </row>
    <row r="41" spans="1:5" x14ac:dyDescent="0.15">
      <c r="A41" s="30" t="s">
        <v>136</v>
      </c>
      <c r="B41" s="99">
        <v>0.27172940830996606</v>
      </c>
      <c r="C41" s="99">
        <v>2.3540398871615648E-2</v>
      </c>
      <c r="D41" s="99">
        <v>0.39651537303843687</v>
      </c>
      <c r="E41" s="99">
        <v>2.4352789507807917E-2</v>
      </c>
    </row>
    <row r="42" spans="1:5" x14ac:dyDescent="0.15">
      <c r="A42" s="30" t="s">
        <v>175</v>
      </c>
      <c r="B42" s="99">
        <v>0.66259687585182514</v>
      </c>
      <c r="C42" s="99">
        <v>3.2765644458629124E-2</v>
      </c>
      <c r="D42" s="99">
        <v>0.7945296469361125</v>
      </c>
      <c r="E42" s="99">
        <v>3.436460745252997E-2</v>
      </c>
    </row>
    <row r="50" spans="1:9" ht="14" x14ac:dyDescent="0.15">
      <c r="A50"/>
      <c r="B50"/>
      <c r="C50"/>
      <c r="D50"/>
      <c r="E50"/>
      <c r="F50"/>
      <c r="G50"/>
      <c r="H50"/>
      <c r="I50"/>
    </row>
    <row r="51" spans="1:9" ht="14" x14ac:dyDescent="0.15">
      <c r="A51"/>
      <c r="B51"/>
      <c r="C51"/>
      <c r="D51"/>
      <c r="E51"/>
      <c r="F51"/>
      <c r="G51"/>
      <c r="H51"/>
      <c r="I51"/>
    </row>
    <row r="52" spans="1:9" ht="14" x14ac:dyDescent="0.15">
      <c r="A52"/>
      <c r="B52"/>
      <c r="C52"/>
      <c r="D52"/>
      <c r="E52"/>
      <c r="F52"/>
      <c r="G52"/>
      <c r="H52"/>
      <c r="I52"/>
    </row>
    <row r="53" spans="1:9" ht="14" x14ac:dyDescent="0.15">
      <c r="A53"/>
      <c r="B53"/>
      <c r="C53"/>
      <c r="D53"/>
      <c r="E53"/>
      <c r="F53" s="30" t="s">
        <v>299</v>
      </c>
      <c r="G53" s="30"/>
      <c r="H53"/>
      <c r="I53"/>
    </row>
    <row r="54" spans="1:9" x14ac:dyDescent="0.15">
      <c r="A54" s="30" t="s">
        <v>75</v>
      </c>
      <c r="B54" s="30" t="s">
        <v>99</v>
      </c>
      <c r="C54" s="30" t="s">
        <v>136</v>
      </c>
      <c r="D54" s="30" t="s">
        <v>175</v>
      </c>
      <c r="E54" s="30"/>
      <c r="F54" s="30" t="s">
        <v>136</v>
      </c>
      <c r="G54" s="30" t="s">
        <v>175</v>
      </c>
      <c r="H54" s="30"/>
      <c r="I54" s="30" t="s">
        <v>300</v>
      </c>
    </row>
    <row r="55" spans="1:9" x14ac:dyDescent="0.15">
      <c r="A55" s="30" t="s">
        <v>301</v>
      </c>
      <c r="B55" s="211">
        <v>1.7883779482475695</v>
      </c>
      <c r="C55" s="211">
        <v>1.9489820068140813</v>
      </c>
      <c r="D55" s="211">
        <v>1.9120987927623456</v>
      </c>
      <c r="E55" s="30"/>
      <c r="F55" s="211">
        <f>C55-B55</f>
        <v>0.16060405856651183</v>
      </c>
      <c r="G55" s="211">
        <f>D55-B55</f>
        <v>0.12372084451477616</v>
      </c>
      <c r="H55" s="30"/>
      <c r="I55" s="211">
        <f>D55-C55</f>
        <v>-3.6883214051735669E-2</v>
      </c>
    </row>
    <row r="56" spans="1:9" x14ac:dyDescent="0.15">
      <c r="A56" s="30" t="s">
        <v>302</v>
      </c>
      <c r="B56" s="211">
        <v>2.7031575106950863</v>
      </c>
      <c r="C56" s="211">
        <v>2.4081913811126476</v>
      </c>
      <c r="D56" s="211">
        <v>2.6368933635438303</v>
      </c>
      <c r="E56" s="30"/>
      <c r="F56" s="211">
        <f t="shared" ref="F56:F62" si="0">C56-B56</f>
        <v>-0.29496612958243862</v>
      </c>
      <c r="G56" s="211">
        <f t="shared" ref="G56:G62" si="1">D56-B56</f>
        <v>-6.6264147151255948E-2</v>
      </c>
      <c r="H56" s="30"/>
      <c r="I56" s="211">
        <f t="shared" ref="I56:I62" si="2">D56-C56</f>
        <v>0.22870198243118267</v>
      </c>
    </row>
    <row r="57" spans="1:9" x14ac:dyDescent="0.15">
      <c r="A57" s="30" t="s">
        <v>303</v>
      </c>
      <c r="B57" s="211">
        <v>2.9750366617939688</v>
      </c>
      <c r="C57" s="211">
        <v>3.0604099814818322</v>
      </c>
      <c r="D57" s="211">
        <v>2.528631339056687</v>
      </c>
      <c r="E57" s="30"/>
      <c r="F57" s="211">
        <f t="shared" si="0"/>
        <v>8.5373319687863436E-2</v>
      </c>
      <c r="G57" s="211">
        <f t="shared" si="1"/>
        <v>-0.44640532273728173</v>
      </c>
      <c r="H57" s="30"/>
      <c r="I57" s="211">
        <f t="shared" si="2"/>
        <v>-0.53177864242514516</v>
      </c>
    </row>
    <row r="58" spans="1:9" x14ac:dyDescent="0.15">
      <c r="A58" s="30" t="s">
        <v>304</v>
      </c>
      <c r="B58" s="211">
        <v>1.5785777172285884</v>
      </c>
      <c r="C58" s="211">
        <v>1.5615315988025074</v>
      </c>
      <c r="D58" s="211">
        <v>1.4302190228863736</v>
      </c>
      <c r="E58" s="30"/>
      <c r="F58" s="211">
        <f t="shared" si="0"/>
        <v>-1.7046118426081058E-2</v>
      </c>
      <c r="G58" s="211">
        <f t="shared" si="1"/>
        <v>-0.14835869434221483</v>
      </c>
      <c r="H58" s="30"/>
      <c r="I58" s="211">
        <f t="shared" si="2"/>
        <v>-0.13131257591613377</v>
      </c>
    </row>
    <row r="59" spans="1:9" x14ac:dyDescent="0.15">
      <c r="A59" s="30" t="s">
        <v>305</v>
      </c>
      <c r="B59" s="211">
        <v>1.9140811877572808</v>
      </c>
      <c r="C59" s="211">
        <v>1.7886572663672107</v>
      </c>
      <c r="D59" s="211">
        <v>1.4631805646702927</v>
      </c>
      <c r="E59" s="30"/>
      <c r="F59" s="211">
        <f t="shared" si="0"/>
        <v>-0.12542392139007008</v>
      </c>
      <c r="G59" s="211">
        <f t="shared" si="1"/>
        <v>-0.45090062308698808</v>
      </c>
      <c r="H59" s="30"/>
      <c r="I59" s="211">
        <f t="shared" si="2"/>
        <v>-0.325476701696918</v>
      </c>
    </row>
    <row r="60" spans="1:9" x14ac:dyDescent="0.15">
      <c r="A60" s="30" t="s">
        <v>306</v>
      </c>
      <c r="B60" s="211">
        <v>0.19025622106155166</v>
      </c>
      <c r="C60" s="211">
        <v>0.35686170470829975</v>
      </c>
      <c r="D60" s="211">
        <v>0.31220531714418231</v>
      </c>
      <c r="E60" s="30"/>
      <c r="F60" s="211">
        <f t="shared" si="0"/>
        <v>0.1666054836467481</v>
      </c>
      <c r="G60" s="211">
        <f t="shared" si="1"/>
        <v>0.12194909608263066</v>
      </c>
      <c r="H60" s="30"/>
      <c r="I60" s="211">
        <f t="shared" si="2"/>
        <v>-4.4656387564117439E-2</v>
      </c>
    </row>
    <row r="61" spans="1:9" x14ac:dyDescent="0.15">
      <c r="A61" s="30" t="s">
        <v>307</v>
      </c>
      <c r="B61" s="211">
        <v>1.1346485706698801</v>
      </c>
      <c r="C61" s="211">
        <v>1.256432936741364</v>
      </c>
      <c r="D61" s="211">
        <v>0.97519704620221959</v>
      </c>
      <c r="E61" s="30"/>
      <c r="F61" s="211">
        <f t="shared" si="0"/>
        <v>0.12178436607148391</v>
      </c>
      <c r="G61" s="211">
        <f t="shared" si="1"/>
        <v>-0.15945152446766053</v>
      </c>
      <c r="H61" s="30"/>
      <c r="I61" s="211">
        <f t="shared" si="2"/>
        <v>-0.28123589053914444</v>
      </c>
    </row>
    <row r="62" spans="1:9" x14ac:dyDescent="0.15">
      <c r="A62" s="30" t="s">
        <v>308</v>
      </c>
      <c r="B62" s="211">
        <v>1.4283269388353554</v>
      </c>
      <c r="C62" s="211">
        <v>1.267865554447835</v>
      </c>
      <c r="D62" s="211">
        <v>0.99578220439305787</v>
      </c>
      <c r="E62" s="30"/>
      <c r="F62" s="211">
        <f t="shared" si="0"/>
        <v>-0.16046138438752044</v>
      </c>
      <c r="G62" s="211">
        <f t="shared" si="1"/>
        <v>-0.43254473444229757</v>
      </c>
      <c r="H62" s="30"/>
      <c r="I62" s="211">
        <f t="shared" si="2"/>
        <v>-0.27208335005477713</v>
      </c>
    </row>
  </sheetData>
  <printOptions gridLines="1"/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8"/>
  <sheetViews>
    <sheetView topLeftCell="A32" workbookViewId="0"/>
  </sheetViews>
  <sheetFormatPr baseColWidth="10" defaultColWidth="8.83203125" defaultRowHeight="14" x14ac:dyDescent="0.15"/>
  <cols>
    <col min="1" max="1" width="13.5" customWidth="1"/>
    <col min="2" max="2" width="8.6640625" style="36"/>
    <col min="3" max="3" width="26.6640625" customWidth="1"/>
    <col min="5" max="6" width="11.5" customWidth="1"/>
    <col min="11" max="11" width="11.33203125" customWidth="1"/>
    <col min="12" max="18" width="0" hidden="1" customWidth="1"/>
    <col min="19" max="19" width="11.33203125" customWidth="1"/>
    <col min="20" max="20" width="11.5" customWidth="1"/>
  </cols>
  <sheetData>
    <row r="1" spans="1:18" ht="15" thickBot="1" x14ac:dyDescent="0.2">
      <c r="B1" s="311" t="s">
        <v>309</v>
      </c>
      <c r="C1" s="311"/>
      <c r="D1" s="31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 thickBot="1" x14ac:dyDescent="0.2">
      <c r="B2" s="312"/>
      <c r="C2" s="312"/>
      <c r="D2" s="312"/>
      <c r="E2" s="30"/>
      <c r="F2" s="30"/>
      <c r="G2" s="30"/>
      <c r="H2" s="30"/>
      <c r="I2" s="30"/>
      <c r="J2" s="30"/>
      <c r="K2" s="30"/>
      <c r="L2" s="30"/>
      <c r="M2" s="30"/>
      <c r="N2" s="30"/>
      <c r="O2" s="313" t="s">
        <v>310</v>
      </c>
      <c r="P2" s="314"/>
      <c r="Q2" s="314"/>
      <c r="R2" s="315"/>
    </row>
    <row r="3" spans="1:18" ht="42" x14ac:dyDescent="0.15">
      <c r="A3" s="103" t="s">
        <v>311</v>
      </c>
      <c r="B3" s="103" t="s">
        <v>2</v>
      </c>
      <c r="C3" s="104"/>
      <c r="D3" s="105" t="s">
        <v>293</v>
      </c>
      <c r="E3" s="105" t="s">
        <v>312</v>
      </c>
      <c r="F3" s="105"/>
      <c r="G3" s="105" t="s">
        <v>313</v>
      </c>
      <c r="H3" s="105" t="s">
        <v>314</v>
      </c>
      <c r="I3" s="105" t="s">
        <v>315</v>
      </c>
      <c r="J3" s="105" t="s">
        <v>316</v>
      </c>
      <c r="K3" s="105" t="s">
        <v>317</v>
      </c>
      <c r="L3" s="256" t="s">
        <v>318</v>
      </c>
      <c r="M3" s="256" t="s">
        <v>319</v>
      </c>
      <c r="N3" s="257" t="s">
        <v>320</v>
      </c>
      <c r="O3" s="258" t="s">
        <v>321</v>
      </c>
      <c r="P3" s="256" t="s">
        <v>322</v>
      </c>
      <c r="Q3" s="256" t="s">
        <v>323</v>
      </c>
      <c r="R3" s="257" t="s">
        <v>324</v>
      </c>
    </row>
    <row r="4" spans="1:18" x14ac:dyDescent="0.15">
      <c r="A4" s="259">
        <v>1</v>
      </c>
      <c r="B4" s="259" t="s">
        <v>106</v>
      </c>
      <c r="C4" s="97"/>
      <c r="D4" s="210">
        <v>10.1</v>
      </c>
      <c r="E4" s="259" t="s">
        <v>325</v>
      </c>
      <c r="F4" s="259"/>
      <c r="G4" s="97">
        <v>80</v>
      </c>
      <c r="H4" s="97">
        <v>30</v>
      </c>
      <c r="I4" s="97">
        <v>18</v>
      </c>
      <c r="J4" s="97">
        <v>11</v>
      </c>
      <c r="K4" s="260">
        <f>(((I4/2)*(J4/2))*PI())*((H4/10)*G4)</f>
        <v>37322.120724646746</v>
      </c>
      <c r="L4" s="97"/>
      <c r="M4" s="97"/>
      <c r="N4" s="97"/>
      <c r="O4" s="97"/>
      <c r="P4" s="97"/>
      <c r="Q4" s="97"/>
      <c r="R4" s="97"/>
    </row>
    <row r="5" spans="1:18" x14ac:dyDescent="0.15">
      <c r="A5" s="259">
        <v>1</v>
      </c>
      <c r="B5" s="259" t="s">
        <v>123</v>
      </c>
      <c r="C5" s="97">
        <v>84</v>
      </c>
      <c r="D5" s="210">
        <v>11.2</v>
      </c>
      <c r="E5" s="259" t="s">
        <v>325</v>
      </c>
      <c r="F5" s="259"/>
      <c r="G5" s="97">
        <v>72</v>
      </c>
      <c r="H5" s="97">
        <v>50</v>
      </c>
      <c r="I5" s="97">
        <v>22</v>
      </c>
      <c r="J5" s="97">
        <v>16</v>
      </c>
      <c r="K5" s="260">
        <f t="shared" ref="K5:K68" si="0">(((I5/2)*(J5/2))*PI())*((H5/10)*G5)</f>
        <v>99525.655265724636</v>
      </c>
      <c r="L5" s="97"/>
      <c r="M5" s="97"/>
      <c r="N5" s="97"/>
      <c r="O5" s="97"/>
      <c r="P5" s="97"/>
      <c r="Q5" s="97"/>
      <c r="R5" s="97"/>
    </row>
    <row r="6" spans="1:18" x14ac:dyDescent="0.15">
      <c r="A6" s="259">
        <v>1</v>
      </c>
      <c r="B6" s="259" t="s">
        <v>111</v>
      </c>
      <c r="C6" s="97">
        <v>51</v>
      </c>
      <c r="D6" s="210">
        <v>11.4</v>
      </c>
      <c r="E6" s="259" t="s">
        <v>325</v>
      </c>
      <c r="F6" s="259"/>
      <c r="G6" s="97">
        <v>72</v>
      </c>
      <c r="H6" s="97">
        <v>40</v>
      </c>
      <c r="I6" s="97">
        <v>17</v>
      </c>
      <c r="J6" s="97">
        <v>13</v>
      </c>
      <c r="K6" s="260">
        <f t="shared" si="0"/>
        <v>49989.022303920792</v>
      </c>
      <c r="L6" s="97"/>
      <c r="M6" s="97"/>
      <c r="N6" s="97"/>
      <c r="O6" s="97"/>
      <c r="P6" s="97"/>
      <c r="Q6" s="97"/>
      <c r="R6" s="97"/>
    </row>
    <row r="7" spans="1:18" x14ac:dyDescent="0.15">
      <c r="A7" s="259">
        <v>1</v>
      </c>
      <c r="B7" s="259" t="s">
        <v>100</v>
      </c>
      <c r="C7" s="97">
        <v>30</v>
      </c>
      <c r="D7" s="210">
        <v>12.5</v>
      </c>
      <c r="E7" s="259" t="s">
        <v>325</v>
      </c>
      <c r="F7" s="259"/>
      <c r="G7" s="97">
        <v>80</v>
      </c>
      <c r="H7" s="97">
        <v>40</v>
      </c>
      <c r="I7" s="97">
        <v>25</v>
      </c>
      <c r="J7" s="97">
        <v>18</v>
      </c>
      <c r="K7" s="260">
        <f t="shared" si="0"/>
        <v>113097.33552923254</v>
      </c>
      <c r="L7" s="97"/>
      <c r="M7" s="97"/>
      <c r="N7" s="97"/>
      <c r="O7" s="97"/>
      <c r="P7" s="97"/>
      <c r="Q7" s="97"/>
      <c r="R7" s="97"/>
    </row>
    <row r="8" spans="1:18" x14ac:dyDescent="0.15">
      <c r="A8" s="259">
        <v>1</v>
      </c>
      <c r="B8" s="259" t="s">
        <v>117</v>
      </c>
      <c r="C8" s="97">
        <v>67</v>
      </c>
      <c r="D8" s="210">
        <v>11.8</v>
      </c>
      <c r="E8" s="259" t="s">
        <v>325</v>
      </c>
      <c r="F8" s="259"/>
      <c r="G8" s="97">
        <v>78</v>
      </c>
      <c r="H8" s="97">
        <v>55</v>
      </c>
      <c r="I8" s="97">
        <v>34</v>
      </c>
      <c r="J8" s="97">
        <v>15</v>
      </c>
      <c r="K8" s="260">
        <f t="shared" si="0"/>
        <v>171837.26416972771</v>
      </c>
      <c r="L8" s="97"/>
      <c r="M8" s="97"/>
      <c r="N8" s="97"/>
      <c r="O8" s="97"/>
      <c r="P8" s="97"/>
      <c r="Q8" s="97"/>
      <c r="R8" s="97"/>
    </row>
    <row r="9" spans="1:18" x14ac:dyDescent="0.15">
      <c r="A9" s="259">
        <v>1</v>
      </c>
      <c r="B9" s="259" t="s">
        <v>129</v>
      </c>
      <c r="C9" s="97">
        <v>24</v>
      </c>
      <c r="D9" s="210">
        <v>12</v>
      </c>
      <c r="E9" s="259" t="s">
        <v>325</v>
      </c>
      <c r="F9" s="259"/>
      <c r="G9" s="97">
        <v>75</v>
      </c>
      <c r="H9" s="97">
        <v>35</v>
      </c>
      <c r="I9" s="97">
        <v>25</v>
      </c>
      <c r="J9" s="97">
        <v>15</v>
      </c>
      <c r="K9" s="260">
        <f t="shared" si="0"/>
        <v>77312.631709436318</v>
      </c>
      <c r="L9" s="97"/>
      <c r="M9" s="97"/>
      <c r="N9" s="97"/>
      <c r="O9" s="97"/>
      <c r="P9" s="97"/>
      <c r="Q9" s="97"/>
      <c r="R9" s="97"/>
    </row>
    <row r="10" spans="1:18" x14ac:dyDescent="0.15">
      <c r="A10" s="259">
        <v>1</v>
      </c>
      <c r="B10" s="259" t="s">
        <v>105</v>
      </c>
      <c r="C10" s="97">
        <v>32</v>
      </c>
      <c r="D10" s="210">
        <v>12.1</v>
      </c>
      <c r="E10" s="259" t="s">
        <v>325</v>
      </c>
      <c r="F10" s="259"/>
      <c r="G10" s="97">
        <v>75</v>
      </c>
      <c r="H10" s="97">
        <v>45</v>
      </c>
      <c r="I10" s="97">
        <v>28</v>
      </c>
      <c r="J10" s="97">
        <v>28</v>
      </c>
      <c r="K10" s="260">
        <f t="shared" si="0"/>
        <v>207816.35403496481</v>
      </c>
      <c r="L10" s="97"/>
      <c r="M10" s="97"/>
      <c r="N10" s="97"/>
      <c r="O10" s="97"/>
      <c r="P10" s="97"/>
      <c r="Q10" s="97"/>
      <c r="R10" s="97"/>
    </row>
    <row r="11" spans="1:18" x14ac:dyDescent="0.15">
      <c r="A11" s="259">
        <v>1</v>
      </c>
      <c r="B11" s="259" t="s">
        <v>120</v>
      </c>
      <c r="C11" s="97">
        <v>74</v>
      </c>
      <c r="D11" s="210">
        <v>12.5</v>
      </c>
      <c r="E11" s="259" t="s">
        <v>325</v>
      </c>
      <c r="F11" s="259"/>
      <c r="G11" s="97">
        <v>72</v>
      </c>
      <c r="H11" s="97">
        <v>65</v>
      </c>
      <c r="I11" s="97">
        <v>19</v>
      </c>
      <c r="J11" s="97">
        <v>18</v>
      </c>
      <c r="K11" s="260">
        <f t="shared" si="0"/>
        <v>125707.68844074199</v>
      </c>
      <c r="L11" s="97"/>
      <c r="M11" s="97"/>
      <c r="N11" s="97"/>
      <c r="O11" s="97"/>
      <c r="P11" s="97"/>
      <c r="Q11" s="97"/>
      <c r="R11" s="97"/>
    </row>
    <row r="12" spans="1:18" x14ac:dyDescent="0.15">
      <c r="A12" s="259">
        <v>1</v>
      </c>
      <c r="B12" s="259" t="s">
        <v>130</v>
      </c>
      <c r="C12" s="97">
        <v>15</v>
      </c>
      <c r="D12" s="210">
        <v>12.8</v>
      </c>
      <c r="E12" s="259" t="s">
        <v>325</v>
      </c>
      <c r="F12" s="259"/>
      <c r="G12" s="97">
        <v>72</v>
      </c>
      <c r="H12" s="97">
        <v>35</v>
      </c>
      <c r="I12" s="97">
        <v>20</v>
      </c>
      <c r="J12" s="97">
        <v>12</v>
      </c>
      <c r="K12" s="260">
        <f t="shared" si="0"/>
        <v>47500.880922277669</v>
      </c>
      <c r="L12" s="97"/>
      <c r="M12" s="97"/>
      <c r="N12" s="97"/>
      <c r="O12" s="97"/>
      <c r="P12" s="97"/>
      <c r="Q12" s="97"/>
      <c r="R12" s="97"/>
    </row>
    <row r="13" spans="1:18" x14ac:dyDescent="0.15">
      <c r="A13" s="259">
        <v>1</v>
      </c>
      <c r="B13" s="259" t="s">
        <v>119</v>
      </c>
      <c r="C13" s="97">
        <v>71</v>
      </c>
      <c r="D13" s="210">
        <v>12.8</v>
      </c>
      <c r="E13" s="259" t="s">
        <v>325</v>
      </c>
      <c r="F13" s="259"/>
      <c r="G13" s="97">
        <v>72</v>
      </c>
      <c r="H13" s="97">
        <v>35</v>
      </c>
      <c r="I13" s="97">
        <v>19</v>
      </c>
      <c r="J13" s="97">
        <v>17</v>
      </c>
      <c r="K13" s="260">
        <f t="shared" si="0"/>
        <v>63928.268907898695</v>
      </c>
      <c r="L13" s="97"/>
      <c r="M13" s="97"/>
      <c r="N13" s="97"/>
      <c r="O13" s="97"/>
      <c r="P13" s="97"/>
      <c r="Q13" s="97"/>
      <c r="R13" s="97"/>
    </row>
    <row r="14" spans="1:18" x14ac:dyDescent="0.15">
      <c r="A14" s="259">
        <v>1</v>
      </c>
      <c r="B14" s="259" t="s">
        <v>125</v>
      </c>
      <c r="C14" s="97">
        <v>92</v>
      </c>
      <c r="D14" s="210">
        <v>13.1</v>
      </c>
      <c r="E14" s="259" t="s">
        <v>325</v>
      </c>
      <c r="F14" s="259"/>
      <c r="G14" s="97">
        <v>78</v>
      </c>
      <c r="H14" s="97">
        <v>35</v>
      </c>
      <c r="I14" s="97">
        <v>24</v>
      </c>
      <c r="J14" s="97">
        <v>13</v>
      </c>
      <c r="K14" s="260">
        <f t="shared" si="0"/>
        <v>66897.073965541058</v>
      </c>
      <c r="L14" s="97"/>
      <c r="M14" s="97"/>
      <c r="N14" s="97"/>
      <c r="O14" s="97"/>
      <c r="P14" s="97"/>
      <c r="Q14" s="97"/>
      <c r="R14" s="97"/>
    </row>
    <row r="15" spans="1:18" x14ac:dyDescent="0.15">
      <c r="A15" s="259">
        <v>1</v>
      </c>
      <c r="B15" s="259" t="s">
        <v>108</v>
      </c>
      <c r="C15" s="97">
        <v>43</v>
      </c>
      <c r="D15" s="210">
        <v>13.3</v>
      </c>
      <c r="E15" s="259" t="s">
        <v>325</v>
      </c>
      <c r="F15" s="259"/>
      <c r="G15" s="97">
        <v>72</v>
      </c>
      <c r="H15" s="97">
        <v>75</v>
      </c>
      <c r="I15" s="97">
        <v>19</v>
      </c>
      <c r="J15" s="97">
        <v>17</v>
      </c>
      <c r="K15" s="260">
        <f t="shared" si="0"/>
        <v>136989.14765978293</v>
      </c>
      <c r="L15" s="97"/>
      <c r="M15" s="97"/>
      <c r="N15" s="97"/>
      <c r="O15" s="97"/>
      <c r="P15" s="97"/>
      <c r="Q15" s="97"/>
      <c r="R15" s="97"/>
    </row>
    <row r="16" spans="1:18" x14ac:dyDescent="0.15">
      <c r="A16" s="259">
        <v>1</v>
      </c>
      <c r="B16" s="259" t="s">
        <v>109</v>
      </c>
      <c r="C16" s="97">
        <v>44</v>
      </c>
      <c r="D16" s="210">
        <v>13.4</v>
      </c>
      <c r="E16" s="259" t="s">
        <v>325</v>
      </c>
      <c r="F16" s="259"/>
      <c r="G16" s="97">
        <v>80</v>
      </c>
      <c r="H16" s="97">
        <v>55</v>
      </c>
      <c r="I16" s="97">
        <v>28</v>
      </c>
      <c r="J16" s="97">
        <v>20</v>
      </c>
      <c r="K16" s="260">
        <f t="shared" si="0"/>
        <v>193522.10746113124</v>
      </c>
      <c r="L16" s="97"/>
      <c r="M16" s="97"/>
      <c r="N16" s="97"/>
      <c r="O16" s="97"/>
      <c r="P16" s="97"/>
      <c r="Q16" s="97"/>
      <c r="R16" s="97"/>
    </row>
    <row r="17" spans="1:20" x14ac:dyDescent="0.15">
      <c r="A17" s="259">
        <v>1</v>
      </c>
      <c r="B17" s="259" t="s">
        <v>128</v>
      </c>
      <c r="C17" s="97">
        <v>22</v>
      </c>
      <c r="D17" s="210">
        <v>13.6</v>
      </c>
      <c r="E17" s="259" t="s">
        <v>325</v>
      </c>
      <c r="F17" s="259"/>
      <c r="G17" s="97">
        <v>75</v>
      </c>
      <c r="H17" s="97">
        <v>40</v>
      </c>
      <c r="I17" s="97">
        <v>22</v>
      </c>
      <c r="J17" s="97">
        <v>18</v>
      </c>
      <c r="K17" s="260">
        <f t="shared" si="0"/>
        <v>93305.301811616868</v>
      </c>
      <c r="L17" s="97"/>
      <c r="M17" s="97"/>
      <c r="N17" s="97"/>
      <c r="O17" s="97"/>
      <c r="P17" s="97"/>
      <c r="Q17" s="97"/>
      <c r="R17" s="97"/>
    </row>
    <row r="18" spans="1:20" x14ac:dyDescent="0.15">
      <c r="A18" s="259">
        <v>1</v>
      </c>
      <c r="B18" s="259" t="s">
        <v>135</v>
      </c>
      <c r="C18" s="97">
        <v>4</v>
      </c>
      <c r="D18" s="210">
        <v>13.7</v>
      </c>
      <c r="E18" s="259" t="s">
        <v>325</v>
      </c>
      <c r="F18" s="259"/>
      <c r="G18" s="97">
        <v>85</v>
      </c>
      <c r="H18" s="97">
        <v>40</v>
      </c>
      <c r="I18" s="97">
        <v>30</v>
      </c>
      <c r="J18" s="97">
        <v>20</v>
      </c>
      <c r="K18" s="260">
        <f t="shared" si="0"/>
        <v>160221.22533307943</v>
      </c>
      <c r="L18" s="97"/>
      <c r="M18" s="97"/>
      <c r="N18" s="97"/>
      <c r="O18" s="97"/>
      <c r="P18" s="97"/>
      <c r="Q18" s="97"/>
      <c r="R18" s="97"/>
    </row>
    <row r="19" spans="1:20" x14ac:dyDescent="0.15">
      <c r="A19" s="259">
        <v>1</v>
      </c>
      <c r="B19" s="259" t="s">
        <v>113</v>
      </c>
      <c r="C19" s="97">
        <v>53</v>
      </c>
      <c r="D19" s="210">
        <v>13.8</v>
      </c>
      <c r="E19" s="259" t="s">
        <v>325</v>
      </c>
      <c r="F19" s="259"/>
      <c r="G19" s="97">
        <v>76</v>
      </c>
      <c r="H19" s="97">
        <v>65</v>
      </c>
      <c r="I19" s="97">
        <v>27</v>
      </c>
      <c r="J19" s="97">
        <v>17</v>
      </c>
      <c r="K19" s="260">
        <f t="shared" si="0"/>
        <v>178085.8919577178</v>
      </c>
      <c r="L19" s="97"/>
      <c r="M19" s="97"/>
      <c r="N19" s="97"/>
      <c r="O19" s="97"/>
      <c r="P19" s="97"/>
      <c r="Q19" s="97"/>
      <c r="R19" s="97"/>
    </row>
    <row r="20" spans="1:20" x14ac:dyDescent="0.15">
      <c r="A20" s="259"/>
      <c r="B20" s="162" t="s">
        <v>326</v>
      </c>
      <c r="C20" s="2">
        <v>85</v>
      </c>
      <c r="D20" s="210"/>
      <c r="E20" s="259" t="s">
        <v>325</v>
      </c>
      <c r="F20" s="259"/>
      <c r="G20" s="97"/>
      <c r="H20" s="97"/>
      <c r="I20" s="97"/>
      <c r="J20" s="97"/>
      <c r="K20" s="260"/>
      <c r="L20" s="97"/>
      <c r="M20" s="97"/>
      <c r="N20" s="97"/>
      <c r="O20" s="97"/>
      <c r="P20" s="97"/>
      <c r="Q20" s="97"/>
      <c r="R20" s="97"/>
      <c r="S20" s="3" t="s">
        <v>327</v>
      </c>
      <c r="T20" s="3"/>
    </row>
    <row r="21" spans="1:20" x14ac:dyDescent="0.15">
      <c r="A21" s="259">
        <v>1</v>
      </c>
      <c r="B21" s="259" t="s">
        <v>126</v>
      </c>
      <c r="C21" s="97">
        <v>21</v>
      </c>
      <c r="D21" s="210">
        <v>14.4</v>
      </c>
      <c r="E21" s="259" t="s">
        <v>325</v>
      </c>
      <c r="F21" s="259"/>
      <c r="G21" s="97">
        <v>72</v>
      </c>
      <c r="H21" s="97">
        <v>40</v>
      </c>
      <c r="I21" s="97">
        <v>25</v>
      </c>
      <c r="J21" s="97">
        <v>22</v>
      </c>
      <c r="K21" s="260">
        <f t="shared" si="0"/>
        <v>124407.06908215581</v>
      </c>
      <c r="L21" s="97"/>
      <c r="M21" s="97"/>
      <c r="N21" s="97"/>
      <c r="O21" s="97"/>
      <c r="P21" s="97"/>
      <c r="Q21" s="97"/>
      <c r="R21" s="97"/>
    </row>
    <row r="22" spans="1:20" x14ac:dyDescent="0.15">
      <c r="A22" s="259">
        <v>1</v>
      </c>
      <c r="B22" s="259" t="s">
        <v>134</v>
      </c>
      <c r="C22" s="97">
        <v>3</v>
      </c>
      <c r="D22" s="210">
        <v>14.5</v>
      </c>
      <c r="E22" s="259" t="s">
        <v>325</v>
      </c>
      <c r="F22" s="259"/>
      <c r="G22" s="97">
        <v>85</v>
      </c>
      <c r="H22" s="97">
        <v>40</v>
      </c>
      <c r="I22" s="97">
        <v>30</v>
      </c>
      <c r="J22" s="97">
        <v>20</v>
      </c>
      <c r="K22" s="260">
        <f t="shared" si="0"/>
        <v>160221.22533307943</v>
      </c>
      <c r="L22" s="97"/>
      <c r="M22" s="97"/>
      <c r="N22" s="97"/>
      <c r="O22" s="97"/>
      <c r="P22" s="97"/>
      <c r="Q22" s="97"/>
      <c r="R22" s="97"/>
    </row>
    <row r="23" spans="1:20" x14ac:dyDescent="0.15">
      <c r="A23" s="259">
        <v>1</v>
      </c>
      <c r="B23" s="259" t="s">
        <v>118</v>
      </c>
      <c r="C23" s="97">
        <v>63</v>
      </c>
      <c r="D23" s="210">
        <v>14.6</v>
      </c>
      <c r="E23" s="259" t="s">
        <v>325</v>
      </c>
      <c r="F23" s="259"/>
      <c r="G23" s="97">
        <v>80</v>
      </c>
      <c r="H23" s="97">
        <v>60</v>
      </c>
      <c r="I23" s="97">
        <v>22</v>
      </c>
      <c r="J23" s="97">
        <v>20</v>
      </c>
      <c r="K23" s="260">
        <f t="shared" si="0"/>
        <v>165876.09210954109</v>
      </c>
      <c r="L23" s="97"/>
      <c r="M23" s="97"/>
      <c r="N23" s="97"/>
      <c r="O23" s="97"/>
      <c r="P23" s="97"/>
      <c r="Q23" s="97"/>
      <c r="R23" s="97"/>
    </row>
    <row r="24" spans="1:20" x14ac:dyDescent="0.15">
      <c r="A24" s="259">
        <v>1</v>
      </c>
      <c r="B24" s="259" t="s">
        <v>127</v>
      </c>
      <c r="C24" s="97">
        <v>23</v>
      </c>
      <c r="D24" s="210">
        <v>14.7</v>
      </c>
      <c r="E24" s="259" t="s">
        <v>325</v>
      </c>
      <c r="F24" s="259"/>
      <c r="G24" s="97">
        <v>80</v>
      </c>
      <c r="H24" s="97">
        <v>45</v>
      </c>
      <c r="I24" s="97">
        <v>25</v>
      </c>
      <c r="J24" s="97">
        <v>25</v>
      </c>
      <c r="K24" s="260">
        <f t="shared" si="0"/>
        <v>176714.58676442585</v>
      </c>
      <c r="L24" s="97"/>
      <c r="M24" s="97"/>
      <c r="N24" s="97"/>
      <c r="O24" s="97"/>
      <c r="P24" s="97"/>
      <c r="Q24" s="97"/>
      <c r="R24" s="97"/>
    </row>
    <row r="25" spans="1:20" x14ac:dyDescent="0.15">
      <c r="A25" s="259">
        <v>1</v>
      </c>
      <c r="B25" s="259" t="s">
        <v>121</v>
      </c>
      <c r="C25" s="97">
        <v>73</v>
      </c>
      <c r="D25" s="210">
        <v>14.7</v>
      </c>
      <c r="E25" s="259" t="s">
        <v>325</v>
      </c>
      <c r="F25" s="259"/>
      <c r="G25" s="97">
        <v>80</v>
      </c>
      <c r="H25" s="97">
        <v>40</v>
      </c>
      <c r="I25" s="97">
        <v>28</v>
      </c>
      <c r="J25" s="97">
        <v>13</v>
      </c>
      <c r="K25" s="260">
        <f t="shared" si="0"/>
        <v>91483.178072534778</v>
      </c>
      <c r="L25" s="97"/>
      <c r="M25" s="97"/>
      <c r="N25" s="97"/>
      <c r="O25" s="97"/>
      <c r="P25" s="97"/>
      <c r="Q25" s="97"/>
      <c r="R25" s="97"/>
    </row>
    <row r="26" spans="1:20" x14ac:dyDescent="0.15">
      <c r="A26" s="259">
        <v>1</v>
      </c>
      <c r="B26" s="259" t="s">
        <v>114</v>
      </c>
      <c r="C26" s="97">
        <v>56</v>
      </c>
      <c r="D26" s="210">
        <v>15.1</v>
      </c>
      <c r="E26" s="259" t="s">
        <v>325</v>
      </c>
      <c r="F26" s="259"/>
      <c r="G26" s="97">
        <v>80</v>
      </c>
      <c r="H26" s="97">
        <v>60</v>
      </c>
      <c r="I26" s="97">
        <v>20</v>
      </c>
      <c r="J26" s="97">
        <v>19</v>
      </c>
      <c r="K26" s="260">
        <f t="shared" si="0"/>
        <v>143256.62500369456</v>
      </c>
      <c r="L26" s="97"/>
      <c r="M26" s="97"/>
      <c r="N26" s="97"/>
      <c r="O26" s="97"/>
      <c r="P26" s="97"/>
      <c r="Q26" s="97"/>
      <c r="R26" s="97"/>
    </row>
    <row r="27" spans="1:20" x14ac:dyDescent="0.15">
      <c r="A27" s="259">
        <v>1</v>
      </c>
      <c r="B27" s="259" t="s">
        <v>107</v>
      </c>
      <c r="C27" s="97">
        <v>40</v>
      </c>
      <c r="D27" s="210">
        <v>15.2</v>
      </c>
      <c r="E27" s="259" t="s">
        <v>325</v>
      </c>
      <c r="F27" s="259"/>
      <c r="G27" s="97">
        <v>88</v>
      </c>
      <c r="H27" s="97">
        <v>40</v>
      </c>
      <c r="I27" s="97">
        <v>30</v>
      </c>
      <c r="J27" s="97">
        <v>18</v>
      </c>
      <c r="K27" s="260">
        <f t="shared" si="0"/>
        <v>149288.48289858695</v>
      </c>
      <c r="L27" s="97"/>
      <c r="M27" s="97"/>
      <c r="N27" s="97"/>
      <c r="O27" s="97"/>
      <c r="P27" s="97"/>
      <c r="Q27" s="97"/>
      <c r="R27" s="97"/>
    </row>
    <row r="28" spans="1:20" x14ac:dyDescent="0.15">
      <c r="A28" s="259">
        <v>1</v>
      </c>
      <c r="B28" s="259" t="s">
        <v>115</v>
      </c>
      <c r="C28" s="97">
        <v>57</v>
      </c>
      <c r="D28" s="210">
        <v>15.5</v>
      </c>
      <c r="E28" s="259" t="s">
        <v>325</v>
      </c>
      <c r="F28" s="259"/>
      <c r="G28" s="97">
        <v>80</v>
      </c>
      <c r="H28" s="97">
        <v>60</v>
      </c>
      <c r="I28" s="97">
        <v>19</v>
      </c>
      <c r="J28" s="97">
        <v>12</v>
      </c>
      <c r="K28" s="260">
        <f t="shared" si="0"/>
        <v>85953.975002216728</v>
      </c>
      <c r="L28" s="97"/>
      <c r="M28" s="97"/>
      <c r="N28" s="97"/>
      <c r="O28" s="97"/>
      <c r="P28" s="97"/>
      <c r="Q28" s="97"/>
      <c r="R28" s="97"/>
    </row>
    <row r="29" spans="1:20" x14ac:dyDescent="0.15">
      <c r="A29" s="259">
        <v>1</v>
      </c>
      <c r="B29" s="259" t="s">
        <v>116</v>
      </c>
      <c r="C29" s="97">
        <v>62</v>
      </c>
      <c r="D29" s="210">
        <v>16.100000000000001</v>
      </c>
      <c r="E29" s="259" t="s">
        <v>325</v>
      </c>
      <c r="F29" s="259"/>
      <c r="G29" s="97">
        <v>80</v>
      </c>
      <c r="H29" s="97">
        <v>55</v>
      </c>
      <c r="I29" s="97">
        <v>23</v>
      </c>
      <c r="J29" s="97">
        <v>15</v>
      </c>
      <c r="K29" s="260">
        <f t="shared" si="0"/>
        <v>119223.44120373265</v>
      </c>
      <c r="L29" s="97"/>
      <c r="M29" s="97"/>
      <c r="N29" s="97"/>
      <c r="O29" s="97"/>
      <c r="P29" s="97"/>
      <c r="Q29" s="97"/>
      <c r="R29" s="97"/>
    </row>
    <row r="30" spans="1:20" x14ac:dyDescent="0.15">
      <c r="A30" s="259">
        <v>1</v>
      </c>
      <c r="B30" s="259" t="s">
        <v>131</v>
      </c>
      <c r="C30" s="97">
        <v>5</v>
      </c>
      <c r="D30" s="210">
        <v>16.3</v>
      </c>
      <c r="E30" s="259" t="s">
        <v>102</v>
      </c>
      <c r="F30" s="259"/>
      <c r="G30" s="97">
        <v>85</v>
      </c>
      <c r="H30" s="97">
        <v>40</v>
      </c>
      <c r="I30" s="97">
        <v>40</v>
      </c>
      <c r="J30" s="97">
        <v>38</v>
      </c>
      <c r="K30" s="260">
        <f t="shared" si="0"/>
        <v>405893.77084380126</v>
      </c>
      <c r="L30" s="97"/>
      <c r="M30" s="97"/>
      <c r="N30" s="97"/>
      <c r="O30" s="97"/>
      <c r="P30" s="97"/>
      <c r="Q30" s="97"/>
      <c r="R30" s="97"/>
    </row>
    <row r="31" spans="1:20" x14ac:dyDescent="0.15">
      <c r="A31" s="259">
        <v>1</v>
      </c>
      <c r="B31" s="259" t="s">
        <v>124</v>
      </c>
      <c r="C31" s="97">
        <v>88</v>
      </c>
      <c r="D31" s="210">
        <v>16.7</v>
      </c>
      <c r="E31" s="259" t="s">
        <v>102</v>
      </c>
      <c r="F31" s="259"/>
      <c r="G31" s="97">
        <v>85</v>
      </c>
      <c r="H31" s="97">
        <v>60</v>
      </c>
      <c r="I31" s="97">
        <v>26</v>
      </c>
      <c r="J31" s="97">
        <v>17</v>
      </c>
      <c r="K31" s="260">
        <f t="shared" si="0"/>
        <v>177044.4539930528</v>
      </c>
      <c r="L31" s="97"/>
      <c r="M31" s="97"/>
      <c r="N31" s="97"/>
      <c r="O31" s="97"/>
      <c r="P31" s="97"/>
      <c r="Q31" s="97"/>
      <c r="R31" s="97"/>
    </row>
    <row r="32" spans="1:20" x14ac:dyDescent="0.15">
      <c r="A32" s="259">
        <v>1</v>
      </c>
      <c r="B32" s="259" t="s">
        <v>133</v>
      </c>
      <c r="C32" s="97">
        <v>8</v>
      </c>
      <c r="D32" s="210">
        <v>18.3</v>
      </c>
      <c r="E32" s="259" t="s">
        <v>325</v>
      </c>
      <c r="F32" s="259"/>
      <c r="G32" s="97">
        <v>80</v>
      </c>
      <c r="H32" s="97">
        <v>35</v>
      </c>
      <c r="I32" s="97">
        <v>30</v>
      </c>
      <c r="J32" s="97">
        <v>20</v>
      </c>
      <c r="K32" s="260">
        <f t="shared" si="0"/>
        <v>131946.89145077131</v>
      </c>
      <c r="L32" s="97"/>
      <c r="M32" s="97"/>
      <c r="N32" s="97"/>
      <c r="O32" s="97"/>
      <c r="P32" s="97"/>
      <c r="Q32" s="97"/>
      <c r="R32" s="97"/>
    </row>
    <row r="33" spans="1:18" x14ac:dyDescent="0.15">
      <c r="A33" s="259">
        <v>1</v>
      </c>
      <c r="B33" s="259" t="s">
        <v>132</v>
      </c>
      <c r="C33" s="97">
        <v>12</v>
      </c>
      <c r="D33" s="210">
        <v>18.7</v>
      </c>
      <c r="E33" s="259" t="s">
        <v>325</v>
      </c>
      <c r="F33" s="259"/>
      <c r="G33" s="97">
        <v>80</v>
      </c>
      <c r="H33" s="97">
        <v>40</v>
      </c>
      <c r="I33" s="97">
        <v>30</v>
      </c>
      <c r="J33" s="97">
        <v>22</v>
      </c>
      <c r="K33" s="260">
        <f t="shared" si="0"/>
        <v>165876.09210954106</v>
      </c>
      <c r="L33" s="97"/>
      <c r="M33" s="97"/>
      <c r="N33" s="97"/>
      <c r="O33" s="97"/>
      <c r="P33" s="97"/>
      <c r="Q33" s="97"/>
      <c r="R33" s="97"/>
    </row>
    <row r="34" spans="1:18" x14ac:dyDescent="0.15">
      <c r="A34" s="259">
        <v>1</v>
      </c>
      <c r="B34" s="259" t="s">
        <v>122</v>
      </c>
      <c r="C34" s="97">
        <v>77</v>
      </c>
      <c r="D34" s="210">
        <v>19.2</v>
      </c>
      <c r="E34" s="259" t="s">
        <v>102</v>
      </c>
      <c r="F34" s="259"/>
      <c r="G34" s="97">
        <v>88</v>
      </c>
      <c r="H34" s="97">
        <v>45</v>
      </c>
      <c r="I34" s="97">
        <v>30</v>
      </c>
      <c r="J34" s="97">
        <v>15</v>
      </c>
      <c r="K34" s="260">
        <f t="shared" si="0"/>
        <v>139957.95271742527</v>
      </c>
      <c r="L34" s="97"/>
      <c r="M34" s="97"/>
      <c r="N34" s="97"/>
      <c r="O34" s="97"/>
      <c r="P34" s="97"/>
      <c r="Q34" s="97"/>
      <c r="R34" s="97"/>
    </row>
    <row r="35" spans="1:18" x14ac:dyDescent="0.15">
      <c r="A35" s="259">
        <v>2</v>
      </c>
      <c r="B35" s="259" t="s">
        <v>137</v>
      </c>
      <c r="C35" s="97">
        <v>25</v>
      </c>
      <c r="D35" s="210">
        <v>10.5</v>
      </c>
      <c r="E35" s="259" t="s">
        <v>325</v>
      </c>
      <c r="F35" s="259"/>
      <c r="G35" s="97">
        <v>70</v>
      </c>
      <c r="H35" s="97">
        <v>40</v>
      </c>
      <c r="I35" s="97">
        <v>20</v>
      </c>
      <c r="J35" s="97">
        <v>15</v>
      </c>
      <c r="K35" s="260">
        <f t="shared" si="0"/>
        <v>65973.445725385653</v>
      </c>
      <c r="L35" s="97"/>
      <c r="M35" s="97"/>
      <c r="N35" s="97"/>
      <c r="O35" s="97"/>
      <c r="P35" s="97"/>
      <c r="Q35" s="97"/>
      <c r="R35" s="97"/>
    </row>
    <row r="36" spans="1:18" x14ac:dyDescent="0.15">
      <c r="A36" s="259">
        <v>2</v>
      </c>
      <c r="B36" s="259" t="s">
        <v>155</v>
      </c>
      <c r="C36" s="97">
        <v>93</v>
      </c>
      <c r="D36" s="210">
        <v>10.8</v>
      </c>
      <c r="E36" s="259" t="s">
        <v>325</v>
      </c>
      <c r="F36" s="259"/>
      <c r="G36" s="97">
        <v>65</v>
      </c>
      <c r="H36" s="97">
        <v>60</v>
      </c>
      <c r="I36" s="97">
        <v>18</v>
      </c>
      <c r="J36" s="97">
        <v>17</v>
      </c>
      <c r="K36" s="260">
        <f t="shared" si="0"/>
        <v>93729.416819851482</v>
      </c>
      <c r="L36" s="97"/>
      <c r="M36" s="97"/>
      <c r="N36" s="97"/>
      <c r="O36" s="97"/>
      <c r="P36" s="97"/>
      <c r="Q36" s="97"/>
      <c r="R36" s="97"/>
    </row>
    <row r="37" spans="1:18" x14ac:dyDescent="0.15">
      <c r="A37" s="259">
        <v>2</v>
      </c>
      <c r="B37" s="259" t="s">
        <v>139</v>
      </c>
      <c r="C37" s="97">
        <v>26</v>
      </c>
      <c r="D37" s="210">
        <v>11.5</v>
      </c>
      <c r="E37" s="259" t="s">
        <v>325</v>
      </c>
      <c r="F37" s="259"/>
      <c r="G37" s="97">
        <v>75</v>
      </c>
      <c r="H37" s="97">
        <v>60</v>
      </c>
      <c r="I37" s="97">
        <v>22</v>
      </c>
      <c r="J37" s="97">
        <v>15</v>
      </c>
      <c r="K37" s="260">
        <f t="shared" si="0"/>
        <v>116631.62726452106</v>
      </c>
      <c r="L37" s="97"/>
      <c r="M37" s="97"/>
      <c r="N37" s="97"/>
      <c r="O37" s="97"/>
      <c r="P37" s="97"/>
      <c r="Q37" s="97"/>
      <c r="R37" s="97"/>
    </row>
    <row r="38" spans="1:18" x14ac:dyDescent="0.15">
      <c r="A38" s="259">
        <v>2</v>
      </c>
      <c r="B38" s="259" t="s">
        <v>140</v>
      </c>
      <c r="C38" s="97">
        <v>31</v>
      </c>
      <c r="D38" s="210">
        <v>11.6</v>
      </c>
      <c r="E38" s="259" t="s">
        <v>325</v>
      </c>
      <c r="F38" s="259"/>
      <c r="G38" s="97">
        <v>75</v>
      </c>
      <c r="H38" s="97">
        <v>40</v>
      </c>
      <c r="I38" s="97">
        <v>22</v>
      </c>
      <c r="J38" s="97">
        <v>20</v>
      </c>
      <c r="K38" s="260">
        <f t="shared" si="0"/>
        <v>103672.55756846318</v>
      </c>
      <c r="L38" s="97"/>
      <c r="M38" s="97"/>
      <c r="N38" s="97"/>
      <c r="O38" s="97"/>
      <c r="P38" s="97"/>
      <c r="Q38" s="97"/>
      <c r="R38" s="97"/>
    </row>
    <row r="39" spans="1:18" x14ac:dyDescent="0.15">
      <c r="A39" s="259">
        <v>2</v>
      </c>
      <c r="B39" s="259" t="s">
        <v>147</v>
      </c>
      <c r="C39" s="97">
        <v>52</v>
      </c>
      <c r="D39" s="210">
        <v>11.6</v>
      </c>
      <c r="E39" s="259" t="s">
        <v>325</v>
      </c>
      <c r="F39" s="259"/>
      <c r="G39" s="97">
        <v>72</v>
      </c>
      <c r="H39" s="97">
        <v>55</v>
      </c>
      <c r="I39" s="97">
        <v>25</v>
      </c>
      <c r="J39" s="97">
        <v>20</v>
      </c>
      <c r="K39" s="260">
        <f t="shared" si="0"/>
        <v>155508.83635269475</v>
      </c>
      <c r="L39" s="97"/>
      <c r="M39" s="97"/>
      <c r="N39" s="97"/>
      <c r="O39" s="97"/>
      <c r="P39" s="97"/>
      <c r="Q39" s="97"/>
      <c r="R39" s="97"/>
    </row>
    <row r="40" spans="1:18" x14ac:dyDescent="0.15">
      <c r="A40" s="259">
        <v>2</v>
      </c>
      <c r="B40" s="259" t="s">
        <v>154</v>
      </c>
      <c r="C40" s="97">
        <v>68</v>
      </c>
      <c r="D40" s="210">
        <v>12</v>
      </c>
      <c r="E40" s="259" t="s">
        <v>325</v>
      </c>
      <c r="F40" s="259"/>
      <c r="G40" s="97">
        <v>78</v>
      </c>
      <c r="H40" s="97">
        <v>65</v>
      </c>
      <c r="I40" s="97">
        <v>20</v>
      </c>
      <c r="J40" s="97">
        <v>20</v>
      </c>
      <c r="K40" s="260">
        <f t="shared" si="0"/>
        <v>159278.74753700252</v>
      </c>
      <c r="L40" s="97"/>
      <c r="M40" s="97"/>
      <c r="N40" s="97"/>
      <c r="O40" s="97"/>
      <c r="P40" s="97"/>
      <c r="Q40" s="97"/>
      <c r="R40" s="97"/>
    </row>
    <row r="41" spans="1:18" x14ac:dyDescent="0.15">
      <c r="A41" s="259">
        <v>2</v>
      </c>
      <c r="B41" s="259" t="s">
        <v>159</v>
      </c>
      <c r="C41" s="97">
        <v>72</v>
      </c>
      <c r="D41" s="210">
        <v>12.4</v>
      </c>
      <c r="E41" s="259" t="s">
        <v>325</v>
      </c>
      <c r="F41" s="259"/>
      <c r="G41" s="97">
        <v>72</v>
      </c>
      <c r="H41" s="97">
        <v>30</v>
      </c>
      <c r="I41" s="97">
        <v>23</v>
      </c>
      <c r="J41" s="97">
        <v>13</v>
      </c>
      <c r="K41" s="260">
        <f t="shared" si="0"/>
        <v>50724.154984860797</v>
      </c>
      <c r="L41" s="97"/>
      <c r="M41" s="97"/>
      <c r="N41" s="97"/>
      <c r="O41" s="97"/>
      <c r="P41" s="97"/>
      <c r="Q41" s="97"/>
      <c r="R41" s="97"/>
    </row>
    <row r="42" spans="1:18" x14ac:dyDescent="0.15">
      <c r="A42" s="259">
        <v>2</v>
      </c>
      <c r="B42" s="259" t="s">
        <v>141</v>
      </c>
      <c r="C42" s="97">
        <v>29</v>
      </c>
      <c r="D42" s="210">
        <v>12.5</v>
      </c>
      <c r="E42" s="259" t="s">
        <v>325</v>
      </c>
      <c r="F42" s="259"/>
      <c r="G42" s="97">
        <v>80</v>
      </c>
      <c r="H42" s="97">
        <v>45</v>
      </c>
      <c r="I42" s="97">
        <v>18</v>
      </c>
      <c r="J42" s="97">
        <v>18</v>
      </c>
      <c r="K42" s="260">
        <f t="shared" si="0"/>
        <v>91608.841778678368</v>
      </c>
      <c r="L42" s="97"/>
      <c r="M42" s="97"/>
      <c r="N42" s="97"/>
      <c r="O42" s="97"/>
      <c r="P42" s="97"/>
      <c r="Q42" s="97"/>
      <c r="R42" s="97"/>
    </row>
    <row r="43" spans="1:18" x14ac:dyDescent="0.15">
      <c r="A43" s="259">
        <v>2</v>
      </c>
      <c r="B43" s="259" t="s">
        <v>143</v>
      </c>
      <c r="C43" s="97">
        <v>36</v>
      </c>
      <c r="D43" s="210">
        <v>12.8</v>
      </c>
      <c r="E43" s="259" t="s">
        <v>325</v>
      </c>
      <c r="F43" s="259"/>
      <c r="G43" s="97">
        <v>72</v>
      </c>
      <c r="H43" s="97">
        <v>30</v>
      </c>
      <c r="I43" s="97">
        <v>22</v>
      </c>
      <c r="J43" s="97">
        <v>17</v>
      </c>
      <c r="K43" s="260">
        <f t="shared" si="0"/>
        <v>63447.60523189947</v>
      </c>
      <c r="L43" s="97"/>
      <c r="M43" s="97"/>
      <c r="N43" s="97"/>
      <c r="O43" s="97"/>
      <c r="P43" s="97"/>
      <c r="Q43" s="97"/>
      <c r="R43" s="97"/>
    </row>
    <row r="44" spans="1:18" x14ac:dyDescent="0.15">
      <c r="A44" s="259">
        <v>2</v>
      </c>
      <c r="B44" s="259" t="s">
        <v>174</v>
      </c>
      <c r="C44" s="97">
        <v>9</v>
      </c>
      <c r="D44" s="210">
        <v>12.9</v>
      </c>
      <c r="E44" s="259" t="s">
        <v>325</v>
      </c>
      <c r="F44" s="259"/>
      <c r="G44" s="97">
        <v>75</v>
      </c>
      <c r="H44" s="97">
        <v>40</v>
      </c>
      <c r="I44" s="97">
        <v>24</v>
      </c>
      <c r="J44" s="97">
        <v>20</v>
      </c>
      <c r="K44" s="260">
        <f t="shared" si="0"/>
        <v>113097.33552923254</v>
      </c>
      <c r="L44" s="97"/>
      <c r="M44" s="97"/>
      <c r="N44" s="97"/>
      <c r="O44" s="97"/>
      <c r="P44" s="97"/>
      <c r="Q44" s="97"/>
      <c r="R44" s="97"/>
    </row>
    <row r="45" spans="1:18" x14ac:dyDescent="0.15">
      <c r="A45" s="259">
        <v>2</v>
      </c>
      <c r="B45" s="259" t="s">
        <v>149</v>
      </c>
      <c r="C45" s="97">
        <v>54</v>
      </c>
      <c r="D45" s="210">
        <v>13</v>
      </c>
      <c r="E45" s="259" t="s">
        <v>325</v>
      </c>
      <c r="F45" s="259"/>
      <c r="G45" s="97">
        <v>72</v>
      </c>
      <c r="H45" s="97">
        <v>55</v>
      </c>
      <c r="I45" s="97">
        <v>26</v>
      </c>
      <c r="J45" s="97">
        <v>23</v>
      </c>
      <c r="K45" s="260">
        <f t="shared" si="0"/>
        <v>185988.56827782292</v>
      </c>
      <c r="L45" s="97"/>
      <c r="M45" s="97"/>
      <c r="N45" s="97"/>
      <c r="O45" s="97"/>
      <c r="P45" s="97"/>
      <c r="Q45" s="97"/>
      <c r="R45" s="97"/>
    </row>
    <row r="46" spans="1:18" x14ac:dyDescent="0.15">
      <c r="A46" s="259">
        <v>2</v>
      </c>
      <c r="B46" s="259" t="s">
        <v>172</v>
      </c>
      <c r="C46" s="97">
        <v>7</v>
      </c>
      <c r="D46" s="210">
        <v>13.4</v>
      </c>
      <c r="E46" s="259" t="s">
        <v>325</v>
      </c>
      <c r="F46" s="259"/>
      <c r="G46" s="97">
        <v>80</v>
      </c>
      <c r="H46" s="97">
        <v>35</v>
      </c>
      <c r="I46" s="97">
        <v>30</v>
      </c>
      <c r="J46" s="97">
        <v>20</v>
      </c>
      <c r="K46" s="260">
        <f t="shared" si="0"/>
        <v>131946.89145077131</v>
      </c>
      <c r="L46" s="97"/>
      <c r="M46" s="97"/>
      <c r="N46" s="97"/>
      <c r="O46" s="97"/>
      <c r="P46" s="97"/>
      <c r="Q46" s="97"/>
      <c r="R46" s="97"/>
    </row>
    <row r="47" spans="1:18" x14ac:dyDescent="0.15">
      <c r="A47" s="259">
        <v>2</v>
      </c>
      <c r="B47" s="259" t="s">
        <v>169</v>
      </c>
      <c r="C47" s="97">
        <v>16</v>
      </c>
      <c r="D47" s="210">
        <v>13.5</v>
      </c>
      <c r="E47" s="259" t="s">
        <v>325</v>
      </c>
      <c r="F47" s="259"/>
      <c r="G47" s="97">
        <v>72</v>
      </c>
      <c r="H47" s="97">
        <v>40</v>
      </c>
      <c r="I47" s="97">
        <v>30</v>
      </c>
      <c r="J47" s="97">
        <v>21</v>
      </c>
      <c r="K47" s="260">
        <f t="shared" si="0"/>
        <v>142502.64276683301</v>
      </c>
      <c r="L47" s="97"/>
      <c r="M47" s="97"/>
      <c r="N47" s="97"/>
      <c r="O47" s="97"/>
      <c r="P47" s="97"/>
      <c r="Q47" s="97"/>
      <c r="R47" s="97"/>
    </row>
    <row r="48" spans="1:18" x14ac:dyDescent="0.15">
      <c r="A48" s="259">
        <v>2</v>
      </c>
      <c r="B48" s="259" t="s">
        <v>142</v>
      </c>
      <c r="C48" s="97">
        <v>34</v>
      </c>
      <c r="D48" s="210">
        <v>13.5</v>
      </c>
      <c r="E48" s="259" t="s">
        <v>325</v>
      </c>
      <c r="F48" s="259"/>
      <c r="G48" s="97">
        <v>80</v>
      </c>
      <c r="H48" s="97">
        <v>75</v>
      </c>
      <c r="I48" s="97">
        <v>25</v>
      </c>
      <c r="J48" s="97">
        <v>25</v>
      </c>
      <c r="K48" s="260">
        <f t="shared" si="0"/>
        <v>294524.31127404311</v>
      </c>
      <c r="L48" s="97"/>
      <c r="M48" s="97"/>
      <c r="N48" s="97"/>
      <c r="O48" s="97"/>
      <c r="P48" s="97"/>
      <c r="Q48" s="97"/>
      <c r="R48" s="97"/>
    </row>
    <row r="49" spans="1:18" x14ac:dyDescent="0.15">
      <c r="A49" s="259">
        <v>2</v>
      </c>
      <c r="B49" s="259" t="s">
        <v>161</v>
      </c>
      <c r="C49" s="97">
        <v>79</v>
      </c>
      <c r="D49" s="210">
        <v>13.7</v>
      </c>
      <c r="E49" s="259" t="s">
        <v>325</v>
      </c>
      <c r="F49" s="259"/>
      <c r="G49" s="97">
        <v>80</v>
      </c>
      <c r="H49" s="97">
        <v>35</v>
      </c>
      <c r="I49" s="97">
        <v>16</v>
      </c>
      <c r="J49" s="97">
        <v>16</v>
      </c>
      <c r="K49" s="260">
        <f t="shared" si="0"/>
        <v>56297.340352329091</v>
      </c>
      <c r="L49" s="97"/>
      <c r="M49" s="97"/>
      <c r="N49" s="97"/>
      <c r="O49" s="97"/>
      <c r="P49" s="97"/>
      <c r="Q49" s="97"/>
      <c r="R49" s="97"/>
    </row>
    <row r="50" spans="1:18" x14ac:dyDescent="0.15">
      <c r="A50" s="259">
        <v>2</v>
      </c>
      <c r="B50" s="259" t="s">
        <v>171</v>
      </c>
      <c r="C50" s="97">
        <v>13</v>
      </c>
      <c r="D50" s="210">
        <v>14</v>
      </c>
      <c r="E50" s="259" t="s">
        <v>325</v>
      </c>
      <c r="F50" s="259"/>
      <c r="G50" s="97">
        <v>70</v>
      </c>
      <c r="H50" s="97">
        <v>35</v>
      </c>
      <c r="I50" s="97">
        <v>28</v>
      </c>
      <c r="J50" s="97">
        <v>22</v>
      </c>
      <c r="K50" s="260">
        <f t="shared" si="0"/>
        <v>118532.29081994289</v>
      </c>
      <c r="L50" s="97"/>
      <c r="M50" s="97"/>
      <c r="N50" s="97"/>
      <c r="O50" s="97"/>
      <c r="P50" s="97"/>
      <c r="Q50" s="97"/>
      <c r="R50" s="97"/>
    </row>
    <row r="51" spans="1:18" x14ac:dyDescent="0.15">
      <c r="A51" s="259">
        <v>2</v>
      </c>
      <c r="B51" s="259" t="s">
        <v>146</v>
      </c>
      <c r="C51" s="97">
        <v>48</v>
      </c>
      <c r="D51" s="210">
        <v>14</v>
      </c>
      <c r="E51" s="259" t="s">
        <v>325</v>
      </c>
      <c r="F51" s="259"/>
      <c r="G51" s="97">
        <v>78</v>
      </c>
      <c r="H51" s="97">
        <v>40</v>
      </c>
      <c r="I51" s="97">
        <v>24</v>
      </c>
      <c r="J51" s="97">
        <v>18</v>
      </c>
      <c r="K51" s="260">
        <f t="shared" si="0"/>
        <v>105859.10605536167</v>
      </c>
      <c r="L51" s="97"/>
      <c r="M51" s="97"/>
      <c r="N51" s="97"/>
      <c r="O51" s="97"/>
      <c r="P51" s="97"/>
      <c r="Q51" s="97"/>
      <c r="R51" s="97"/>
    </row>
    <row r="52" spans="1:18" x14ac:dyDescent="0.15">
      <c r="A52" s="259">
        <v>2</v>
      </c>
      <c r="B52" s="259" t="s">
        <v>145</v>
      </c>
      <c r="C52" s="97">
        <v>49</v>
      </c>
      <c r="D52" s="210">
        <v>14.4</v>
      </c>
      <c r="E52" s="259" t="s">
        <v>325</v>
      </c>
      <c r="F52" s="259"/>
      <c r="G52" s="97">
        <v>70</v>
      </c>
      <c r="H52" s="97">
        <v>35</v>
      </c>
      <c r="I52" s="97">
        <v>24</v>
      </c>
      <c r="J52" s="97">
        <v>20</v>
      </c>
      <c r="K52" s="260">
        <f t="shared" si="0"/>
        <v>92362.824015539911</v>
      </c>
      <c r="L52" s="97"/>
      <c r="M52" s="97"/>
      <c r="N52" s="97"/>
      <c r="O52" s="97"/>
      <c r="P52" s="97"/>
      <c r="Q52" s="97"/>
      <c r="R52" s="97"/>
    </row>
    <row r="53" spans="1:18" x14ac:dyDescent="0.15">
      <c r="A53" s="259">
        <v>2</v>
      </c>
      <c r="B53" s="259" t="s">
        <v>168</v>
      </c>
      <c r="C53" s="97">
        <v>20</v>
      </c>
      <c r="D53" s="210">
        <v>14.6</v>
      </c>
      <c r="E53" s="259" t="s">
        <v>325</v>
      </c>
      <c r="F53" s="259"/>
      <c r="G53" s="97">
        <v>80</v>
      </c>
      <c r="H53" s="97">
        <v>40</v>
      </c>
      <c r="I53" s="97">
        <v>25</v>
      </c>
      <c r="J53" s="97">
        <v>25</v>
      </c>
      <c r="K53" s="260">
        <f t="shared" si="0"/>
        <v>157079.63267948967</v>
      </c>
      <c r="L53" s="97"/>
      <c r="M53" s="97"/>
      <c r="N53" s="97"/>
      <c r="O53" s="97"/>
      <c r="P53" s="97"/>
      <c r="Q53" s="97"/>
      <c r="R53" s="97"/>
    </row>
    <row r="54" spans="1:18" x14ac:dyDescent="0.15">
      <c r="A54" s="259">
        <v>2</v>
      </c>
      <c r="B54" s="259" t="s">
        <v>150</v>
      </c>
      <c r="C54" s="97">
        <v>55</v>
      </c>
      <c r="D54" s="210">
        <v>14.6</v>
      </c>
      <c r="E54" s="259" t="s">
        <v>325</v>
      </c>
      <c r="F54" s="259"/>
      <c r="G54" s="97">
        <v>80</v>
      </c>
      <c r="H54" s="97">
        <v>60</v>
      </c>
      <c r="I54" s="97">
        <v>25</v>
      </c>
      <c r="J54" s="97">
        <v>24</v>
      </c>
      <c r="K54" s="260">
        <f t="shared" si="0"/>
        <v>226194.67105846509</v>
      </c>
      <c r="L54" s="97"/>
      <c r="M54" s="97"/>
      <c r="N54" s="97"/>
      <c r="O54" s="97"/>
      <c r="P54" s="97"/>
      <c r="Q54" s="97"/>
      <c r="R54" s="97"/>
    </row>
    <row r="55" spans="1:18" x14ac:dyDescent="0.15">
      <c r="A55" s="259">
        <v>2</v>
      </c>
      <c r="B55" s="259" t="s">
        <v>144</v>
      </c>
      <c r="C55" s="97">
        <v>42</v>
      </c>
      <c r="D55" s="210">
        <v>14.7</v>
      </c>
      <c r="E55" s="259" t="s">
        <v>325</v>
      </c>
      <c r="F55" s="259"/>
      <c r="G55" s="97">
        <v>72</v>
      </c>
      <c r="H55" s="97">
        <v>55</v>
      </c>
      <c r="I55" s="97">
        <v>24</v>
      </c>
      <c r="J55" s="97">
        <v>17</v>
      </c>
      <c r="K55" s="260">
        <f t="shared" si="0"/>
        <v>126895.21046379893</v>
      </c>
      <c r="L55" s="97"/>
      <c r="M55" s="97"/>
      <c r="N55" s="97"/>
      <c r="O55" s="97"/>
      <c r="P55" s="97"/>
      <c r="Q55" s="97"/>
      <c r="R55" s="97"/>
    </row>
    <row r="56" spans="1:18" x14ac:dyDescent="0.15">
      <c r="A56" s="259">
        <v>2</v>
      </c>
      <c r="B56" s="259" t="s">
        <v>148</v>
      </c>
      <c r="C56" s="97">
        <v>50</v>
      </c>
      <c r="D56" s="210">
        <v>14.8</v>
      </c>
      <c r="E56" s="259" t="s">
        <v>325</v>
      </c>
      <c r="F56" s="259"/>
      <c r="G56" s="97">
        <v>72</v>
      </c>
      <c r="H56" s="97">
        <v>40</v>
      </c>
      <c r="I56" s="97">
        <v>24</v>
      </c>
      <c r="J56" s="97">
        <v>24</v>
      </c>
      <c r="K56" s="260">
        <f t="shared" si="0"/>
        <v>130288.13052967589</v>
      </c>
      <c r="L56" s="97"/>
      <c r="M56" s="97"/>
      <c r="N56" s="97"/>
      <c r="O56" s="97"/>
      <c r="P56" s="97"/>
      <c r="Q56" s="97"/>
      <c r="R56" s="97"/>
    </row>
    <row r="57" spans="1:18" x14ac:dyDescent="0.15">
      <c r="A57" s="259">
        <v>2</v>
      </c>
      <c r="B57" s="259" t="s">
        <v>157</v>
      </c>
      <c r="C57" s="97">
        <v>69</v>
      </c>
      <c r="D57" s="210">
        <v>15</v>
      </c>
      <c r="E57" s="259" t="s">
        <v>102</v>
      </c>
      <c r="F57" s="259"/>
      <c r="G57" s="97">
        <v>88</v>
      </c>
      <c r="H57" s="97">
        <v>65</v>
      </c>
      <c r="I57" s="97">
        <v>28</v>
      </c>
      <c r="J57" s="97">
        <v>24</v>
      </c>
      <c r="K57" s="260">
        <f t="shared" si="0"/>
        <v>301894.48763936479</v>
      </c>
      <c r="L57" s="97"/>
      <c r="M57" s="97"/>
      <c r="N57" s="97"/>
      <c r="O57" s="97"/>
      <c r="P57" s="97"/>
      <c r="Q57" s="97"/>
      <c r="R57" s="97"/>
    </row>
    <row r="58" spans="1:18" x14ac:dyDescent="0.15">
      <c r="A58" s="259">
        <v>2</v>
      </c>
      <c r="B58" s="259" t="s">
        <v>162</v>
      </c>
      <c r="C58" s="97">
        <v>78</v>
      </c>
      <c r="D58" s="210">
        <v>15.3</v>
      </c>
      <c r="E58" s="259" t="s">
        <v>102</v>
      </c>
      <c r="F58" s="259"/>
      <c r="G58" s="97">
        <v>80</v>
      </c>
      <c r="H58" s="97">
        <v>35</v>
      </c>
      <c r="I58" s="97">
        <v>20</v>
      </c>
      <c r="J58" s="97">
        <v>9</v>
      </c>
      <c r="K58" s="260">
        <f t="shared" si="0"/>
        <v>39584.067435231394</v>
      </c>
      <c r="L58" s="97"/>
      <c r="M58" s="97"/>
      <c r="N58" s="97"/>
      <c r="O58" s="97"/>
      <c r="P58" s="97"/>
      <c r="Q58" s="97"/>
      <c r="R58" s="97"/>
    </row>
    <row r="59" spans="1:18" x14ac:dyDescent="0.15">
      <c r="A59" s="259">
        <v>2</v>
      </c>
      <c r="B59" s="259" t="s">
        <v>164</v>
      </c>
      <c r="C59" s="97">
        <v>80</v>
      </c>
      <c r="D59" s="210">
        <v>15.5</v>
      </c>
      <c r="E59" s="259" t="s">
        <v>325</v>
      </c>
      <c r="F59" s="259"/>
      <c r="G59" s="97">
        <v>72</v>
      </c>
      <c r="H59" s="97">
        <v>40</v>
      </c>
      <c r="I59" s="97">
        <v>25</v>
      </c>
      <c r="J59" s="97">
        <v>19</v>
      </c>
      <c r="K59" s="260">
        <f t="shared" si="0"/>
        <v>107442.46875277093</v>
      </c>
      <c r="L59" s="97"/>
      <c r="M59" s="97"/>
      <c r="N59" s="97"/>
      <c r="O59" s="97"/>
      <c r="P59" s="97"/>
      <c r="Q59" s="97"/>
      <c r="R59" s="97"/>
    </row>
    <row r="60" spans="1:18" x14ac:dyDescent="0.15">
      <c r="A60" s="259">
        <v>2</v>
      </c>
      <c r="B60" s="259" t="s">
        <v>170</v>
      </c>
      <c r="C60" s="97">
        <v>6</v>
      </c>
      <c r="D60" s="210">
        <v>15.8</v>
      </c>
      <c r="E60" s="259" t="s">
        <v>325</v>
      </c>
      <c r="F60" s="259"/>
      <c r="G60" s="97">
        <v>80</v>
      </c>
      <c r="H60" s="97">
        <v>40</v>
      </c>
      <c r="I60" s="97">
        <v>30</v>
      </c>
      <c r="J60" s="97">
        <v>20</v>
      </c>
      <c r="K60" s="260">
        <f t="shared" si="0"/>
        <v>150796.44737231007</v>
      </c>
      <c r="L60" s="97"/>
      <c r="M60" s="97"/>
      <c r="N60" s="97"/>
      <c r="O60" s="97"/>
      <c r="P60" s="97"/>
      <c r="Q60" s="97"/>
      <c r="R60" s="97"/>
    </row>
    <row r="61" spans="1:18" x14ac:dyDescent="0.15">
      <c r="A61" s="259">
        <v>2</v>
      </c>
      <c r="B61" s="259" t="s">
        <v>152</v>
      </c>
      <c r="C61" s="97">
        <v>66</v>
      </c>
      <c r="D61" s="210">
        <v>16.3</v>
      </c>
      <c r="E61" s="259" t="s">
        <v>102</v>
      </c>
      <c r="F61" s="259"/>
      <c r="G61" s="97">
        <v>80</v>
      </c>
      <c r="H61" s="97">
        <v>55</v>
      </c>
      <c r="I61" s="97">
        <v>32</v>
      </c>
      <c r="J61" s="97">
        <v>15</v>
      </c>
      <c r="K61" s="260">
        <f t="shared" si="0"/>
        <v>165876.09210954106</v>
      </c>
      <c r="L61" s="97"/>
      <c r="M61" s="97"/>
      <c r="N61" s="97"/>
      <c r="O61" s="97"/>
      <c r="P61" s="97"/>
      <c r="Q61" s="97"/>
      <c r="R61" s="97"/>
    </row>
    <row r="62" spans="1:18" x14ac:dyDescent="0.15">
      <c r="A62" s="259">
        <v>2</v>
      </c>
      <c r="B62" s="259" t="s">
        <v>156</v>
      </c>
      <c r="C62" s="97">
        <v>65</v>
      </c>
      <c r="D62" s="210">
        <v>17.100000000000001</v>
      </c>
      <c r="E62" s="259" t="s">
        <v>102</v>
      </c>
      <c r="F62" s="259"/>
      <c r="G62" s="97">
        <v>80</v>
      </c>
      <c r="H62" s="97">
        <v>55</v>
      </c>
      <c r="I62" s="97">
        <v>23</v>
      </c>
      <c r="J62" s="97">
        <v>15</v>
      </c>
      <c r="K62" s="260">
        <f t="shared" si="0"/>
        <v>119223.44120373265</v>
      </c>
      <c r="L62" s="97"/>
      <c r="M62" s="97"/>
      <c r="N62" s="97"/>
      <c r="O62" s="97"/>
      <c r="P62" s="97"/>
      <c r="Q62" s="97"/>
      <c r="R62" s="97"/>
    </row>
    <row r="63" spans="1:18" x14ac:dyDescent="0.15">
      <c r="A63" s="259">
        <v>2</v>
      </c>
      <c r="B63" s="259" t="s">
        <v>166</v>
      </c>
      <c r="C63" s="97">
        <v>81</v>
      </c>
      <c r="D63" s="210">
        <v>18</v>
      </c>
      <c r="E63" s="259" t="s">
        <v>102</v>
      </c>
      <c r="F63" s="259"/>
      <c r="G63" s="97">
        <v>80</v>
      </c>
      <c r="H63" s="97">
        <v>50</v>
      </c>
      <c r="I63" s="97">
        <v>28</v>
      </c>
      <c r="J63" s="97">
        <v>20</v>
      </c>
      <c r="K63" s="260">
        <f t="shared" si="0"/>
        <v>175929.18860102841</v>
      </c>
      <c r="L63" s="97"/>
      <c r="M63" s="97"/>
      <c r="N63" s="97"/>
      <c r="O63" s="97"/>
      <c r="P63" s="97"/>
      <c r="Q63" s="97"/>
      <c r="R63" s="97"/>
    </row>
    <row r="64" spans="1:18" x14ac:dyDescent="0.15">
      <c r="A64" s="259">
        <v>2</v>
      </c>
      <c r="B64" s="259" t="s">
        <v>167</v>
      </c>
      <c r="C64" s="97">
        <v>83</v>
      </c>
      <c r="D64" s="210">
        <v>19.100000000000001</v>
      </c>
      <c r="E64" s="259" t="s">
        <v>102</v>
      </c>
      <c r="F64" s="259"/>
      <c r="G64" s="97">
        <v>85</v>
      </c>
      <c r="H64" s="97">
        <v>65</v>
      </c>
      <c r="I64" s="97">
        <v>24</v>
      </c>
      <c r="J64" s="97">
        <v>20</v>
      </c>
      <c r="K64" s="260">
        <f t="shared" si="0"/>
        <v>208287.59293300327</v>
      </c>
      <c r="L64" s="97"/>
      <c r="M64" s="97"/>
      <c r="N64" s="97"/>
      <c r="O64" s="97"/>
      <c r="P64" s="97"/>
      <c r="Q64" s="97"/>
      <c r="R64" s="97"/>
    </row>
    <row r="65" spans="1:20" x14ac:dyDescent="0.15">
      <c r="A65" s="259">
        <v>2</v>
      </c>
      <c r="B65" s="259" t="s">
        <v>151</v>
      </c>
      <c r="C65" s="97">
        <v>58</v>
      </c>
      <c r="D65" s="210">
        <v>19.399999999999999</v>
      </c>
      <c r="E65" s="259" t="s">
        <v>102</v>
      </c>
      <c r="F65" s="259"/>
      <c r="G65" s="97">
        <v>96</v>
      </c>
      <c r="H65" s="97">
        <v>60</v>
      </c>
      <c r="I65" s="97">
        <v>28</v>
      </c>
      <c r="J65" s="97">
        <v>20</v>
      </c>
      <c r="K65" s="260">
        <f t="shared" si="0"/>
        <v>253338.0315854809</v>
      </c>
      <c r="L65" s="97"/>
      <c r="M65" s="97"/>
      <c r="N65" s="97"/>
      <c r="O65" s="97"/>
      <c r="P65" s="97"/>
      <c r="Q65" s="97"/>
      <c r="R65" s="97"/>
    </row>
    <row r="66" spans="1:20" x14ac:dyDescent="0.15">
      <c r="A66" s="259">
        <v>3</v>
      </c>
      <c r="B66" s="259" t="s">
        <v>185</v>
      </c>
      <c r="C66" s="97">
        <v>39</v>
      </c>
      <c r="D66" s="210">
        <v>10.5</v>
      </c>
      <c r="E66" s="259" t="s">
        <v>325</v>
      </c>
      <c r="F66" s="259"/>
      <c r="G66" s="97">
        <v>64</v>
      </c>
      <c r="H66" s="97">
        <v>60</v>
      </c>
      <c r="I66" s="97">
        <v>26</v>
      </c>
      <c r="J66" s="97">
        <v>17</v>
      </c>
      <c r="K66" s="260">
        <f t="shared" si="0"/>
        <v>133304.05947712209</v>
      </c>
      <c r="L66" s="97"/>
      <c r="M66" s="97"/>
      <c r="N66" s="97"/>
      <c r="O66" s="97"/>
      <c r="P66" s="97"/>
      <c r="Q66" s="97"/>
      <c r="R66" s="97"/>
    </row>
    <row r="67" spans="1:20" x14ac:dyDescent="0.15">
      <c r="A67" s="259">
        <v>3</v>
      </c>
      <c r="B67" s="259" t="s">
        <v>211</v>
      </c>
      <c r="C67" s="97">
        <v>18</v>
      </c>
      <c r="D67" s="210">
        <v>11</v>
      </c>
      <c r="E67" s="259" t="s">
        <v>325</v>
      </c>
      <c r="F67" s="259"/>
      <c r="G67" s="97">
        <v>72</v>
      </c>
      <c r="H67" s="97">
        <v>40</v>
      </c>
      <c r="I67" s="97">
        <v>25</v>
      </c>
      <c r="J67" s="97">
        <v>15</v>
      </c>
      <c r="K67" s="260">
        <f t="shared" si="0"/>
        <v>84823.001646924415</v>
      </c>
      <c r="L67" s="97"/>
      <c r="M67" s="97"/>
      <c r="N67" s="97"/>
      <c r="O67" s="97"/>
      <c r="P67" s="97"/>
      <c r="Q67" s="97"/>
      <c r="R67" s="97"/>
    </row>
    <row r="68" spans="1:20" x14ac:dyDescent="0.15">
      <c r="A68" s="259">
        <v>3</v>
      </c>
      <c r="B68" s="259" t="s">
        <v>176</v>
      </c>
      <c r="C68" s="97">
        <v>27</v>
      </c>
      <c r="D68" s="210">
        <v>11.4</v>
      </c>
      <c r="E68" s="259" t="s">
        <v>325</v>
      </c>
      <c r="F68" s="259"/>
      <c r="G68" s="97">
        <v>80</v>
      </c>
      <c r="H68" s="97">
        <v>40</v>
      </c>
      <c r="I68" s="97">
        <v>25</v>
      </c>
      <c r="J68" s="97">
        <v>15</v>
      </c>
      <c r="K68" s="260">
        <f t="shared" si="0"/>
        <v>94247.779607693796</v>
      </c>
      <c r="L68" s="97"/>
      <c r="M68" s="97"/>
      <c r="N68" s="97"/>
      <c r="O68" s="97"/>
      <c r="P68" s="97"/>
      <c r="Q68" s="97"/>
      <c r="R68" s="97"/>
    </row>
    <row r="69" spans="1:20" x14ac:dyDescent="0.15">
      <c r="A69" s="259">
        <v>3</v>
      </c>
      <c r="B69" s="259" t="s">
        <v>180</v>
      </c>
      <c r="C69" s="97">
        <v>33</v>
      </c>
      <c r="D69" s="210">
        <v>11.6</v>
      </c>
      <c r="E69" s="259" t="s">
        <v>325</v>
      </c>
      <c r="F69" s="259"/>
      <c r="G69" s="97">
        <v>75</v>
      </c>
      <c r="H69" s="97">
        <v>40</v>
      </c>
      <c r="I69" s="97">
        <v>25</v>
      </c>
      <c r="J69" s="97">
        <v>15</v>
      </c>
      <c r="K69" s="260">
        <f t="shared" ref="K69:K96" si="1">(((I69/2)*(J69/2))*PI())*((H69/10)*G69)</f>
        <v>88357.293382212927</v>
      </c>
      <c r="L69" s="97"/>
      <c r="M69" s="97"/>
      <c r="N69" s="97"/>
      <c r="O69" s="97"/>
      <c r="P69" s="97"/>
      <c r="Q69" s="97"/>
      <c r="R69" s="97"/>
    </row>
    <row r="70" spans="1:20" x14ac:dyDescent="0.15">
      <c r="A70" s="259">
        <v>3</v>
      </c>
      <c r="B70" s="259" t="s">
        <v>186</v>
      </c>
      <c r="C70" s="97">
        <v>41</v>
      </c>
      <c r="D70" s="210">
        <v>11.8</v>
      </c>
      <c r="E70" s="259" t="s">
        <v>325</v>
      </c>
      <c r="F70" s="259"/>
      <c r="G70" s="97">
        <v>72</v>
      </c>
      <c r="H70" s="97">
        <v>60</v>
      </c>
      <c r="I70" s="97">
        <v>24</v>
      </c>
      <c r="J70" s="97">
        <v>17</v>
      </c>
      <c r="K70" s="260">
        <f t="shared" si="1"/>
        <v>138431.13868778065</v>
      </c>
      <c r="L70" s="97"/>
      <c r="M70" s="97"/>
      <c r="N70" s="97"/>
      <c r="O70" s="97"/>
      <c r="P70" s="97"/>
      <c r="Q70" s="97"/>
      <c r="R70" s="97"/>
    </row>
    <row r="71" spans="1:20" x14ac:dyDescent="0.15">
      <c r="A71" s="259">
        <v>3</v>
      </c>
      <c r="B71" s="259" t="s">
        <v>215</v>
      </c>
      <c r="C71" s="97">
        <v>2</v>
      </c>
      <c r="D71" s="210">
        <v>12</v>
      </c>
      <c r="E71" s="259" t="s">
        <v>325</v>
      </c>
      <c r="F71" s="259"/>
      <c r="G71" s="97">
        <v>80</v>
      </c>
      <c r="H71" s="97">
        <v>50</v>
      </c>
      <c r="I71" s="97">
        <v>15</v>
      </c>
      <c r="J71" s="97">
        <v>12</v>
      </c>
      <c r="K71" s="260">
        <f t="shared" si="1"/>
        <v>56548.667764616279</v>
      </c>
      <c r="L71" s="97"/>
      <c r="M71" s="97"/>
      <c r="N71" s="97"/>
      <c r="O71" s="97"/>
      <c r="P71" s="97"/>
      <c r="Q71" s="97"/>
      <c r="R71" s="97"/>
    </row>
    <row r="72" spans="1:20" x14ac:dyDescent="0.15">
      <c r="A72" s="259">
        <v>3</v>
      </c>
      <c r="B72" s="259" t="s">
        <v>214</v>
      </c>
      <c r="C72" s="97">
        <v>1</v>
      </c>
      <c r="D72" s="210">
        <v>12.5</v>
      </c>
      <c r="E72" s="259" t="s">
        <v>325</v>
      </c>
      <c r="F72" s="259"/>
      <c r="G72" s="97">
        <v>80</v>
      </c>
      <c r="H72" s="97">
        <v>40</v>
      </c>
      <c r="I72" s="97">
        <v>26</v>
      </c>
      <c r="J72" s="97">
        <v>15</v>
      </c>
      <c r="K72" s="260">
        <f t="shared" si="1"/>
        <v>98017.690792001536</v>
      </c>
      <c r="L72" s="97"/>
      <c r="M72" s="97"/>
      <c r="N72" s="97"/>
      <c r="O72" s="97"/>
      <c r="P72" s="97"/>
      <c r="Q72" s="97"/>
      <c r="R72" s="97"/>
    </row>
    <row r="73" spans="1:20" x14ac:dyDescent="0.15">
      <c r="A73" s="259"/>
      <c r="B73" s="162" t="s">
        <v>328</v>
      </c>
      <c r="C73" s="2">
        <v>47</v>
      </c>
      <c r="D73" s="210"/>
      <c r="E73" s="259" t="s">
        <v>325</v>
      </c>
      <c r="F73" s="259"/>
      <c r="G73" s="97"/>
      <c r="H73" s="97"/>
      <c r="I73" s="97"/>
      <c r="J73" s="97"/>
      <c r="K73" s="260"/>
      <c r="L73" s="97"/>
      <c r="M73" s="97"/>
      <c r="N73" s="97"/>
      <c r="O73" s="97"/>
      <c r="P73" s="97"/>
      <c r="Q73" s="97"/>
      <c r="R73" s="97"/>
      <c r="S73" s="3" t="s">
        <v>329</v>
      </c>
      <c r="T73" s="3"/>
    </row>
    <row r="74" spans="1:20" x14ac:dyDescent="0.15">
      <c r="A74" s="259">
        <v>3</v>
      </c>
      <c r="B74" s="259" t="s">
        <v>178</v>
      </c>
      <c r="C74" s="97">
        <v>28</v>
      </c>
      <c r="D74" s="210">
        <v>12.7</v>
      </c>
      <c r="E74" s="259" t="s">
        <v>325</v>
      </c>
      <c r="F74" s="259"/>
      <c r="G74" s="97">
        <v>75</v>
      </c>
      <c r="H74" s="97">
        <v>45</v>
      </c>
      <c r="I74" s="97">
        <v>22</v>
      </c>
      <c r="J74" s="97">
        <v>20</v>
      </c>
      <c r="K74" s="260">
        <f t="shared" si="1"/>
        <v>116631.62726452107</v>
      </c>
      <c r="L74" s="97"/>
      <c r="M74" s="97"/>
      <c r="N74" s="97"/>
      <c r="O74" s="97"/>
      <c r="P74" s="97"/>
      <c r="Q74" s="97"/>
      <c r="R74" s="97"/>
    </row>
    <row r="75" spans="1:20" x14ac:dyDescent="0.15">
      <c r="A75" s="259">
        <v>3</v>
      </c>
      <c r="B75" s="259" t="s">
        <v>181</v>
      </c>
      <c r="C75" s="97">
        <v>37</v>
      </c>
      <c r="D75" s="210">
        <v>13</v>
      </c>
      <c r="E75" s="259" t="s">
        <v>325</v>
      </c>
      <c r="F75" s="259"/>
      <c r="G75" s="97">
        <v>72</v>
      </c>
      <c r="H75" s="97">
        <v>55</v>
      </c>
      <c r="I75" s="97">
        <v>16</v>
      </c>
      <c r="J75" s="97">
        <v>14</v>
      </c>
      <c r="K75" s="260">
        <f t="shared" si="1"/>
        <v>69667.958686007245</v>
      </c>
      <c r="L75" s="97"/>
      <c r="M75" s="97"/>
      <c r="N75" s="97"/>
      <c r="O75" s="97"/>
      <c r="P75" s="97"/>
      <c r="Q75" s="97"/>
      <c r="R75" s="97"/>
    </row>
    <row r="76" spans="1:20" x14ac:dyDescent="0.15">
      <c r="A76" s="259">
        <v>3</v>
      </c>
      <c r="B76" s="259" t="s">
        <v>202</v>
      </c>
      <c r="C76" s="97">
        <v>82</v>
      </c>
      <c r="D76" s="210">
        <v>13.1</v>
      </c>
      <c r="E76" s="259" t="s">
        <v>325</v>
      </c>
      <c r="F76" s="259"/>
      <c r="G76" s="97">
        <v>70</v>
      </c>
      <c r="H76" s="97">
        <v>35</v>
      </c>
      <c r="I76" s="97">
        <v>25</v>
      </c>
      <c r="J76" s="97">
        <v>22</v>
      </c>
      <c r="K76" s="260">
        <f t="shared" si="1"/>
        <v>105832.40251780616</v>
      </c>
      <c r="L76" s="97"/>
      <c r="M76" s="97"/>
      <c r="N76" s="97"/>
      <c r="O76" s="97"/>
      <c r="P76" s="97"/>
      <c r="Q76" s="97"/>
      <c r="R76" s="97"/>
    </row>
    <row r="77" spans="1:20" x14ac:dyDescent="0.15">
      <c r="A77" s="259">
        <v>3</v>
      </c>
      <c r="B77" s="259" t="s">
        <v>196</v>
      </c>
      <c r="C77" s="97">
        <v>64</v>
      </c>
      <c r="D77" s="210">
        <v>13.2</v>
      </c>
      <c r="E77" s="259" t="s">
        <v>325</v>
      </c>
      <c r="F77" s="259"/>
      <c r="G77" s="97">
        <v>70</v>
      </c>
      <c r="H77" s="97">
        <v>40</v>
      </c>
      <c r="I77" s="97">
        <v>24</v>
      </c>
      <c r="J77" s="97">
        <v>23</v>
      </c>
      <c r="K77" s="260">
        <f t="shared" si="1"/>
        <v>121391.14013470961</v>
      </c>
      <c r="L77" s="97"/>
      <c r="M77" s="97"/>
      <c r="N77" s="97"/>
      <c r="O77" s="97"/>
      <c r="P77" s="97"/>
      <c r="Q77" s="97"/>
      <c r="R77" s="97"/>
    </row>
    <row r="78" spans="1:20" x14ac:dyDescent="0.15">
      <c r="A78" s="259">
        <v>3</v>
      </c>
      <c r="B78" s="259" t="s">
        <v>209</v>
      </c>
      <c r="C78" s="97">
        <v>19</v>
      </c>
      <c r="D78" s="210">
        <v>13.5</v>
      </c>
      <c r="E78" s="259" t="s">
        <v>325</v>
      </c>
      <c r="F78" s="259"/>
      <c r="G78" s="97">
        <v>80</v>
      </c>
      <c r="H78" s="97">
        <v>55</v>
      </c>
      <c r="I78" s="97">
        <v>20</v>
      </c>
      <c r="J78" s="97">
        <v>15</v>
      </c>
      <c r="K78" s="260">
        <f t="shared" si="1"/>
        <v>103672.55756846318</v>
      </c>
      <c r="L78" s="97"/>
      <c r="M78" s="97"/>
      <c r="N78" s="97"/>
      <c r="O78" s="97"/>
      <c r="P78" s="97"/>
      <c r="Q78" s="97"/>
      <c r="R78" s="97"/>
    </row>
    <row r="79" spans="1:20" x14ac:dyDescent="0.15">
      <c r="A79" s="259">
        <v>3</v>
      </c>
      <c r="B79" s="259" t="s">
        <v>204</v>
      </c>
      <c r="C79" s="97">
        <v>91</v>
      </c>
      <c r="D79" s="210">
        <v>13.5</v>
      </c>
      <c r="E79" s="259" t="s">
        <v>325</v>
      </c>
      <c r="F79" s="259"/>
      <c r="G79" s="97">
        <v>72</v>
      </c>
      <c r="H79" s="97">
        <v>50</v>
      </c>
      <c r="I79" s="97">
        <v>19</v>
      </c>
      <c r="J79" s="97">
        <v>18</v>
      </c>
      <c r="K79" s="260">
        <f t="shared" si="1"/>
        <v>96698.221877493837</v>
      </c>
      <c r="L79" s="97"/>
      <c r="M79" s="97"/>
      <c r="N79" s="97"/>
      <c r="O79" s="97"/>
      <c r="P79" s="97"/>
      <c r="Q79" s="97"/>
      <c r="R79" s="97"/>
    </row>
    <row r="80" spans="1:20" x14ac:dyDescent="0.15">
      <c r="A80" s="259">
        <v>3</v>
      </c>
      <c r="B80" s="259" t="s">
        <v>193</v>
      </c>
      <c r="C80" s="97">
        <v>59</v>
      </c>
      <c r="D80" s="210">
        <v>13.6</v>
      </c>
      <c r="E80" s="259" t="s">
        <v>325</v>
      </c>
      <c r="F80" s="259"/>
      <c r="G80" s="97">
        <v>72</v>
      </c>
      <c r="H80" s="97">
        <v>65</v>
      </c>
      <c r="I80" s="97">
        <v>19</v>
      </c>
      <c r="J80" s="97">
        <v>17</v>
      </c>
      <c r="K80" s="260">
        <f t="shared" si="1"/>
        <v>118723.92797181186</v>
      </c>
      <c r="L80" s="97"/>
      <c r="M80" s="97"/>
      <c r="N80" s="97"/>
      <c r="O80" s="97"/>
      <c r="P80" s="97"/>
      <c r="Q80" s="97"/>
      <c r="R80" s="97"/>
    </row>
    <row r="81" spans="1:21" x14ac:dyDescent="0.15">
      <c r="A81" s="259">
        <v>3</v>
      </c>
      <c r="B81" s="259" t="s">
        <v>188</v>
      </c>
      <c r="C81" s="97">
        <v>46</v>
      </c>
      <c r="D81" s="210">
        <v>14</v>
      </c>
      <c r="E81" s="259" t="s">
        <v>325</v>
      </c>
      <c r="F81" s="259"/>
      <c r="G81" s="97">
        <v>80</v>
      </c>
      <c r="H81" s="97">
        <v>60</v>
      </c>
      <c r="I81" s="97">
        <v>22</v>
      </c>
      <c r="J81" s="97">
        <v>16</v>
      </c>
      <c r="K81" s="260">
        <f t="shared" si="1"/>
        <v>132700.87368763285</v>
      </c>
      <c r="L81" s="97"/>
      <c r="M81" s="97"/>
      <c r="N81" s="97"/>
      <c r="O81" s="97"/>
      <c r="P81" s="97"/>
      <c r="Q81" s="97"/>
      <c r="R81" s="97"/>
    </row>
    <row r="82" spans="1:21" x14ac:dyDescent="0.15">
      <c r="A82" s="259">
        <v>3</v>
      </c>
      <c r="B82" s="259" t="s">
        <v>199</v>
      </c>
      <c r="C82" s="97">
        <v>75</v>
      </c>
      <c r="D82" s="210">
        <v>14.2</v>
      </c>
      <c r="E82" s="259" t="s">
        <v>325</v>
      </c>
      <c r="F82" s="259"/>
      <c r="G82" s="97">
        <v>72</v>
      </c>
      <c r="H82" s="97">
        <v>50</v>
      </c>
      <c r="I82" s="97">
        <v>25</v>
      </c>
      <c r="J82" s="97">
        <v>17</v>
      </c>
      <c r="K82" s="260">
        <f t="shared" si="1"/>
        <v>120165.91899980958</v>
      </c>
      <c r="L82" s="4"/>
      <c r="M82" s="4"/>
      <c r="N82" s="4"/>
      <c r="O82" s="4"/>
      <c r="P82" s="4"/>
      <c r="Q82" s="4"/>
      <c r="R82" s="4"/>
    </row>
    <row r="83" spans="1:21" x14ac:dyDescent="0.15">
      <c r="A83" s="259"/>
      <c r="B83" s="162" t="s">
        <v>235</v>
      </c>
      <c r="C83" s="2">
        <v>10</v>
      </c>
      <c r="D83" s="210"/>
      <c r="E83" s="259" t="s">
        <v>325</v>
      </c>
      <c r="F83" s="259"/>
      <c r="G83" s="97"/>
      <c r="H83" s="97"/>
      <c r="I83" s="97"/>
      <c r="J83" s="97"/>
      <c r="K83" s="260"/>
      <c r="L83" s="97"/>
      <c r="M83" s="97"/>
      <c r="N83" s="97"/>
      <c r="O83" s="97"/>
      <c r="P83" s="97"/>
      <c r="Q83" s="97"/>
      <c r="R83" s="97"/>
      <c r="S83" s="3" t="s">
        <v>330</v>
      </c>
      <c r="T83" s="3"/>
      <c r="U83" s="3"/>
    </row>
    <row r="84" spans="1:21" x14ac:dyDescent="0.15">
      <c r="A84" s="259">
        <v>3</v>
      </c>
      <c r="B84" s="259" t="s">
        <v>183</v>
      </c>
      <c r="C84" s="97">
        <v>38</v>
      </c>
      <c r="D84" s="210">
        <v>14.6</v>
      </c>
      <c r="E84" s="259" t="s">
        <v>325</v>
      </c>
      <c r="F84" s="259"/>
      <c r="G84" s="97">
        <v>80</v>
      </c>
      <c r="H84" s="97">
        <v>60</v>
      </c>
      <c r="I84" s="97">
        <v>25</v>
      </c>
      <c r="J84" s="97">
        <v>23</v>
      </c>
      <c r="K84" s="260">
        <f t="shared" si="1"/>
        <v>216769.89309769572</v>
      </c>
      <c r="L84" s="97"/>
      <c r="M84" s="97"/>
      <c r="N84" s="97"/>
      <c r="O84" s="97"/>
      <c r="P84" s="97"/>
      <c r="Q84" s="97"/>
      <c r="R84" s="97"/>
    </row>
    <row r="85" spans="1:21" x14ac:dyDescent="0.15">
      <c r="A85" s="259">
        <v>3</v>
      </c>
      <c r="B85" s="259" t="s">
        <v>195</v>
      </c>
      <c r="C85" s="97">
        <v>61</v>
      </c>
      <c r="D85" s="210">
        <v>14.6</v>
      </c>
      <c r="E85" s="259" t="s">
        <v>325</v>
      </c>
      <c r="F85" s="259"/>
      <c r="G85" s="97">
        <v>80</v>
      </c>
      <c r="H85" s="97">
        <v>50</v>
      </c>
      <c r="I85" s="97">
        <v>24</v>
      </c>
      <c r="J85" s="97">
        <v>7</v>
      </c>
      <c r="K85" s="260">
        <f t="shared" si="1"/>
        <v>52778.756580308531</v>
      </c>
      <c r="L85" s="97"/>
      <c r="M85" s="97"/>
      <c r="N85" s="97"/>
      <c r="O85" s="97"/>
      <c r="P85" s="97"/>
      <c r="Q85" s="97"/>
      <c r="R85" s="97"/>
    </row>
    <row r="86" spans="1:21" x14ac:dyDescent="0.15">
      <c r="A86" s="259">
        <v>3</v>
      </c>
      <c r="B86" s="259" t="s">
        <v>213</v>
      </c>
      <c r="C86" s="97">
        <v>11</v>
      </c>
      <c r="D86" s="210">
        <v>14.7</v>
      </c>
      <c r="E86" s="259" t="s">
        <v>325</v>
      </c>
      <c r="F86" s="259"/>
      <c r="G86" s="97">
        <v>80</v>
      </c>
      <c r="H86" s="97">
        <v>40</v>
      </c>
      <c r="I86" s="97">
        <v>24</v>
      </c>
      <c r="J86" s="97">
        <v>20</v>
      </c>
      <c r="K86" s="260">
        <f t="shared" si="1"/>
        <v>120637.15789784805</v>
      </c>
      <c r="L86" s="97"/>
      <c r="M86" s="97"/>
      <c r="N86" s="97"/>
      <c r="O86" s="97"/>
      <c r="P86" s="97"/>
      <c r="Q86" s="97"/>
      <c r="R86" s="97"/>
    </row>
    <row r="87" spans="1:21" x14ac:dyDescent="0.15">
      <c r="A87" s="259">
        <v>3</v>
      </c>
      <c r="B87" s="259" t="s">
        <v>212</v>
      </c>
      <c r="C87" s="97">
        <v>14</v>
      </c>
      <c r="D87" s="210">
        <v>14.9</v>
      </c>
      <c r="E87" s="259" t="s">
        <v>325</v>
      </c>
      <c r="F87" s="259"/>
      <c r="G87" s="97">
        <v>80</v>
      </c>
      <c r="H87" s="97">
        <v>40</v>
      </c>
      <c r="I87" s="97">
        <v>22</v>
      </c>
      <c r="J87" s="97">
        <v>18</v>
      </c>
      <c r="K87" s="260">
        <f t="shared" si="1"/>
        <v>99525.65526572465</v>
      </c>
      <c r="L87" s="97"/>
      <c r="M87" s="97"/>
      <c r="N87" s="97"/>
      <c r="O87" s="97"/>
      <c r="P87" s="97"/>
      <c r="Q87" s="97"/>
      <c r="R87" s="97"/>
    </row>
    <row r="88" spans="1:21" x14ac:dyDescent="0.15">
      <c r="A88" s="259">
        <v>3</v>
      </c>
      <c r="B88" s="259" t="s">
        <v>197</v>
      </c>
      <c r="C88" s="97">
        <v>70</v>
      </c>
      <c r="D88" s="210">
        <v>15</v>
      </c>
      <c r="E88" s="259" t="s">
        <v>102</v>
      </c>
      <c r="F88" s="259"/>
      <c r="G88" s="97">
        <v>80</v>
      </c>
      <c r="H88" s="97">
        <v>60</v>
      </c>
      <c r="I88" s="97">
        <v>23</v>
      </c>
      <c r="J88" s="97">
        <v>18</v>
      </c>
      <c r="K88" s="260">
        <f t="shared" si="1"/>
        <v>156074.32303034092</v>
      </c>
      <c r="L88" s="97"/>
      <c r="M88" s="97"/>
      <c r="N88" s="97"/>
      <c r="O88" s="97"/>
      <c r="P88" s="97"/>
      <c r="Q88" s="97"/>
      <c r="R88" s="97"/>
    </row>
    <row r="89" spans="1:21" x14ac:dyDescent="0.15">
      <c r="A89" s="259">
        <v>3</v>
      </c>
      <c r="B89" s="259" t="s">
        <v>194</v>
      </c>
      <c r="C89" s="97">
        <v>60</v>
      </c>
      <c r="D89" s="210">
        <v>15.1</v>
      </c>
      <c r="E89" s="259" t="s">
        <v>325</v>
      </c>
      <c r="F89" s="259"/>
      <c r="G89" s="97">
        <v>72</v>
      </c>
      <c r="H89" s="97">
        <v>60</v>
      </c>
      <c r="I89" s="97">
        <v>19</v>
      </c>
      <c r="J89" s="97">
        <v>19</v>
      </c>
      <c r="K89" s="260">
        <f t="shared" si="1"/>
        <v>122484.41437815885</v>
      </c>
      <c r="L89" s="97"/>
      <c r="M89" s="97"/>
      <c r="N89" s="97"/>
      <c r="O89" s="97"/>
      <c r="P89" s="97"/>
      <c r="Q89" s="97"/>
      <c r="R89" s="97"/>
    </row>
    <row r="90" spans="1:21" x14ac:dyDescent="0.15">
      <c r="A90" s="259">
        <v>3</v>
      </c>
      <c r="B90" s="259" t="s">
        <v>208</v>
      </c>
      <c r="C90" s="97">
        <v>86</v>
      </c>
      <c r="D90" s="210">
        <v>15.6</v>
      </c>
      <c r="E90" s="259" t="s">
        <v>102</v>
      </c>
      <c r="F90" s="259"/>
      <c r="G90" s="97">
        <v>78</v>
      </c>
      <c r="H90" s="97">
        <v>50</v>
      </c>
      <c r="I90" s="97">
        <v>23</v>
      </c>
      <c r="J90" s="97">
        <v>21</v>
      </c>
      <c r="K90" s="260">
        <f t="shared" si="1"/>
        <v>147945.45203917733</v>
      </c>
      <c r="L90" s="97"/>
      <c r="M90" s="97"/>
      <c r="N90" s="97"/>
      <c r="O90" s="97"/>
      <c r="P90" s="97"/>
      <c r="Q90" s="97"/>
      <c r="R90" s="97"/>
    </row>
    <row r="91" spans="1:21" x14ac:dyDescent="0.15">
      <c r="A91" s="259">
        <v>3</v>
      </c>
      <c r="B91" s="259" t="s">
        <v>210</v>
      </c>
      <c r="C91" s="97">
        <v>17</v>
      </c>
      <c r="D91" s="210">
        <v>16</v>
      </c>
      <c r="E91" s="259" t="s">
        <v>325</v>
      </c>
      <c r="F91" s="259"/>
      <c r="G91" s="97">
        <v>80</v>
      </c>
      <c r="H91" s="97">
        <v>55</v>
      </c>
      <c r="I91" s="97">
        <v>34</v>
      </c>
      <c r="J91" s="97">
        <v>24</v>
      </c>
      <c r="K91" s="260">
        <f t="shared" si="1"/>
        <v>281989.3565862198</v>
      </c>
      <c r="L91" s="97"/>
      <c r="M91" s="97"/>
      <c r="N91" s="97"/>
      <c r="O91" s="97"/>
      <c r="P91" s="97"/>
      <c r="Q91" s="97"/>
      <c r="R91" s="97"/>
    </row>
    <row r="92" spans="1:21" x14ac:dyDescent="0.15">
      <c r="A92" s="259">
        <v>3</v>
      </c>
      <c r="B92" s="259" t="s">
        <v>207</v>
      </c>
      <c r="C92" s="97">
        <v>87</v>
      </c>
      <c r="D92" s="210">
        <v>16.2</v>
      </c>
      <c r="E92" s="259" t="s">
        <v>325</v>
      </c>
      <c r="F92" s="259"/>
      <c r="G92" s="97">
        <v>80</v>
      </c>
      <c r="H92" s="97">
        <v>60</v>
      </c>
      <c r="I92" s="97">
        <v>26</v>
      </c>
      <c r="J92" s="97">
        <v>24</v>
      </c>
      <c r="K92" s="260">
        <f t="shared" si="1"/>
        <v>235242.45790080371</v>
      </c>
      <c r="L92" s="97"/>
      <c r="M92" s="97"/>
      <c r="N92" s="97"/>
      <c r="O92" s="97"/>
      <c r="P92" s="97"/>
      <c r="Q92" s="97"/>
      <c r="R92" s="97"/>
    </row>
    <row r="93" spans="1:21" x14ac:dyDescent="0.15">
      <c r="A93" s="259">
        <v>3</v>
      </c>
      <c r="B93" s="259" t="s">
        <v>205</v>
      </c>
      <c r="C93" s="97">
        <v>89</v>
      </c>
      <c r="D93" s="210">
        <v>17.3</v>
      </c>
      <c r="E93" s="259" t="s">
        <v>102</v>
      </c>
      <c r="F93" s="259"/>
      <c r="G93" s="97">
        <v>85</v>
      </c>
      <c r="H93" s="97">
        <v>65</v>
      </c>
      <c r="I93" s="97">
        <v>29</v>
      </c>
      <c r="J93" s="97">
        <v>20</v>
      </c>
      <c r="K93" s="260">
        <f t="shared" si="1"/>
        <v>251680.84146071228</v>
      </c>
      <c r="L93" s="97"/>
      <c r="M93" s="97"/>
      <c r="N93" s="97"/>
      <c r="O93" s="97"/>
      <c r="P93" s="97"/>
      <c r="Q93" s="97"/>
      <c r="R93" s="97"/>
    </row>
    <row r="94" spans="1:21" x14ac:dyDescent="0.15">
      <c r="A94" s="259">
        <v>3</v>
      </c>
      <c r="B94" s="259" t="s">
        <v>200</v>
      </c>
      <c r="C94" s="97">
        <v>76</v>
      </c>
      <c r="D94" s="210">
        <v>18.100000000000001</v>
      </c>
      <c r="E94" s="259" t="s">
        <v>102</v>
      </c>
      <c r="F94" s="259"/>
      <c r="G94" s="97">
        <v>88</v>
      </c>
      <c r="H94" s="97">
        <v>60</v>
      </c>
      <c r="I94" s="97">
        <v>24</v>
      </c>
      <c r="J94" s="97">
        <v>16</v>
      </c>
      <c r="K94" s="260">
        <f t="shared" si="1"/>
        <v>159241.04842515945</v>
      </c>
      <c r="L94" s="97"/>
      <c r="M94" s="97"/>
      <c r="N94" s="97"/>
      <c r="O94" s="97"/>
      <c r="P94" s="97"/>
      <c r="Q94" s="97"/>
      <c r="R94" s="97"/>
    </row>
    <row r="95" spans="1:21" x14ac:dyDescent="0.15">
      <c r="A95" s="259">
        <v>3</v>
      </c>
      <c r="B95" s="259" t="s">
        <v>203</v>
      </c>
      <c r="C95" s="97">
        <v>90</v>
      </c>
      <c r="D95" s="210">
        <v>18.3</v>
      </c>
      <c r="E95" s="259" t="s">
        <v>102</v>
      </c>
      <c r="F95" s="259"/>
      <c r="G95" s="97">
        <v>80</v>
      </c>
      <c r="H95" s="97">
        <v>50</v>
      </c>
      <c r="I95" s="97">
        <v>30</v>
      </c>
      <c r="J95" s="97">
        <v>20</v>
      </c>
      <c r="K95" s="260">
        <f t="shared" si="1"/>
        <v>188495.55921538759</v>
      </c>
      <c r="L95" s="97"/>
      <c r="M95" s="97"/>
      <c r="N95" s="97"/>
      <c r="O95" s="97"/>
      <c r="P95" s="97"/>
      <c r="Q95" s="97"/>
      <c r="R95" s="97"/>
    </row>
    <row r="96" spans="1:21" x14ac:dyDescent="0.15">
      <c r="A96" s="259">
        <v>3</v>
      </c>
      <c r="B96" s="259" t="s">
        <v>190</v>
      </c>
      <c r="C96" s="97">
        <v>45</v>
      </c>
      <c r="D96" s="210">
        <v>20.6</v>
      </c>
      <c r="E96" s="259" t="s">
        <v>102</v>
      </c>
      <c r="F96" s="259"/>
      <c r="G96" s="97">
        <v>88</v>
      </c>
      <c r="H96" s="97">
        <v>55</v>
      </c>
      <c r="I96" s="97">
        <v>35</v>
      </c>
      <c r="J96" s="97">
        <v>18</v>
      </c>
      <c r="K96" s="260">
        <f t="shared" si="1"/>
        <v>239483.60798314994</v>
      </c>
      <c r="L96" s="97"/>
      <c r="M96" s="97"/>
      <c r="N96" s="97"/>
      <c r="O96" s="97"/>
      <c r="P96" s="97"/>
      <c r="Q96" s="97"/>
      <c r="R96" s="97"/>
    </row>
    <row r="97" spans="1:18" x14ac:dyDescent="0.15">
      <c r="B97" s="259"/>
      <c r="C97" s="97"/>
      <c r="D97" s="97"/>
      <c r="E97" s="259"/>
      <c r="F97" s="259"/>
      <c r="G97" s="97"/>
      <c r="H97" s="97"/>
      <c r="I97" s="97"/>
      <c r="J97" s="97"/>
      <c r="K97" s="260"/>
      <c r="L97" s="97"/>
      <c r="M97" s="97"/>
      <c r="N97" s="97"/>
      <c r="O97" s="97"/>
      <c r="P97" s="97"/>
      <c r="Q97" s="97"/>
      <c r="R97" s="97"/>
    </row>
    <row r="98" spans="1:18" x14ac:dyDescent="0.15">
      <c r="B98" s="259"/>
      <c r="C98" s="97"/>
      <c r="D98" s="97"/>
      <c r="E98" s="259"/>
      <c r="F98" s="259"/>
      <c r="G98" s="97"/>
      <c r="H98" s="97"/>
      <c r="I98" s="97"/>
      <c r="J98" s="97"/>
      <c r="K98" s="260"/>
      <c r="L98" s="97"/>
      <c r="M98" s="97"/>
      <c r="N98" s="97"/>
      <c r="O98" s="97"/>
      <c r="P98" s="97"/>
      <c r="Q98" s="97"/>
      <c r="R98" s="97"/>
    </row>
    <row r="99" spans="1:18" x14ac:dyDescent="0.15">
      <c r="A99" s="261"/>
      <c r="B99" s="163" t="s">
        <v>331</v>
      </c>
      <c r="C99" s="1"/>
      <c r="D99" s="261">
        <f>MAX(D4:D96)</f>
        <v>20.6</v>
      </c>
      <c r="E99" s="259"/>
      <c r="F99" s="259"/>
      <c r="G99" s="261">
        <f>MAX(G4:G96)</f>
        <v>96</v>
      </c>
      <c r="H99" s="261">
        <f>MAX(H4:H96)</f>
        <v>75</v>
      </c>
      <c r="I99" s="261">
        <f>MAX(I4:I96)</f>
        <v>40</v>
      </c>
      <c r="J99" s="261">
        <f>MAX(J4:J96)</f>
        <v>38</v>
      </c>
      <c r="K99" s="262">
        <f>MAX(K4:K96)</f>
        <v>405893.77084380126</v>
      </c>
      <c r="L99" s="97"/>
      <c r="M99" s="97"/>
      <c r="N99" s="97"/>
      <c r="O99" s="97"/>
      <c r="P99" s="97"/>
      <c r="Q99" s="97"/>
      <c r="R99" s="97"/>
    </row>
    <row r="100" spans="1:18" x14ac:dyDescent="0.15">
      <c r="A100" s="261"/>
      <c r="B100" s="163" t="s">
        <v>332</v>
      </c>
      <c r="C100" s="1"/>
      <c r="D100" s="261">
        <f>MIN(D4:D96)</f>
        <v>10.1</v>
      </c>
      <c r="E100" s="259"/>
      <c r="F100" s="259"/>
      <c r="G100" s="261">
        <f>MIN(G4:G96)</f>
        <v>64</v>
      </c>
      <c r="H100" s="261">
        <f>MIN(H4:H96)</f>
        <v>30</v>
      </c>
      <c r="I100" s="261">
        <f>MIN(I4:I96)</f>
        <v>15</v>
      </c>
      <c r="J100" s="261">
        <f>MIN(J4:J96)</f>
        <v>7</v>
      </c>
      <c r="K100" s="262">
        <f>MIN(K4:K96)</f>
        <v>37322.120724646746</v>
      </c>
      <c r="L100" s="97"/>
      <c r="M100" s="97"/>
      <c r="N100" s="97"/>
      <c r="O100" s="97"/>
      <c r="P100" s="97"/>
      <c r="Q100" s="97"/>
      <c r="R100" s="97"/>
    </row>
    <row r="101" spans="1:18" x14ac:dyDescent="0.15">
      <c r="A101" s="261"/>
      <c r="B101" s="163" t="s">
        <v>333</v>
      </c>
      <c r="C101" s="1"/>
      <c r="D101" s="261">
        <f>AVERAGE(D4:D96)</f>
        <v>14.166666666666661</v>
      </c>
      <c r="E101" s="259"/>
      <c r="F101" s="259"/>
      <c r="G101" s="261">
        <f>AVERAGE(G4:G96)</f>
        <v>77.5</v>
      </c>
      <c r="H101" s="261">
        <f>AVERAGE(H4:H96)</f>
        <v>48.5</v>
      </c>
      <c r="I101" s="261">
        <f>AVERAGE(I4:I96)</f>
        <v>24.488888888888887</v>
      </c>
      <c r="J101" s="261">
        <f>AVERAGE(J4:J96)</f>
        <v>18.355555555555554</v>
      </c>
      <c r="K101" s="262">
        <f>AVERAGE(K4:K96)</f>
        <v>136847.56218753796</v>
      </c>
      <c r="L101" s="97"/>
      <c r="M101" s="97"/>
      <c r="N101" s="97"/>
      <c r="O101" s="97"/>
      <c r="P101" s="97"/>
      <c r="Q101" s="97"/>
      <c r="R101" s="97"/>
    </row>
    <row r="102" spans="1:18" ht="15" thickBot="1" x14ac:dyDescent="0.2"/>
    <row r="103" spans="1:18" x14ac:dyDescent="0.15">
      <c r="A103" s="16" t="s">
        <v>334</v>
      </c>
      <c r="B103" s="164" t="s">
        <v>335</v>
      </c>
      <c r="C103" s="17" t="s">
        <v>75</v>
      </c>
      <c r="D103" s="14" t="s">
        <v>336</v>
      </c>
      <c r="E103" s="14" t="s">
        <v>337</v>
      </c>
      <c r="F103" s="14" t="s">
        <v>338</v>
      </c>
      <c r="G103" s="14" t="s">
        <v>333</v>
      </c>
      <c r="H103" s="14" t="s">
        <v>333</v>
      </c>
      <c r="I103" s="14" t="s">
        <v>333</v>
      </c>
      <c r="J103" s="14" t="s">
        <v>333</v>
      </c>
      <c r="K103" s="15" t="s">
        <v>333</v>
      </c>
    </row>
    <row r="104" spans="1:18" x14ac:dyDescent="0.15">
      <c r="A104" s="13">
        <f>COUNT(A4:A34)</f>
        <v>30</v>
      </c>
      <c r="B104" s="6">
        <v>1</v>
      </c>
      <c r="C104" s="107" t="s">
        <v>339</v>
      </c>
      <c r="D104" s="108">
        <f>AVERAGE(D4:D34)</f>
        <v>14.136666666666667</v>
      </c>
      <c r="E104" s="102">
        <f>MAX(D4:D34)</f>
        <v>19.2</v>
      </c>
      <c r="F104" s="102">
        <f>MIN(D4:D34)</f>
        <v>10.1</v>
      </c>
      <c r="G104" s="5">
        <f>AVERAGE(G4:G34)</f>
        <v>78.566666666666663</v>
      </c>
      <c r="H104" s="5">
        <f>AVERAGE(H4:H34)</f>
        <v>46.666666666666664</v>
      </c>
      <c r="I104" s="5">
        <f>AVERAGE(I4:I34)</f>
        <v>25.166666666666668</v>
      </c>
      <c r="J104" s="5">
        <f>AVERAGE(J4:J34)</f>
        <v>18.133333333333333</v>
      </c>
      <c r="K104" s="12">
        <f>AVERAGE(K4:K34)</f>
        <v>135340.06022606665</v>
      </c>
    </row>
    <row r="105" spans="1:18" x14ac:dyDescent="0.15">
      <c r="A105" s="13">
        <f>COUNT(A35:A65)</f>
        <v>31</v>
      </c>
      <c r="B105" s="6">
        <v>2</v>
      </c>
      <c r="C105" s="106" t="s">
        <v>340</v>
      </c>
      <c r="D105" s="108">
        <f>AVERAGE(D35:D65)</f>
        <v>14.138709677419357</v>
      </c>
      <c r="E105" s="102">
        <f>MAX(D35:D65)</f>
        <v>19.399999999999999</v>
      </c>
      <c r="F105" s="102">
        <f>MIN(D35:D65)</f>
        <v>10.5</v>
      </c>
      <c r="G105" s="5">
        <f>AVERAGE(G35:G65)</f>
        <v>76.806451612903231</v>
      </c>
      <c r="H105" s="5">
        <f>AVERAGE(H35:H65)</f>
        <v>47.58064516129032</v>
      </c>
      <c r="I105" s="5">
        <f>AVERAGE(I35:I65)</f>
        <v>24.29032258064516</v>
      </c>
      <c r="J105" s="5">
        <f>AVERAGE(J35:J65)</f>
        <v>19.096774193548388</v>
      </c>
      <c r="K105" s="12">
        <f>AVERAGE(K35:K65)</f>
        <v>138855.35503771377</v>
      </c>
    </row>
    <row r="106" spans="1:18" x14ac:dyDescent="0.15">
      <c r="A106" s="13">
        <f>COUNT(A66:A96)</f>
        <v>29</v>
      </c>
      <c r="B106" s="6">
        <v>3</v>
      </c>
      <c r="C106" s="263" t="s">
        <v>341</v>
      </c>
      <c r="D106" s="108">
        <f>AVERAGE(D66:D96)</f>
        <v>14.227586206896552</v>
      </c>
      <c r="E106" s="102">
        <f>MAX(D66:D96)</f>
        <v>20.6</v>
      </c>
      <c r="F106" s="102">
        <f>MIN(D66:D96)</f>
        <v>10.5</v>
      </c>
      <c r="G106" s="5">
        <f>AVERAGE(G66:G96)</f>
        <v>77.137931034482762</v>
      </c>
      <c r="H106" s="5">
        <f>AVERAGE(H66:H96)</f>
        <v>51.379310344827587</v>
      </c>
      <c r="I106" s="5">
        <f>AVERAGE(I66:I96)</f>
        <v>24</v>
      </c>
      <c r="J106" s="5">
        <f>AVERAGE(J66:J96)</f>
        <v>17.793103448275861</v>
      </c>
      <c r="K106" s="12">
        <f>AVERAGE(K66:K96)</f>
        <v>136260.78565266533</v>
      </c>
    </row>
    <row r="107" spans="1:18" ht="5.5" customHeight="1" x14ac:dyDescent="0.15">
      <c r="B107" s="6"/>
      <c r="K107" s="7"/>
    </row>
    <row r="108" spans="1:18" ht="15" thickBot="1" x14ac:dyDescent="0.2">
      <c r="B108" s="165" t="s">
        <v>342</v>
      </c>
      <c r="C108" s="18"/>
      <c r="D108" s="8">
        <f>((MAX(D104:D106)-MIN(D104:D106))/MIN(D104:D106))*100</f>
        <v>0.643146948101051</v>
      </c>
      <c r="E108" s="9"/>
      <c r="F108" s="9"/>
      <c r="G108" s="10">
        <f>((MAX(G104:G106)-MIN(G104:G106))/MIN(G104:G106))*100</f>
        <v>2.2917541649166893</v>
      </c>
      <c r="H108" s="10">
        <f>((MAX(H104:H106)-MIN(H104:H106))/MIN(H104:H106))*100</f>
        <v>10.098522167487692</v>
      </c>
      <c r="I108" s="10">
        <f>((MAX(I104:I106)-MIN(I104:I106))/MIN(I104:I106))*100</f>
        <v>4.861111111111116</v>
      </c>
      <c r="J108" s="10">
        <f>((MAX(J104:J106)-MIN(J104:J106))/MIN(J104:J106))*100</f>
        <v>7.3268317079269911</v>
      </c>
      <c r="K108" s="11">
        <f>((MAX(K104:K106)-MIN(K104:K106))/MIN(K104:K106))*100</f>
        <v>2.5973793759034205</v>
      </c>
    </row>
  </sheetData>
  <sortState xmlns:xlrd2="http://schemas.microsoft.com/office/spreadsheetml/2017/richdata2" ref="B4:T96">
    <sortCondition ref="T4:T96"/>
  </sortState>
  <mergeCells count="2">
    <mergeCell ref="B1:D2"/>
    <mergeCell ref="O2:R2"/>
  </mergeCells>
  <pageMargins left="0.7" right="0.7" top="0.75" bottom="0.75" header="0.3" footer="0.3"/>
  <pageSetup orientation="portrait" horizontalDpi="1200" verticalDpi="1200" r:id="rId1"/>
  <customProperties>
    <customPr name="SSCSheetTrackingNo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295BB765B18F4F8E2FA0E76A0678D9" ma:contentTypeVersion="12" ma:contentTypeDescription="Create a new document." ma:contentTypeScope="" ma:versionID="71a5333348e70b81a4b2bd362ea33512">
  <xsd:schema xmlns:xsd="http://www.w3.org/2001/XMLSchema" xmlns:xs="http://www.w3.org/2001/XMLSchema" xmlns:p="http://schemas.microsoft.com/office/2006/metadata/properties" xmlns:ns2="6d8f4645-1ce1-4e57-9c79-d5a655a4a1df" xmlns:ns3="43af839e-4965-4e5d-91c7-20c8e24ede04" targetNamespace="http://schemas.microsoft.com/office/2006/metadata/properties" ma:root="true" ma:fieldsID="e5cd9eac90a48616890fd7537f83ac51" ns2:_="" ns3:_="">
    <xsd:import namespace="6d8f4645-1ce1-4e57-9c79-d5a655a4a1df"/>
    <xsd:import namespace="43af839e-4965-4e5d-91c7-20c8e24ed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f4645-1ce1-4e57-9c79-d5a655a4a1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f839e-4965-4e5d-91c7-20c8e24ede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c8f86f-80e2-42d1-92c3-8730e4a3d0b4}" ma:internalName="TaxCatchAll" ma:showField="CatchAllData" ma:web="43af839e-4965-4e5d-91c7-20c8e24ed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8f4645-1ce1-4e57-9c79-d5a655a4a1df">
      <Terms xmlns="http://schemas.microsoft.com/office/infopath/2007/PartnerControls"/>
    </lcf76f155ced4ddcb4097134ff3c332f>
    <TaxCatchAll xmlns="43af839e-4965-4e5d-91c7-20c8e24ede04" xsi:nil="true"/>
  </documentManagement>
</p:properties>
</file>

<file path=customXml/itemProps1.xml><?xml version="1.0" encoding="utf-8"?>
<ds:datastoreItem xmlns:ds="http://schemas.openxmlformats.org/officeDocument/2006/customXml" ds:itemID="{8513CB74-36BC-422C-87DD-33A0CAB0A0FA}"/>
</file>

<file path=customXml/itemProps2.xml><?xml version="1.0" encoding="utf-8"?>
<ds:datastoreItem xmlns:ds="http://schemas.openxmlformats.org/officeDocument/2006/customXml" ds:itemID="{7DE91B78-3643-4D14-8398-9219372DD1F8}"/>
</file>

<file path=customXml/itemProps3.xml><?xml version="1.0" encoding="utf-8"?>
<ds:datastoreItem xmlns:ds="http://schemas.openxmlformats.org/officeDocument/2006/customXml" ds:itemID="{1D0C313F-D59E-4256-9294-076C6B69B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Tree Growth and Yield</vt:lpstr>
      <vt:lpstr>Tapping</vt:lpstr>
      <vt:lpstr>Stats</vt:lpstr>
      <vt:lpstr>Charts</vt:lpstr>
      <vt:lpstr>Orig Tree Assignments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>Hannah Mcnulty</cp:lastModifiedBy>
  <cp:revision/>
  <dcterms:created xsi:type="dcterms:W3CDTF">2013-08-16T13:34:00Z</dcterms:created>
  <dcterms:modified xsi:type="dcterms:W3CDTF">2026-04-29T12:28:59Z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0x01010049295BB765B18F4F8E2FA0E76A0678D9</vt:lpwstr>
  </property>
</Properties>
</file>