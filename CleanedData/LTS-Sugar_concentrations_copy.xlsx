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166925"/>
  <mc:AlternateContent xmlns:mc="http://schemas.openxmlformats.org/markup-compatibility/2006">
    <mc:Choice Requires="x15">
      <x15ac:absPath xmlns:x15ac="http://schemas.microsoft.com/office/spreadsheetml/2010/11/ac" url="https://uvmoffice.sharepoint.com/sites/PMRCResearchStudents/Shared Documents/Data/Long-Term Study/LTS_sugaring/"/>
    </mc:Choice>
  </mc:AlternateContent>
  <xr:revisionPtr revIDLastSave="187" documentId="13_ncr:1_{FFA61B7A-4960-314B-A117-2113CD0C3D69}" xr6:coauthVersionLast="47" xr6:coauthVersionMax="47" xr10:uidLastSave="{DD254424-1C4D-7146-BB0C-E13E62F13438}"/>
  <bookViews>
    <workbookView xWindow="9020" yWindow="2520" windowWidth="23600" windowHeight="17740" activeTab="2" xr2:uid="{2E9F77E9-53DB-4DB4-B849-9ED7D9DC6385}"/>
  </bookViews>
  <sheets>
    <sheet name="Template" sheetId="2" r:id="rId1"/>
    <sheet name="2026-04-10" sheetId="21" r:id="rId2"/>
    <sheet name="2026-04-08" sheetId="20" r:id="rId3"/>
    <sheet name="2026-03-30" sheetId="19" r:id="rId4"/>
    <sheet name="2026-03-26" sheetId="18" r:id="rId5"/>
    <sheet name="2026-03-06" sheetId="17" r:id="rId6"/>
    <sheet name="2026 Tapping" sheetId="15" r:id="rId7"/>
    <sheet name="2025 Tapping" sheetId="4" r:id="rId8"/>
    <sheet name="2025-04-17" sheetId="8" r:id="rId9"/>
    <sheet name="2025-04-10" sheetId="7" r:id="rId10"/>
    <sheet name="2025-04-03" sheetId="6" r:id="rId11"/>
    <sheet name="2025-03-26" sheetId="5" r:id="rId12"/>
    <sheet name="2025-03-19" sheetId="3" r:id="rId13"/>
    <sheet name="2025-03-12" sheetId="14" r:id="rId14"/>
    <sheet name="2025-03-05" sheetId="1" r:id="rId15"/>
    <sheet name="2024-04-02" sheetId="13" r:id="rId16"/>
    <sheet name="2024-03-30" sheetId="12" r:id="rId17"/>
    <sheet name="2024-03-26" sheetId="11" r:id="rId18"/>
    <sheet name="2024-03-05" sheetId="10" r:id="rId19"/>
    <sheet name="2024-02-27" sheetId="9" r:id="rId20"/>
  </sheets>
  <definedNames>
    <definedName name="_xlnm.Print_Area" localSheetId="6">'2026 Tapping'!#REF!</definedName>
    <definedName name="_xlnm.Print_Area" localSheetId="4">'2026-03-26'!#REF!</definedName>
    <definedName name="_xlnm.Print_Area" localSheetId="3">'2026-03-30'!#REF!</definedName>
    <definedName name="_xlnm.Print_Area" localSheetId="2">'2026-04-08'!#REF!</definedName>
    <definedName name="_xlnm.Print_Area" localSheetId="0">Template!$AK$68:$AO$68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2" i="17" l="1"/>
  <c r="G101" i="17"/>
  <c r="G100" i="17"/>
  <c r="G99" i="17"/>
  <c r="G98" i="17"/>
  <c r="G97" i="17"/>
  <c r="G96" i="17"/>
  <c r="G95" i="17"/>
  <c r="G94" i="17"/>
  <c r="G93" i="17"/>
  <c r="G92" i="17"/>
  <c r="G91" i="17"/>
  <c r="G90" i="17"/>
  <c r="G89" i="17"/>
  <c r="G88" i="17"/>
  <c r="G87" i="17"/>
  <c r="G85" i="17"/>
  <c r="G84" i="17"/>
  <c r="G83" i="17"/>
  <c r="G82" i="17"/>
  <c r="G81" i="17"/>
  <c r="G80" i="17"/>
  <c r="G79" i="17"/>
  <c r="G78" i="17"/>
  <c r="G77" i="17"/>
  <c r="G76" i="17"/>
  <c r="G75" i="17"/>
  <c r="G74" i="17"/>
  <c r="G73" i="17"/>
  <c r="G72" i="17"/>
  <c r="G71" i="17"/>
  <c r="G70" i="17"/>
  <c r="G69" i="17"/>
  <c r="G67" i="17"/>
  <c r="G66" i="17"/>
  <c r="G65" i="17"/>
  <c r="G64" i="17"/>
  <c r="G63" i="17"/>
  <c r="G62" i="17"/>
  <c r="G61" i="17"/>
  <c r="G60" i="17"/>
  <c r="G59" i="17"/>
  <c r="G58" i="17"/>
  <c r="G57" i="17"/>
  <c r="G56" i="17"/>
  <c r="G55" i="17"/>
  <c r="G54" i="17"/>
  <c r="G53" i="17"/>
  <c r="G52" i="17"/>
  <c r="G51" i="17"/>
  <c r="G49" i="17"/>
  <c r="G48" i="17"/>
  <c r="G47" i="17"/>
  <c r="G46" i="17"/>
  <c r="G45" i="17"/>
  <c r="G44" i="17"/>
  <c r="G43"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4" i="17"/>
  <c r="G13" i="17"/>
  <c r="G12" i="17"/>
  <c r="G11" i="17"/>
  <c r="G10" i="17"/>
  <c r="G9" i="17"/>
  <c r="G10" i="21"/>
  <c r="G11" i="21"/>
  <c r="G12" i="21"/>
  <c r="G13" i="21"/>
  <c r="G14" i="21"/>
  <c r="G15" i="21"/>
  <c r="G16" i="21"/>
  <c r="G17" i="21"/>
  <c r="G18" i="21"/>
  <c r="G19" i="21"/>
  <c r="G20" i="21"/>
  <c r="G21" i="21"/>
  <c r="G22" i="21"/>
  <c r="G23" i="21"/>
  <c r="G24" i="21"/>
  <c r="G25" i="21"/>
  <c r="G26" i="21"/>
  <c r="G27" i="21"/>
  <c r="G28" i="21"/>
  <c r="G29" i="21"/>
  <c r="G30" i="21"/>
  <c r="G31" i="21"/>
  <c r="G32" i="21"/>
  <c r="G33" i="21"/>
  <c r="G35" i="21"/>
  <c r="G36" i="21"/>
  <c r="G37" i="21"/>
  <c r="G38" i="21"/>
  <c r="G39" i="21"/>
  <c r="G40" i="21"/>
  <c r="G41" i="21"/>
  <c r="G42" i="21"/>
  <c r="G43" i="21"/>
  <c r="G44" i="21"/>
  <c r="G45" i="21"/>
  <c r="G46" i="21"/>
  <c r="G47" i="21"/>
  <c r="G48" i="21"/>
  <c r="G49" i="21"/>
  <c r="G50" i="21"/>
  <c r="G51" i="21"/>
  <c r="G52" i="21"/>
  <c r="G53" i="21"/>
  <c r="G54" i="21"/>
  <c r="G55" i="21"/>
  <c r="G56" i="21"/>
  <c r="G57" i="21"/>
  <c r="G58" i="21"/>
  <c r="G59" i="21"/>
  <c r="G60" i="21"/>
  <c r="G61" i="21"/>
  <c r="G62" i="21"/>
  <c r="G63" i="21"/>
  <c r="G64" i="21"/>
  <c r="G65" i="21"/>
  <c r="G66" i="21"/>
  <c r="G67" i="21"/>
  <c r="G68" i="21"/>
  <c r="G101" i="21"/>
  <c r="G9" i="21"/>
  <c r="G9" i="20"/>
  <c r="G10" i="20"/>
  <c r="G11" i="20"/>
  <c r="G12" i="20"/>
  <c r="G13" i="20"/>
  <c r="G14" i="20"/>
  <c r="G15" i="20"/>
  <c r="G16" i="20"/>
  <c r="G17" i="20"/>
  <c r="G18" i="20"/>
  <c r="G19" i="20"/>
  <c r="G20" i="20"/>
  <c r="G21" i="20"/>
  <c r="G22" i="20"/>
  <c r="G23" i="20"/>
  <c r="G24" i="20"/>
  <c r="G25" i="20"/>
  <c r="G26" i="20"/>
  <c r="G27" i="20"/>
  <c r="G28" i="20"/>
  <c r="G29" i="20"/>
  <c r="G30" i="20"/>
  <c r="G31" i="20"/>
  <c r="G32" i="20"/>
  <c r="G33" i="20"/>
  <c r="G34" i="20"/>
  <c r="G35" i="20"/>
  <c r="G36" i="20"/>
  <c r="G37" i="20"/>
  <c r="G38" i="20"/>
  <c r="G39" i="20"/>
  <c r="G40" i="20"/>
  <c r="G41" i="20"/>
  <c r="G42" i="20"/>
  <c r="G43" i="20"/>
  <c r="G44" i="20"/>
  <c r="G45" i="20"/>
  <c r="G46" i="20"/>
  <c r="G47" i="20"/>
  <c r="G48" i="20"/>
  <c r="G49" i="20"/>
  <c r="G50" i="20"/>
  <c r="G51" i="20"/>
  <c r="G52" i="20"/>
  <c r="G53" i="20"/>
  <c r="G54" i="20"/>
  <c r="G55" i="20"/>
  <c r="G56" i="20"/>
  <c r="G57" i="20"/>
  <c r="G58" i="20"/>
  <c r="G59" i="20"/>
  <c r="G60" i="20"/>
  <c r="G61" i="20"/>
  <c r="G62" i="20"/>
  <c r="G63" i="20"/>
  <c r="G64" i="20"/>
  <c r="G65" i="20"/>
  <c r="G66" i="20"/>
  <c r="G67" i="20"/>
  <c r="G68" i="20"/>
  <c r="G69" i="20"/>
  <c r="G70" i="20"/>
  <c r="G71" i="20"/>
  <c r="G72" i="20"/>
  <c r="G73" i="20"/>
  <c r="G74" i="20"/>
  <c r="G75" i="20"/>
  <c r="G76" i="20"/>
  <c r="G77" i="20"/>
  <c r="G78" i="20"/>
  <c r="G79" i="20"/>
  <c r="G80" i="20"/>
  <c r="G81" i="20"/>
  <c r="G82" i="20"/>
  <c r="G83" i="20"/>
  <c r="G84" i="20"/>
  <c r="G85" i="20"/>
  <c r="G87" i="20"/>
  <c r="G88" i="20"/>
  <c r="G89" i="20"/>
  <c r="G90" i="20"/>
  <c r="G91" i="20"/>
  <c r="G92" i="20"/>
  <c r="G93" i="20"/>
  <c r="G94" i="20"/>
  <c r="G95" i="20"/>
  <c r="G96" i="20"/>
  <c r="G97" i="20"/>
  <c r="G98" i="20"/>
  <c r="G99" i="20"/>
  <c r="G100" i="20"/>
  <c r="G101" i="20"/>
  <c r="G102" i="20"/>
  <c r="G102" i="19"/>
  <c r="G101" i="19"/>
  <c r="G100" i="19"/>
  <c r="G99" i="19"/>
  <c r="G98" i="19"/>
  <c r="G97" i="19"/>
  <c r="G96" i="19"/>
  <c r="G95" i="19"/>
  <c r="G94" i="19"/>
  <c r="G93" i="19"/>
  <c r="G92" i="19"/>
  <c r="G91" i="19"/>
  <c r="G90" i="19"/>
  <c r="G89" i="19"/>
  <c r="G88" i="19"/>
  <c r="G87" i="19"/>
  <c r="G85" i="19"/>
  <c r="G84" i="19"/>
  <c r="G83" i="19"/>
  <c r="G82" i="19"/>
  <c r="G81" i="19"/>
  <c r="G80" i="19"/>
  <c r="G79" i="19"/>
  <c r="G78" i="19"/>
  <c r="G77" i="19"/>
  <c r="G76" i="19"/>
  <c r="G75" i="19"/>
  <c r="G74" i="19"/>
  <c r="G73" i="19"/>
  <c r="G72" i="19"/>
  <c r="G71" i="19"/>
  <c r="G70" i="19"/>
  <c r="G69" i="19"/>
  <c r="G68" i="19"/>
  <c r="G67" i="19"/>
  <c r="G66" i="19"/>
  <c r="G65" i="19"/>
  <c r="G64" i="19"/>
  <c r="G63" i="19"/>
  <c r="G62" i="19"/>
  <c r="G61" i="19"/>
  <c r="G60" i="19"/>
  <c r="G59" i="19"/>
  <c r="G58" i="19"/>
  <c r="G57" i="19"/>
  <c r="G56" i="19"/>
  <c r="G55" i="19"/>
  <c r="G54" i="19"/>
  <c r="G53" i="19"/>
  <c r="G52" i="19"/>
  <c r="G51" i="19"/>
  <c r="G50" i="19"/>
  <c r="G49" i="19"/>
  <c r="G48" i="19"/>
  <c r="G47" i="19"/>
  <c r="G46" i="19"/>
  <c r="G45" i="19"/>
  <c r="G44" i="19"/>
  <c r="G43" i="19"/>
  <c r="G42" i="19"/>
  <c r="G41" i="19"/>
  <c r="G40" i="19"/>
  <c r="G39" i="19"/>
  <c r="G38" i="19"/>
  <c r="G37" i="19"/>
  <c r="G36" i="19"/>
  <c r="G35" i="19"/>
  <c r="G34" i="19"/>
  <c r="G33" i="19"/>
  <c r="G32" i="19"/>
  <c r="G31" i="19"/>
  <c r="G30" i="19"/>
  <c r="G29" i="19"/>
  <c r="G28" i="19"/>
  <c r="G27" i="19"/>
  <c r="G26" i="19"/>
  <c r="G25" i="19"/>
  <c r="G24" i="19"/>
  <c r="G23" i="19"/>
  <c r="G22" i="19"/>
  <c r="G21" i="19"/>
  <c r="G20" i="19"/>
  <c r="G19" i="19"/>
  <c r="G18" i="19"/>
  <c r="G17" i="19"/>
  <c r="G16" i="19"/>
  <c r="G15" i="19"/>
  <c r="G14" i="19"/>
  <c r="G13" i="19"/>
  <c r="G12" i="19"/>
  <c r="G11" i="19"/>
  <c r="G10" i="19"/>
  <c r="G9" i="19"/>
  <c r="G102" i="18"/>
  <c r="G101" i="18"/>
  <c r="G100" i="18"/>
  <c r="G99" i="18"/>
  <c r="G98" i="18"/>
  <c r="G97" i="18"/>
  <c r="G96" i="18"/>
  <c r="G95" i="18"/>
  <c r="G94" i="18"/>
  <c r="G93" i="18"/>
  <c r="G92" i="18"/>
  <c r="G91" i="18"/>
  <c r="G90" i="18"/>
  <c r="G89" i="18"/>
  <c r="G88" i="18"/>
  <c r="G87" i="18"/>
  <c r="G85" i="18"/>
  <c r="G84" i="18"/>
  <c r="G83" i="18"/>
  <c r="G82" i="18"/>
  <c r="G81" i="18"/>
  <c r="G80" i="18"/>
  <c r="G79" i="18"/>
  <c r="G78" i="18"/>
  <c r="G77" i="18"/>
  <c r="G76" i="18"/>
  <c r="G75" i="18"/>
  <c r="G74" i="18"/>
  <c r="G73" i="18"/>
  <c r="G72" i="18"/>
  <c r="G71" i="18"/>
  <c r="G70" i="18"/>
  <c r="G69" i="18"/>
  <c r="G68" i="18"/>
  <c r="G67" i="18"/>
  <c r="G66" i="18"/>
  <c r="G65" i="18"/>
  <c r="G64" i="18"/>
  <c r="G63" i="18"/>
  <c r="G62" i="18"/>
  <c r="G61" i="18"/>
  <c r="G60" i="18"/>
  <c r="G59" i="18"/>
  <c r="G58" i="18"/>
  <c r="G57" i="18"/>
  <c r="G56" i="18"/>
  <c r="G55" i="18"/>
  <c r="G54" i="18"/>
  <c r="G53" i="18"/>
  <c r="G52" i="18"/>
  <c r="G51" i="18"/>
  <c r="G50" i="18"/>
  <c r="G49" i="18"/>
  <c r="G48" i="18"/>
  <c r="G47" i="18"/>
  <c r="G46" i="18"/>
  <c r="G45" i="18"/>
  <c r="G44" i="18"/>
  <c r="G43" i="18"/>
  <c r="G42" i="18"/>
  <c r="G41" i="18"/>
  <c r="G40" i="18"/>
  <c r="G39" i="18"/>
  <c r="G38" i="18"/>
  <c r="G37" i="18"/>
  <c r="G36" i="18"/>
  <c r="G35" i="18"/>
  <c r="G34" i="18"/>
  <c r="G33" i="18"/>
  <c r="G32" i="18"/>
  <c r="G31" i="18"/>
  <c r="G30" i="18"/>
  <c r="G29" i="18"/>
  <c r="G28" i="18"/>
  <c r="G27" i="18"/>
  <c r="G26" i="18"/>
  <c r="G25" i="18"/>
  <c r="G24" i="18"/>
  <c r="G23" i="18"/>
  <c r="G22" i="18"/>
  <c r="G21" i="18"/>
  <c r="G20" i="18"/>
  <c r="G19" i="18"/>
  <c r="G18" i="18"/>
  <c r="G17" i="18"/>
  <c r="G16" i="18"/>
  <c r="G15" i="18"/>
  <c r="G14" i="18"/>
  <c r="G13" i="18"/>
  <c r="G12" i="18"/>
  <c r="G11" i="18"/>
  <c r="G10" i="18"/>
  <c r="G9" i="18"/>
  <c r="G101" i="14"/>
  <c r="G95" i="14"/>
  <c r="G89" i="14"/>
  <c r="G82" i="14"/>
  <c r="G22" i="14"/>
  <c r="G10" i="14"/>
  <c r="G71" i="14"/>
  <c r="G47" i="14"/>
  <c r="G29" i="14"/>
  <c r="G11" i="14"/>
  <c r="G70" i="14"/>
  <c r="G58" i="14"/>
  <c r="G46" i="14"/>
  <c r="G83" i="14"/>
  <c r="G23" i="14"/>
  <c r="G77" i="14"/>
  <c r="G59" i="14"/>
  <c r="G41" i="14"/>
  <c r="G57" i="14"/>
  <c r="G9" i="14"/>
  <c r="G97" i="14"/>
  <c r="G94" i="14"/>
  <c r="G81" i="14"/>
  <c r="G69" i="14"/>
  <c r="G45" i="14"/>
  <c r="G33" i="14"/>
  <c r="G44" i="1"/>
  <c r="G66" i="1"/>
  <c r="G54" i="1"/>
  <c r="G63" i="1"/>
  <c r="G62" i="1"/>
  <c r="G60" i="1"/>
  <c r="G48" i="1"/>
  <c r="G59" i="1"/>
  <c r="G68" i="1"/>
  <c r="G55" i="1"/>
  <c r="G58" i="1"/>
  <c r="G67" i="1"/>
  <c r="G64" i="1"/>
  <c r="G40" i="1"/>
  <c r="G49" i="3"/>
  <c r="G50" i="3"/>
  <c r="G41" i="3"/>
  <c r="G42" i="3"/>
  <c r="G43" i="3"/>
  <c r="G44" i="3"/>
  <c r="G46" i="3"/>
  <c r="G51" i="3"/>
  <c r="G52" i="3"/>
  <c r="G53" i="3"/>
  <c r="G54" i="3"/>
  <c r="G55" i="3"/>
  <c r="G56" i="3"/>
  <c r="G57" i="3"/>
  <c r="G58" i="3"/>
  <c r="G61" i="3"/>
  <c r="G62" i="3"/>
  <c r="G63" i="3"/>
  <c r="G64" i="3"/>
  <c r="G65" i="3"/>
  <c r="G66" i="3"/>
  <c r="G67" i="3"/>
  <c r="G68" i="3"/>
  <c r="G40" i="3"/>
  <c r="G102" i="14"/>
  <c r="G100" i="14"/>
  <c r="G99" i="14"/>
  <c r="G98" i="14"/>
  <c r="G96" i="14"/>
  <c r="G93" i="14"/>
  <c r="G92" i="14"/>
  <c r="G91" i="14"/>
  <c r="G90" i="14"/>
  <c r="G88" i="14"/>
  <c r="G87" i="14"/>
  <c r="G86" i="14"/>
  <c r="G85" i="14"/>
  <c r="G84" i="14"/>
  <c r="G80" i="14"/>
  <c r="G79" i="14"/>
  <c r="G78" i="14"/>
  <c r="G76" i="14"/>
  <c r="G75" i="14"/>
  <c r="G74" i="14"/>
  <c r="G73" i="14"/>
  <c r="G72" i="14"/>
  <c r="G68" i="14"/>
  <c r="G67" i="14"/>
  <c r="G66" i="14"/>
  <c r="G65" i="14"/>
  <c r="G64" i="14"/>
  <c r="G63" i="14"/>
  <c r="G62" i="14"/>
  <c r="G61" i="14"/>
  <c r="G60" i="14"/>
  <c r="G56" i="14"/>
  <c r="G55" i="14"/>
  <c r="G54" i="14"/>
  <c r="G53" i="14"/>
  <c r="G52" i="14"/>
  <c r="G51" i="14"/>
  <c r="G50" i="14"/>
  <c r="G49" i="14"/>
  <c r="G48" i="14"/>
  <c r="G44" i="14"/>
  <c r="G43" i="14"/>
  <c r="G42" i="14"/>
  <c r="G40" i="14"/>
  <c r="G39" i="14"/>
  <c r="G38" i="14"/>
  <c r="G37" i="14"/>
  <c r="G36" i="14"/>
  <c r="G35" i="14"/>
  <c r="G34" i="14"/>
  <c r="G32" i="14"/>
  <c r="G31" i="14"/>
  <c r="G30" i="14"/>
  <c r="G28" i="14"/>
  <c r="G27" i="14"/>
  <c r="G26" i="14"/>
  <c r="G25" i="14"/>
  <c r="G24" i="14"/>
  <c r="G21" i="14"/>
  <c r="G20" i="14"/>
  <c r="G19" i="14"/>
  <c r="G18" i="14"/>
  <c r="G17" i="14"/>
  <c r="G16" i="14"/>
  <c r="G15" i="14"/>
  <c r="G14" i="14"/>
  <c r="G13" i="14"/>
  <c r="G12" i="14"/>
  <c r="G102" i="9"/>
  <c r="G101" i="9"/>
  <c r="G100" i="9"/>
  <c r="G99" i="9"/>
  <c r="G98" i="9"/>
  <c r="G97" i="9"/>
  <c r="G96" i="9"/>
  <c r="G95" i="9"/>
  <c r="G94" i="9"/>
  <c r="G93" i="9"/>
  <c r="G92" i="9"/>
  <c r="G91" i="9"/>
  <c r="G90" i="9"/>
  <c r="G89" i="9"/>
  <c r="G88" i="9"/>
  <c r="G87" i="9"/>
  <c r="G86" i="9"/>
  <c r="G85" i="9"/>
  <c r="G84" i="9"/>
  <c r="G83" i="9"/>
  <c r="G82" i="9"/>
  <c r="G81" i="9"/>
  <c r="G80" i="9"/>
  <c r="G79" i="9"/>
  <c r="G78" i="9"/>
  <c r="G77" i="9"/>
  <c r="G76" i="9"/>
  <c r="G75" i="9"/>
  <c r="G74" i="9"/>
  <c r="G73" i="9"/>
  <c r="G72" i="9"/>
  <c r="G71" i="9"/>
  <c r="G70" i="9"/>
  <c r="G69" i="9"/>
  <c r="G68" i="9"/>
  <c r="G67" i="9"/>
  <c r="G66" i="9"/>
  <c r="G65" i="9"/>
  <c r="G64" i="9"/>
  <c r="G63" i="9"/>
  <c r="G62" i="9"/>
  <c r="G61" i="9"/>
  <c r="G60" i="9"/>
  <c r="G59" i="9"/>
  <c r="G58" i="9"/>
  <c r="G57" i="9"/>
  <c r="G56" i="9"/>
  <c r="G55" i="9"/>
  <c r="G54" i="9"/>
  <c r="G53" i="9"/>
  <c r="G52" i="9"/>
  <c r="G51" i="9"/>
  <c r="G50" i="9"/>
  <c r="G49" i="9"/>
  <c r="G48" i="9"/>
  <c r="G47" i="9"/>
  <c r="G46" i="9"/>
  <c r="G45" i="9"/>
  <c r="G44" i="9"/>
  <c r="G43" i="9"/>
  <c r="G42" i="9"/>
  <c r="G41" i="9"/>
  <c r="G40" i="9"/>
  <c r="G39" i="9"/>
  <c r="G38" i="9"/>
  <c r="G37" i="9"/>
  <c r="G36" i="9"/>
  <c r="G35" i="9"/>
  <c r="G34" i="9"/>
  <c r="G33" i="9"/>
  <c r="G32" i="9"/>
  <c r="G31" i="9"/>
  <c r="G30" i="9"/>
  <c r="G29" i="9"/>
  <c r="G28" i="9"/>
  <c r="G27" i="9"/>
  <c r="G26" i="9"/>
  <c r="G25" i="9"/>
  <c r="G24" i="9"/>
  <c r="G23" i="9"/>
  <c r="G22" i="9"/>
  <c r="G21" i="9"/>
  <c r="G20" i="9"/>
  <c r="G19" i="9"/>
  <c r="G18" i="9"/>
  <c r="G17" i="9"/>
  <c r="G16" i="9"/>
  <c r="G15" i="9"/>
  <c r="G14" i="9"/>
  <c r="G13" i="9"/>
  <c r="G12" i="9"/>
  <c r="G11" i="9"/>
  <c r="G10" i="9"/>
  <c r="G9" i="9"/>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9" i="10"/>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9" i="11"/>
  <c r="G102" i="12"/>
  <c r="G101" i="12"/>
  <c r="G100" i="12"/>
  <c r="G99" i="12"/>
  <c r="G98" i="12"/>
  <c r="G97" i="12"/>
  <c r="G96" i="12"/>
  <c r="G95" i="12"/>
  <c r="G94" i="12"/>
  <c r="G93" i="12"/>
  <c r="G92" i="12"/>
  <c r="G91" i="12"/>
  <c r="G90" i="12"/>
  <c r="G89" i="12"/>
  <c r="G88" i="12"/>
  <c r="G87" i="12"/>
  <c r="G86" i="12"/>
  <c r="G85" i="12"/>
  <c r="G84" i="12"/>
  <c r="G83" i="12"/>
  <c r="G82" i="12"/>
  <c r="G81" i="12"/>
  <c r="G80" i="12"/>
  <c r="G79" i="12"/>
  <c r="G78" i="12"/>
  <c r="G77" i="12"/>
  <c r="G76" i="12"/>
  <c r="G75" i="12"/>
  <c r="G74" i="12"/>
  <c r="G73" i="12"/>
  <c r="G72" i="12"/>
  <c r="G71" i="12"/>
  <c r="G70" i="12"/>
  <c r="G69" i="12"/>
  <c r="G68" i="12"/>
  <c r="G67" i="12"/>
  <c r="G66" i="12"/>
  <c r="G65" i="12"/>
  <c r="G64" i="12"/>
  <c r="G63" i="12"/>
  <c r="G62" i="12"/>
  <c r="G61" i="12"/>
  <c r="G60" i="12"/>
  <c r="G59" i="12"/>
  <c r="G58" i="12"/>
  <c r="G57" i="12"/>
  <c r="G56" i="12"/>
  <c r="G55" i="12"/>
  <c r="G54" i="12"/>
  <c r="G53" i="12"/>
  <c r="G52" i="12"/>
  <c r="G51" i="12"/>
  <c r="G50" i="12"/>
  <c r="G49" i="12"/>
  <c r="G48" i="12"/>
  <c r="G47" i="12"/>
  <c r="G46" i="12"/>
  <c r="G45" i="12"/>
  <c r="G44" i="12"/>
  <c r="G43" i="12"/>
  <c r="G42" i="12"/>
  <c r="G41" i="12"/>
  <c r="G40" i="12"/>
  <c r="G39" i="12"/>
  <c r="G38" i="12"/>
  <c r="G37" i="12"/>
  <c r="G36" i="12"/>
  <c r="G35" i="12"/>
  <c r="G34" i="12"/>
  <c r="G33" i="12"/>
  <c r="G32" i="12"/>
  <c r="G31" i="12"/>
  <c r="G30" i="12"/>
  <c r="G29" i="12"/>
  <c r="G28" i="12"/>
  <c r="G27" i="12"/>
  <c r="G26" i="12"/>
  <c r="G25" i="12"/>
  <c r="G24" i="12"/>
  <c r="G23" i="12"/>
  <c r="G22" i="12"/>
  <c r="G21" i="12"/>
  <c r="G20" i="12"/>
  <c r="G19" i="12"/>
  <c r="G18" i="12"/>
  <c r="G17" i="12"/>
  <c r="G16" i="12"/>
  <c r="G15" i="12"/>
  <c r="G14" i="12"/>
  <c r="G13" i="12"/>
  <c r="G12" i="12"/>
  <c r="G11" i="12"/>
  <c r="G10" i="12"/>
  <c r="G9" i="12"/>
  <c r="G102" i="13"/>
  <c r="G101" i="13"/>
  <c r="G100" i="13"/>
  <c r="G99" i="13"/>
  <c r="G98" i="13"/>
  <c r="G97" i="13"/>
  <c r="G96" i="13"/>
  <c r="G95" i="13"/>
  <c r="G94" i="13"/>
  <c r="G93" i="13"/>
  <c r="G92" i="13"/>
  <c r="G91" i="13"/>
  <c r="G90" i="13"/>
  <c r="G89" i="13"/>
  <c r="G88" i="13"/>
  <c r="G87" i="13"/>
  <c r="G86" i="13"/>
  <c r="G85" i="13"/>
  <c r="G84" i="13"/>
  <c r="G83" i="13"/>
  <c r="G82" i="13"/>
  <c r="G81" i="13"/>
  <c r="G80" i="13"/>
  <c r="G79" i="13"/>
  <c r="G78" i="13"/>
  <c r="G77" i="13"/>
  <c r="G76" i="13"/>
  <c r="G75" i="13"/>
  <c r="G74" i="13"/>
  <c r="G73" i="13"/>
  <c r="G72" i="13"/>
  <c r="G71" i="13"/>
  <c r="G70" i="13"/>
  <c r="G69" i="13"/>
  <c r="G68" i="13"/>
  <c r="G67" i="13"/>
  <c r="G66" i="13"/>
  <c r="G65" i="13"/>
  <c r="G64" i="13"/>
  <c r="G63" i="13"/>
  <c r="G62" i="13"/>
  <c r="G61" i="13"/>
  <c r="G60" i="13"/>
  <c r="G59" i="13"/>
  <c r="G58" i="13"/>
  <c r="G57" i="13"/>
  <c r="G56" i="13"/>
  <c r="G55" i="13"/>
  <c r="G54"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61"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9" i="1"/>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9" i="3"/>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9" i="5"/>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9" i="8"/>
  <c r="G10" i="7"/>
  <c r="G11" i="7"/>
  <c r="G12" i="7"/>
  <c r="G13" i="7"/>
  <c r="G14" i="7"/>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80" i="7"/>
  <c r="G81" i="7"/>
  <c r="G82" i="7"/>
  <c r="G83" i="7"/>
  <c r="G84" i="7"/>
  <c r="G85" i="7"/>
  <c r="G86" i="7"/>
  <c r="G87" i="7"/>
  <c r="G88" i="7"/>
  <c r="G89" i="7"/>
  <c r="G90" i="7"/>
  <c r="G91" i="7"/>
  <c r="G92" i="7"/>
  <c r="G93" i="7"/>
  <c r="G94" i="7"/>
  <c r="G95" i="7"/>
  <c r="G96" i="7"/>
  <c r="G97" i="7"/>
  <c r="G98" i="7"/>
  <c r="G99" i="7"/>
  <c r="G100" i="7"/>
  <c r="G101" i="7"/>
  <c r="G102" i="7"/>
  <c r="G9" i="7"/>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9" i="6"/>
  <c r="G56" i="1" l="1"/>
  <c r="G49" i="1"/>
  <c r="G52" i="1"/>
  <c r="G41" i="1"/>
  <c r="G51" i="1"/>
  <c r="G47" i="1"/>
  <c r="G45" i="1"/>
  <c r="G46" i="1"/>
  <c r="G50" i="1"/>
  <c r="G57" i="1"/>
  <c r="G53" i="1"/>
  <c r="G65" i="1"/>
  <c r="G43" i="1"/>
  <c r="G42" i="1"/>
  <c r="G45" i="3"/>
  <c r="G60" i="3"/>
  <c r="G48" i="3"/>
  <c r="G59" i="3"/>
  <c r="G47" i="3"/>
</calcChain>
</file>

<file path=xl/sharedStrings.xml><?xml version="1.0" encoding="utf-8"?>
<sst xmlns="http://schemas.openxmlformats.org/spreadsheetml/2006/main" count="6118" uniqueCount="203">
  <si>
    <t>LONG-TERM STUDY - UVM Proctor Maple Res Ctr</t>
  </si>
  <si>
    <t xml:space="preserve">Date and time: </t>
  </si>
  <si>
    <t xml:space="preserve">Personnel: </t>
  </si>
  <si>
    <t xml:space="preserve">Comments: </t>
  </si>
  <si>
    <t>Treatment #</t>
  </si>
  <si>
    <t>Treatment Name</t>
  </si>
  <si>
    <t>Original Tree ID</t>
  </si>
  <si>
    <t>New Tree ID</t>
  </si>
  <si>
    <t>Sugar content (°Brix)</t>
  </si>
  <si>
    <t>MEAN SSC (°Brix)</t>
  </si>
  <si>
    <t>Comments</t>
  </si>
  <si>
    <t>Untapped</t>
  </si>
  <si>
    <t>MB30</t>
  </si>
  <si>
    <t>MB32</t>
  </si>
  <si>
    <t>MB35</t>
  </si>
  <si>
    <t>MB40</t>
  </si>
  <si>
    <t>MB43</t>
  </si>
  <si>
    <t>MB44</t>
  </si>
  <si>
    <t>MB51</t>
  </si>
  <si>
    <t>MB53</t>
  </si>
  <si>
    <t>MB56</t>
  </si>
  <si>
    <t>MB57</t>
  </si>
  <si>
    <t>MB62</t>
  </si>
  <si>
    <t>MB67</t>
  </si>
  <si>
    <t>MB63</t>
  </si>
  <si>
    <t>MB71</t>
  </si>
  <si>
    <t>MB74</t>
  </si>
  <si>
    <t>MB73</t>
  </si>
  <si>
    <t>MB77</t>
  </si>
  <si>
    <t>MB84</t>
  </si>
  <si>
    <t>MB88</t>
  </si>
  <si>
    <t>MB92</t>
  </si>
  <si>
    <t>MB21</t>
  </si>
  <si>
    <t>MB23</t>
  </si>
  <si>
    <t>MB22</t>
  </si>
  <si>
    <t>MB24</t>
  </si>
  <si>
    <t>MB15</t>
  </si>
  <si>
    <t>MB5</t>
  </si>
  <si>
    <t>MB12</t>
  </si>
  <si>
    <t>MB8</t>
  </si>
  <si>
    <t>MB3</t>
  </si>
  <si>
    <t>MB4</t>
  </si>
  <si>
    <t>Gravity</t>
  </si>
  <si>
    <t>MB25</t>
  </si>
  <si>
    <t>MB26</t>
  </si>
  <si>
    <t>MB31</t>
  </si>
  <si>
    <t>MB29</t>
  </si>
  <si>
    <t>MB34</t>
  </si>
  <si>
    <t>MB36</t>
  </si>
  <si>
    <t>MB42</t>
  </si>
  <si>
    <t>MB49</t>
  </si>
  <si>
    <t>MB48</t>
  </si>
  <si>
    <t>MB52</t>
  </si>
  <si>
    <t>MB50</t>
  </si>
  <si>
    <t>MB54</t>
  </si>
  <si>
    <t>MB55</t>
  </si>
  <si>
    <t>MB58</t>
  </si>
  <si>
    <t>MB66</t>
  </si>
  <si>
    <t>MB68</t>
  </si>
  <si>
    <t>MB93</t>
  </si>
  <si>
    <t>MB65</t>
  </si>
  <si>
    <t>MB69</t>
  </si>
  <si>
    <t>MB72</t>
  </si>
  <si>
    <t>MB79</t>
  </si>
  <si>
    <t>MB78</t>
  </si>
  <si>
    <t>MB80</t>
  </si>
  <si>
    <t>MB81</t>
  </si>
  <si>
    <t>MB83</t>
  </si>
  <si>
    <t>MB20</t>
  </si>
  <si>
    <t>MB16</t>
  </si>
  <si>
    <t>MB6</t>
  </si>
  <si>
    <t>MB13</t>
  </si>
  <si>
    <t>MB7</t>
  </si>
  <si>
    <t>MB9</t>
  </si>
  <si>
    <t>Vacuum</t>
  </si>
  <si>
    <t>MB27</t>
  </si>
  <si>
    <t>MB28</t>
  </si>
  <si>
    <t>MB33</t>
  </si>
  <si>
    <t>MB37</t>
  </si>
  <si>
    <t>MB38</t>
  </si>
  <si>
    <t>MB39</t>
  </si>
  <si>
    <t>MB41</t>
  </si>
  <si>
    <t>MB46</t>
  </si>
  <si>
    <t>MB45</t>
  </si>
  <si>
    <t>MB59</t>
  </si>
  <si>
    <t>MB60</t>
  </si>
  <si>
    <t>MB61</t>
  </si>
  <si>
    <t>MB64</t>
  </si>
  <si>
    <t>MB70</t>
  </si>
  <si>
    <t>MB75</t>
  </si>
  <si>
    <t>MB76</t>
  </si>
  <si>
    <t>MB82</t>
  </si>
  <si>
    <t>MB90</t>
  </si>
  <si>
    <t>MB91</t>
  </si>
  <si>
    <t>MB89</t>
  </si>
  <si>
    <t>MB87</t>
  </si>
  <si>
    <t>MB86</t>
  </si>
  <si>
    <t>MB19</t>
  </si>
  <si>
    <t>MB17</t>
  </si>
  <si>
    <t>MB18</t>
  </si>
  <si>
    <t>MB14</t>
  </si>
  <si>
    <t>MB11</t>
  </si>
  <si>
    <t>MB1</t>
  </si>
  <si>
    <t>MB2</t>
  </si>
  <si>
    <t>Sugar</t>
  </si>
  <si>
    <t>A</t>
  </si>
  <si>
    <t>B</t>
  </si>
  <si>
    <t>C</t>
  </si>
  <si>
    <t>D</t>
  </si>
  <si>
    <t>E</t>
  </si>
  <si>
    <t>F</t>
  </si>
  <si>
    <t>G</t>
  </si>
  <si>
    <t>H</t>
  </si>
  <si>
    <t>I</t>
  </si>
  <si>
    <t>J</t>
  </si>
  <si>
    <t>K</t>
  </si>
  <si>
    <t>L</t>
  </si>
  <si>
    <t>M</t>
  </si>
  <si>
    <t>N</t>
  </si>
  <si>
    <t>O</t>
  </si>
  <si>
    <t>P</t>
  </si>
  <si>
    <t>Q</t>
  </si>
  <si>
    <t>R</t>
  </si>
  <si>
    <t>NA</t>
  </si>
  <si>
    <t>S</t>
  </si>
  <si>
    <t>T</t>
  </si>
  <si>
    <t>U</t>
  </si>
  <si>
    <t>V</t>
  </si>
  <si>
    <t>W</t>
  </si>
  <si>
    <t>X</t>
  </si>
  <si>
    <t>Y</t>
  </si>
  <si>
    <t>Z</t>
  </si>
  <si>
    <t>AA</t>
  </si>
  <si>
    <t>AB</t>
  </si>
  <si>
    <t>AC</t>
  </si>
  <si>
    <t>AD</t>
  </si>
  <si>
    <t>AE</t>
  </si>
  <si>
    <t>AF</t>
  </si>
  <si>
    <t>AG</t>
  </si>
  <si>
    <t>AH</t>
  </si>
  <si>
    <t>Date and time: 2025-02-26</t>
  </si>
  <si>
    <t>Personnel: Tim Rademacher, Jed Abair, Wade Bosley, Walt Regan-Loomis</t>
  </si>
  <si>
    <t>Tapped by</t>
  </si>
  <si>
    <t>Jed Abair</t>
  </si>
  <si>
    <t>Wade Bosley</t>
  </si>
  <si>
    <t>Date and time: 2024-04-23</t>
  </si>
  <si>
    <t>Personnel: Kaleigh Kiernan</t>
  </si>
  <si>
    <t>Comments: These were done on the isotope samples collected on the April 17th, but the sugar concentration was only measure later. We had to thaw out the samples, because they were in the freezer.</t>
  </si>
  <si>
    <t xml:space="preserve">Barrel rolled down the slope and spme sap was lost. Overall, I don't think we lost a lot of sap, but, at least, some was lost. </t>
  </si>
  <si>
    <t>Date and time: 1:30-3:30pm 2025-04-010</t>
  </si>
  <si>
    <t>Personnel: Kaleigh Kiernan, Tim Rademacher, and Hannah Penkacik</t>
  </si>
  <si>
    <t>Comments:</t>
  </si>
  <si>
    <t>Very little sap. Just enough for one sample.</t>
  </si>
  <si>
    <t xml:space="preserve">Nothing came out. </t>
  </si>
  <si>
    <t>Removed from study</t>
  </si>
  <si>
    <t>Date and time: 1-4pm 2025-04-03 and 10-11am on 2025-04-04</t>
  </si>
  <si>
    <t>Personnel: Teaghan McAllister, Kaleigh Kiernan, Tim Rademacher, and Hannah Penkacik</t>
  </si>
  <si>
    <t>Comments:  Teaghan McAllister and Kaleigh Kiernan on 2025-04-03 and Tim Rademacher and Hannah Penkacik finished the 13 trees that were missing the following day (2025-04-04)</t>
  </si>
  <si>
    <t>Hannah Penkacik on 2025-04-04</t>
  </si>
  <si>
    <t>Tim Rademacher on 2025-04-04</t>
  </si>
  <si>
    <t>·</t>
  </si>
  <si>
    <t>Date and time: 2025-03-26 between 1:30 and 3 pm</t>
  </si>
  <si>
    <t>Personnel: Isaac Damon and Tim Rademacher</t>
  </si>
  <si>
    <t>Date and time: 2025-03-19 from 11:00 to 13:00, vacuum trees were done on 2025-03-20</t>
  </si>
  <si>
    <t>Personnel: Emma Griffith &amp; Isaac Damon on 2025-03-19, Tim Rademacher on 2025-03-20</t>
  </si>
  <si>
    <t xml:space="preserve">Comments: Only gravity and SSC treatments were measured. </t>
  </si>
  <si>
    <t>1.6 in barrel</t>
  </si>
  <si>
    <t>1.1 in barrel</t>
  </si>
  <si>
    <t>2.1 in barrel</t>
  </si>
  <si>
    <t>Collected on 2025-03-20 by Tim Rademacher.</t>
  </si>
  <si>
    <t>Cap had popped off.</t>
  </si>
  <si>
    <t>Date and time: 2025-03-12</t>
  </si>
  <si>
    <t>Personnel: Tim Rademacher</t>
  </si>
  <si>
    <t>Date and time: 2025-03-05 from 12:00 to 15:00</t>
  </si>
  <si>
    <t>Personnel: Emma Griffith &amp; Isaac Damon</t>
  </si>
  <si>
    <t>Collected on 2025-03-06. by Tim Rademacher</t>
  </si>
  <si>
    <t>Date and time: 2024-04-02</t>
  </si>
  <si>
    <t>Personnel: Michael &amp; Hannah Penkacik</t>
  </si>
  <si>
    <t>Date and time: 2024-03-30</t>
  </si>
  <si>
    <t>Personnel: Wade Bosley &amp; Hannah Penkacik</t>
  </si>
  <si>
    <t>Date and time: 2024-03-26</t>
  </si>
  <si>
    <t>Date and time: 2024-03-05</t>
  </si>
  <si>
    <t>Date and time: 2024-02-27</t>
  </si>
  <si>
    <t>Personnel: Wade Bosley &amp; Jed Abair</t>
  </si>
  <si>
    <t xml:space="preserve">Personnel: Tim Rademacher, Wade Bosley,Hannah Penkacik, Hannah McNulty, Mathilda Ramos, and Isaac Damon </t>
  </si>
  <si>
    <t>Hannah Penkacik</t>
  </si>
  <si>
    <t>Date and time: 2026-02-23</t>
  </si>
  <si>
    <t>unknown 1</t>
  </si>
  <si>
    <t>unknown 2</t>
  </si>
  <si>
    <t>unknown 3</t>
  </si>
  <si>
    <t>Date and time: 2026-03-26 9:30 am-2:30 pm</t>
  </si>
  <si>
    <t>Missing Plug</t>
  </si>
  <si>
    <t>Leaking</t>
  </si>
  <si>
    <t>Personnel: Hannah McNulty, Sonia DeYoung, Larry, Sandrine Dincki</t>
  </si>
  <si>
    <t>Date and time: 2026-03-30 8:30 -10:30 am</t>
  </si>
  <si>
    <t>Personnel: Hannah McNulty, Mathilda Ramos-Williams, Isaac Damon</t>
  </si>
  <si>
    <t>Date and time: 2026-04-08. Installed 9:30-10:30am, Retrived 3:30-6:30pm</t>
  </si>
  <si>
    <t>Personnel: Hannah McNulty</t>
  </si>
  <si>
    <t>Date and time: 2026-04-10 8:30-10:30 am</t>
  </si>
  <si>
    <t>Personnel: Isaac Damon and Mathilda Ramos</t>
  </si>
  <si>
    <t>Not running</t>
  </si>
  <si>
    <t>ssc</t>
  </si>
  <si>
    <t>Comments: Bottles 836, 850, 870, 886, 808, 816, 862, 874, 877, 879, N, O  were left our overnight and retrived 4-09.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</si>
</sst>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scheme val="minor"/>
    </font>
    <font>
      <sz val="9"/>
      <color theme="1"/>
      <name val="Arial"/>
      <family val="2"/>
    </font>
    <font>
      <sz val="10"/>
      <color theme="1"/>
      <name val="Arial"/>
      <family val="2"/>
    </font>
    <font>
      <b/>
      <sz val="14"/>
      <color theme="1"/>
      <name val="Calibri"/>
      <family val="2"/>
      <scheme val="minor"/>
    </font>
    <font>
      <b/>
      <sz val="14"/>
      <color rgb="FF000000"/>
      <name val="Calibri"/>
      <family val="2"/>
      <scheme val="minor"/>
    </font>
    <font>
      <sz val="11"/>
      <color rgb="FF000000"/>
      <name val="Calibri"/>
      <family val="2"/>
      <scheme val="minor"/>
    </font>
    <font>
      <sz val="9"/>
      <color rgb="FF000000"/>
      <name val="Arial"/>
      <family val="2"/>
    </font>
    <font>
      <sz val="10"/>
      <color rgb="FF000000"/>
      <name val="Arial"/>
      <family val="2"/>
    </font>
  </fonts>
  <fills count="14">
    <fill>
      <patternFill patternType="none"/>
    </fill>
    <fill>
      <patternFill patternType="gray125"/>
    </fill>
    <fill>
      <patternFill patternType="solid">
        <fgColor theme="0" tint="-0.14999847407452621"/>
        <bgColor indexed="64"/>
      </patternFill>
    </fill>
    <fill>
      <patternFill patternType="solid">
        <fgColor rgb="FFFFFFCC"/>
        <bgColor indexed="64"/>
      </patternFill>
    </fill>
    <fill>
      <patternFill patternType="solid">
        <fgColor rgb="FFFFC000"/>
        <bgColor indexed="64"/>
      </patternFill>
    </fill>
    <fill>
      <patternFill patternType="solid">
        <fgColor rgb="FFF7AAF8"/>
        <bgColor indexed="64"/>
      </patternFill>
    </fill>
    <fill>
      <patternFill patternType="solid">
        <fgColor rgb="FF00B050"/>
        <bgColor indexed="64"/>
      </patternFill>
    </fill>
    <fill>
      <patternFill patternType="solid">
        <fgColor rgb="FFD9D9D9"/>
        <bgColor rgb="FF000000"/>
      </patternFill>
    </fill>
    <fill>
      <patternFill patternType="solid">
        <fgColor rgb="FFFFFFCC"/>
        <bgColor rgb="FF000000"/>
      </patternFill>
    </fill>
    <fill>
      <patternFill patternType="solid">
        <fgColor rgb="FFFFC000"/>
        <bgColor rgb="FF000000"/>
      </patternFill>
    </fill>
    <fill>
      <patternFill patternType="solid">
        <fgColor rgb="FFF7AAF8"/>
        <bgColor rgb="FF000000"/>
      </patternFill>
    </fill>
    <fill>
      <patternFill patternType="solid">
        <fgColor theme="5"/>
        <bgColor rgb="FF000000"/>
      </patternFill>
    </fill>
    <fill>
      <patternFill patternType="solid">
        <fgColor theme="5"/>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right/>
      <top/>
      <bottom style="thin">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s>
  <cellStyleXfs count="1">
    <xf numFmtId="0" fontId="0" fillId="0" borderId="0"/>
  </cellStyleXfs>
  <cellXfs count="77">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2" fillId="3" borderId="3" xfId="0" applyFont="1" applyFill="1" applyBorder="1" applyAlignment="1">
      <alignment horizontal="center"/>
    </xf>
    <xf numFmtId="0" fontId="2" fillId="3" borderId="4" xfId="0" applyFont="1" applyFill="1" applyBorder="1" applyAlignment="1">
      <alignment horizontal="center"/>
    </xf>
    <xf numFmtId="0" fontId="2" fillId="3" borderId="1" xfId="0" applyFont="1" applyFill="1" applyBorder="1" applyAlignment="1">
      <alignment horizontal="center"/>
    </xf>
    <xf numFmtId="0" fontId="1" fillId="2" borderId="5" xfId="0" applyFont="1" applyFill="1" applyBorder="1" applyAlignment="1">
      <alignment horizontal="center" wrapText="1"/>
    </xf>
    <xf numFmtId="0" fontId="1" fillId="2" borderId="4" xfId="0" applyFont="1" applyFill="1" applyBorder="1" applyAlignment="1">
      <alignment horizontal="center" wrapText="1"/>
    </xf>
    <xf numFmtId="0" fontId="0" fillId="0" borderId="4" xfId="0" applyBorder="1"/>
    <xf numFmtId="0" fontId="2" fillId="3" borderId="6" xfId="0" applyFont="1" applyFill="1" applyBorder="1" applyAlignment="1">
      <alignment horizontal="center"/>
    </xf>
    <xf numFmtId="0" fontId="2" fillId="3" borderId="7" xfId="0" applyFont="1" applyFill="1" applyBorder="1" applyAlignment="1">
      <alignment horizontal="center"/>
    </xf>
    <xf numFmtId="0" fontId="2" fillId="3" borderId="5" xfId="0" applyFont="1" applyFill="1" applyBorder="1" applyAlignment="1">
      <alignment horizontal="center"/>
    </xf>
    <xf numFmtId="0" fontId="3" fillId="0" borderId="0" xfId="0" applyFont="1"/>
    <xf numFmtId="0" fontId="2" fillId="4" borderId="8" xfId="0" applyFont="1" applyFill="1" applyBorder="1" applyAlignment="1">
      <alignment horizontal="center"/>
    </xf>
    <xf numFmtId="0" fontId="2" fillId="4" borderId="3" xfId="0" applyFont="1" applyFill="1" applyBorder="1" applyAlignment="1">
      <alignment horizontal="center"/>
    </xf>
    <xf numFmtId="0" fontId="2" fillId="4" borderId="6" xfId="0" applyFont="1" applyFill="1" applyBorder="1" applyAlignment="1">
      <alignment horizontal="center"/>
    </xf>
    <xf numFmtId="0" fontId="2" fillId="4" borderId="9" xfId="0" applyFont="1" applyFill="1" applyBorder="1" applyAlignment="1">
      <alignment horizontal="center"/>
    </xf>
    <xf numFmtId="0" fontId="2" fillId="4" borderId="4" xfId="0" applyFont="1" applyFill="1" applyBorder="1" applyAlignment="1">
      <alignment horizontal="center"/>
    </xf>
    <xf numFmtId="0" fontId="2" fillId="4" borderId="7" xfId="0" applyFont="1" applyFill="1" applyBorder="1" applyAlignment="1">
      <alignment horizontal="center"/>
    </xf>
    <xf numFmtId="0" fontId="2" fillId="5" borderId="8" xfId="0" applyFont="1" applyFill="1" applyBorder="1" applyAlignment="1">
      <alignment horizontal="center"/>
    </xf>
    <xf numFmtId="0" fontId="2" fillId="5" borderId="3" xfId="0" applyFont="1" applyFill="1" applyBorder="1" applyAlignment="1">
      <alignment horizontal="center"/>
    </xf>
    <xf numFmtId="0" fontId="2" fillId="5" borderId="6" xfId="0" applyFont="1" applyFill="1" applyBorder="1" applyAlignment="1">
      <alignment horizontal="center"/>
    </xf>
    <xf numFmtId="0" fontId="2" fillId="5" borderId="9" xfId="0" applyFont="1" applyFill="1" applyBorder="1" applyAlignment="1">
      <alignment horizontal="center"/>
    </xf>
    <xf numFmtId="0" fontId="2" fillId="5" borderId="4" xfId="0" applyFont="1" applyFill="1" applyBorder="1" applyAlignment="1">
      <alignment horizontal="center"/>
    </xf>
    <xf numFmtId="0" fontId="2" fillId="5" borderId="7" xfId="0" applyFont="1" applyFill="1" applyBorder="1" applyAlignment="1">
      <alignment horizontal="center"/>
    </xf>
    <xf numFmtId="0" fontId="2" fillId="6" borderId="3" xfId="0" applyFont="1" applyFill="1" applyBorder="1" applyAlignment="1">
      <alignment horizontal="center"/>
    </xf>
    <xf numFmtId="0" fontId="2" fillId="6" borderId="3" xfId="0" applyFont="1" applyFill="1" applyBorder="1"/>
    <xf numFmtId="0" fontId="2" fillId="6" borderId="6" xfId="0" applyFont="1" applyFill="1" applyBorder="1" applyAlignment="1">
      <alignment horizontal="center"/>
    </xf>
    <xf numFmtId="0" fontId="2" fillId="6" borderId="4" xfId="0" applyFont="1" applyFill="1" applyBorder="1" applyAlignment="1">
      <alignment horizontal="center"/>
    </xf>
    <xf numFmtId="0" fontId="2" fillId="6" borderId="4" xfId="0" applyFont="1" applyFill="1" applyBorder="1"/>
    <xf numFmtId="0" fontId="2" fillId="6" borderId="7" xfId="0" applyFont="1" applyFill="1" applyBorder="1" applyAlignment="1">
      <alignment horizontal="center"/>
    </xf>
    <xf numFmtId="0" fontId="2" fillId="6" borderId="1" xfId="0" applyFont="1" applyFill="1" applyBorder="1" applyAlignment="1">
      <alignment horizontal="center"/>
    </xf>
    <xf numFmtId="0" fontId="2" fillId="6" borderId="1" xfId="0" applyFont="1" applyFill="1" applyBorder="1"/>
    <xf numFmtId="0" fontId="2" fillId="6" borderId="5" xfId="0" applyFont="1" applyFill="1" applyBorder="1" applyAlignment="1">
      <alignment horizontal="center"/>
    </xf>
    <xf numFmtId="0" fontId="1" fillId="0" borderId="0" xfId="0" applyFont="1" applyAlignment="1">
      <alignment horizontal="center" wrapText="1"/>
    </xf>
    <xf numFmtId="0" fontId="4" fillId="0" borderId="0" xfId="0" applyFont="1"/>
    <xf numFmtId="0" fontId="5" fillId="0" borderId="0" xfId="0" applyFont="1"/>
    <xf numFmtId="0" fontId="6" fillId="7" borderId="1" xfId="0" applyFont="1" applyFill="1" applyBorder="1" applyAlignment="1">
      <alignment horizontal="center" wrapText="1"/>
    </xf>
    <xf numFmtId="0" fontId="6" fillId="7" borderId="2" xfId="0" applyFont="1" applyFill="1" applyBorder="1" applyAlignment="1">
      <alignment horizontal="center" wrapText="1"/>
    </xf>
    <xf numFmtId="0" fontId="6" fillId="7" borderId="10" xfId="0" applyFont="1" applyFill="1" applyBorder="1" applyAlignment="1">
      <alignment horizontal="center" wrapText="1"/>
    </xf>
    <xf numFmtId="0" fontId="6" fillId="7" borderId="4" xfId="0" applyFont="1" applyFill="1" applyBorder="1" applyAlignment="1">
      <alignment horizontal="center" wrapText="1"/>
    </xf>
    <xf numFmtId="0" fontId="6" fillId="7" borderId="9" xfId="0" applyFont="1" applyFill="1" applyBorder="1" applyAlignment="1">
      <alignment horizontal="center" wrapText="1"/>
    </xf>
    <xf numFmtId="0" fontId="6" fillId="0" borderId="0" xfId="0" applyFont="1" applyAlignment="1">
      <alignment horizontal="center" wrapText="1"/>
    </xf>
    <xf numFmtId="0" fontId="7" fillId="8" borderId="3" xfId="0" applyFont="1" applyFill="1" applyBorder="1" applyAlignment="1">
      <alignment horizontal="center"/>
    </xf>
    <xf numFmtId="0" fontId="7" fillId="8" borderId="8" xfId="0" applyFont="1" applyFill="1" applyBorder="1" applyAlignment="1">
      <alignment horizontal="center"/>
    </xf>
    <xf numFmtId="0" fontId="7" fillId="8" borderId="11" xfId="0" applyFont="1" applyFill="1" applyBorder="1" applyAlignment="1">
      <alignment horizontal="center"/>
    </xf>
    <xf numFmtId="0" fontId="5" fillId="0" borderId="3" xfId="0" applyFont="1" applyBorder="1"/>
    <xf numFmtId="0" fontId="5" fillId="0" borderId="8" xfId="0" applyFont="1" applyBorder="1"/>
    <xf numFmtId="0" fontId="7" fillId="8" borderId="12" xfId="0" applyFont="1" applyFill="1" applyBorder="1" applyAlignment="1">
      <alignment horizontal="center"/>
    </xf>
    <xf numFmtId="0" fontId="7" fillId="8" borderId="13" xfId="0" applyFont="1" applyFill="1" applyBorder="1" applyAlignment="1">
      <alignment horizontal="center"/>
    </xf>
    <xf numFmtId="0" fontId="7" fillId="8" borderId="14" xfId="0" applyFont="1" applyFill="1" applyBorder="1" applyAlignment="1">
      <alignment horizontal="center"/>
    </xf>
    <xf numFmtId="0" fontId="7" fillId="9" borderId="8" xfId="0" applyFont="1" applyFill="1" applyBorder="1" applyAlignment="1">
      <alignment horizontal="center"/>
    </xf>
    <xf numFmtId="0" fontId="7" fillId="9" borderId="11" xfId="0" applyFont="1" applyFill="1" applyBorder="1" applyAlignment="1">
      <alignment horizontal="center"/>
    </xf>
    <xf numFmtId="0" fontId="7" fillId="9" borderId="3" xfId="0" applyFont="1" applyFill="1" applyBorder="1" applyAlignment="1">
      <alignment horizontal="center"/>
    </xf>
    <xf numFmtId="0" fontId="5" fillId="0" borderId="4" xfId="0" applyFont="1" applyBorder="1"/>
    <xf numFmtId="0" fontId="0" fillId="0" borderId="15" xfId="0" applyBorder="1"/>
    <xf numFmtId="0" fontId="0" fillId="0" borderId="16" xfId="0" applyBorder="1"/>
    <xf numFmtId="164" fontId="0" fillId="0" borderId="4" xfId="0" applyNumberFormat="1" applyBorder="1"/>
    <xf numFmtId="0" fontId="7" fillId="10" borderId="8" xfId="0" applyFont="1" applyFill="1" applyBorder="1" applyAlignment="1">
      <alignment horizontal="center"/>
    </xf>
    <xf numFmtId="0" fontId="7" fillId="10" borderId="11" xfId="0" applyFont="1" applyFill="1" applyBorder="1" applyAlignment="1">
      <alignment horizontal="center"/>
    </xf>
    <xf numFmtId="0" fontId="5" fillId="2" borderId="4" xfId="0" applyFont="1" applyFill="1" applyBorder="1"/>
    <xf numFmtId="0" fontId="0" fillId="0" borderId="7" xfId="0" applyBorder="1"/>
    <xf numFmtId="0" fontId="5" fillId="0" borderId="7" xfId="0" applyFont="1" applyBorder="1"/>
    <xf numFmtId="0" fontId="0" fillId="0" borderId="17" xfId="0" applyBorder="1"/>
    <xf numFmtId="0" fontId="0" fillId="0" borderId="4" xfId="0" applyBorder="1" applyAlignment="1">
      <alignment wrapText="1"/>
    </xf>
    <xf numFmtId="0" fontId="2" fillId="11" borderId="16" xfId="0" applyFont="1" applyFill="1" applyBorder="1" applyAlignment="1">
      <alignment horizontal="center"/>
    </xf>
    <xf numFmtId="0" fontId="0" fillId="12" borderId="0" xfId="0" applyFill="1"/>
    <xf numFmtId="0" fontId="5" fillId="13" borderId="3" xfId="0" applyFont="1" applyFill="1" applyBorder="1"/>
    <xf numFmtId="0" fontId="5" fillId="13" borderId="8" xfId="0" applyFont="1" applyFill="1" applyBorder="1"/>
    <xf numFmtId="0" fontId="0" fillId="0" borderId="3" xfId="0" applyBorder="1"/>
    <xf numFmtId="0" fontId="5" fillId="0" borderId="3" xfId="0" applyFont="1" applyFill="1" applyBorder="1"/>
    <xf numFmtId="0" fontId="5" fillId="0" borderId="8" xfId="0" applyFont="1" applyFill="1" applyBorder="1"/>
    <xf numFmtId="0" fontId="7" fillId="9" borderId="16" xfId="0" applyFont="1" applyFill="1" applyBorder="1" applyAlignment="1">
      <alignment horizontal="center"/>
    </xf>
    <xf numFmtId="0" fontId="5" fillId="0" borderId="16" xfId="0" applyFont="1" applyBorder="1"/>
    <xf numFmtId="0" fontId="2" fillId="0" borderId="0" xfId="0" applyFont="1" applyFill="1" applyBorder="1" applyAlignment="1">
      <alignment horizontal="center"/>
    </xf>
    <xf numFmtId="0" fontId="0" fillId="0" borderId="0" xfId="0" applyFill="1" applyBorder="1"/>
    <xf numFmtId="14" fontId="0" fillId="0" borderId="4" xfId="0" applyNumberFormat="1" applyFill="1" applyBorder="1"/>
  </cellXfs>
  <cellStyles count="1">
    <cellStyle name="Normal" xfId="0" builtinId="0"/>
  </cellStyles>
  <dxfs count="0"/>
  <tableStyles count="0" defaultTableStyle="TableStyleMedium2" defaultPivotStyle="PivotStyleLight16"/>
  <colors>
    <mruColors>
      <color rgb="FFF7AAF8"/>
      <color rgb="FFFF67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A645-7A22-3848-A69A-76D5EA26440B}">
  <dimension ref="A1:AG132"/>
  <sheetViews>
    <sheetView zoomScale="75" workbookViewId="0">
      <selection activeCell="T49" sqref="T49"/>
    </sheetView>
  </sheetViews>
  <sheetFormatPr baseColWidth="10" defaultColWidth="8.83203125" defaultRowHeight="15" x14ac:dyDescent="0.2"/>
  <cols>
    <col min="3" max="3" width="0" hidden="1" customWidth="1"/>
    <col min="5" max="7" width="10.6640625" customWidth="1"/>
    <col min="8" max="8" width="0" hidden="1" customWidth="1"/>
    <col min="9" max="9" width="26.5" customWidth="1"/>
    <col min="25" max="25" width="6.1640625" customWidth="1"/>
    <col min="26" max="26" width="7.5" customWidth="1"/>
    <col min="30" max="30" width="6.33203125" customWidth="1"/>
    <col min="41" max="41" width="30.1640625" customWidth="1"/>
  </cols>
  <sheetData>
    <row r="1" spans="1:33" ht="19" x14ac:dyDescent="0.25">
      <c r="A1" s="12" t="s">
        <v>0</v>
      </c>
      <c r="B1" s="12"/>
      <c r="C1" s="12"/>
      <c r="D1" s="12"/>
      <c r="E1" s="12"/>
      <c r="F1" s="12"/>
      <c r="H1" s="12"/>
      <c r="I1" s="12"/>
      <c r="J1" s="12"/>
      <c r="K1" s="12"/>
      <c r="M1" s="12"/>
    </row>
    <row r="2" spans="1:33" ht="19" x14ac:dyDescent="0.25">
      <c r="A2" s="12"/>
      <c r="B2" s="12"/>
      <c r="C2" s="12"/>
      <c r="D2" s="12"/>
      <c r="E2" s="12"/>
      <c r="F2" s="12"/>
      <c r="H2" s="12"/>
      <c r="I2" s="12"/>
      <c r="J2" s="12"/>
      <c r="K2" s="12"/>
      <c r="L2" s="12"/>
      <c r="M2" s="12"/>
    </row>
    <row r="3" spans="1:33" ht="19" x14ac:dyDescent="0.25">
      <c r="A3" s="12" t="s">
        <v>1</v>
      </c>
      <c r="B3" s="12"/>
      <c r="C3" s="12"/>
      <c r="D3" s="12"/>
      <c r="E3" s="12"/>
      <c r="F3" s="12"/>
      <c r="H3" s="12"/>
      <c r="I3" s="12"/>
      <c r="J3" s="12"/>
      <c r="K3" s="12"/>
      <c r="L3" s="12"/>
      <c r="M3" s="12"/>
    </row>
    <row r="4" spans="1:33" ht="19" x14ac:dyDescent="0.25">
      <c r="A4" s="12"/>
      <c r="B4" s="12"/>
      <c r="C4" s="12"/>
      <c r="D4" s="12"/>
      <c r="E4" s="12"/>
      <c r="F4" s="12"/>
      <c r="H4" s="12"/>
      <c r="I4" s="12"/>
      <c r="J4" s="12"/>
      <c r="K4" s="12"/>
      <c r="L4" s="12"/>
      <c r="M4" s="12"/>
    </row>
    <row r="5" spans="1:33" ht="19" x14ac:dyDescent="0.25">
      <c r="A5" s="12" t="s">
        <v>2</v>
      </c>
      <c r="B5" s="12"/>
      <c r="C5" s="12"/>
      <c r="D5" s="12"/>
      <c r="E5" s="12"/>
      <c r="F5" s="12"/>
      <c r="H5" s="12"/>
      <c r="I5" s="12"/>
      <c r="J5" s="12"/>
      <c r="K5" s="12"/>
      <c r="L5" s="12"/>
      <c r="M5" s="12"/>
    </row>
    <row r="6" spans="1:33" ht="19" x14ac:dyDescent="0.25">
      <c r="A6" s="12" t="s">
        <v>3</v>
      </c>
      <c r="B6" s="12"/>
      <c r="C6" s="12"/>
      <c r="D6" s="12"/>
      <c r="E6" s="12"/>
      <c r="F6" s="12"/>
      <c r="H6" s="12"/>
      <c r="I6" s="12"/>
      <c r="J6" s="12"/>
      <c r="K6" s="12"/>
      <c r="L6" s="12"/>
      <c r="M6" s="12"/>
    </row>
    <row r="7" spans="1:33" ht="10" customHeight="1" x14ac:dyDescent="0.2"/>
    <row r="8" spans="1:33" ht="20" customHeight="1" thickBot="1" x14ac:dyDescent="0.25">
      <c r="A8" s="1" t="s">
        <v>4</v>
      </c>
      <c r="B8" s="2" t="s">
        <v>5</v>
      </c>
      <c r="C8" s="2" t="s">
        <v>6</v>
      </c>
      <c r="D8" s="6" t="s">
        <v>7</v>
      </c>
      <c r="E8" s="7" t="s">
        <v>8</v>
      </c>
      <c r="F8" s="7" t="s">
        <v>8</v>
      </c>
      <c r="G8" s="7" t="s">
        <v>8</v>
      </c>
      <c r="H8" s="7" t="s">
        <v>9</v>
      </c>
      <c r="I8" s="7" t="s">
        <v>10</v>
      </c>
      <c r="K8" s="34"/>
      <c r="L8" s="34"/>
      <c r="M8" s="34"/>
      <c r="X8" s="7" t="s">
        <v>5</v>
      </c>
      <c r="Y8" s="7" t="s">
        <v>7</v>
      </c>
      <c r="Z8" s="7" t="s">
        <v>201</v>
      </c>
      <c r="AA8" s="7" t="s">
        <v>201</v>
      </c>
      <c r="AB8" s="7" t="s">
        <v>201</v>
      </c>
      <c r="AC8" s="7" t="s">
        <v>5</v>
      </c>
      <c r="AD8" s="7" t="s">
        <v>7</v>
      </c>
      <c r="AE8" s="7" t="s">
        <v>201</v>
      </c>
      <c r="AF8" s="7" t="s">
        <v>201</v>
      </c>
      <c r="AG8" s="7" t="s">
        <v>201</v>
      </c>
    </row>
    <row r="9" spans="1:33" hidden="1" x14ac:dyDescent="0.2">
      <c r="A9" s="25">
        <v>1</v>
      </c>
      <c r="B9" s="26" t="s">
        <v>11</v>
      </c>
      <c r="C9" s="25" t="s">
        <v>12</v>
      </c>
      <c r="D9" s="27">
        <v>805</v>
      </c>
      <c r="E9" s="8"/>
      <c r="F9" s="8"/>
      <c r="G9" s="8"/>
      <c r="H9" s="8"/>
      <c r="I9" s="8"/>
      <c r="X9" s="26" t="s">
        <v>11</v>
      </c>
      <c r="Y9" s="25">
        <v>805</v>
      </c>
      <c r="Z9" s="8"/>
      <c r="AA9" s="8"/>
      <c r="AB9" s="8"/>
      <c r="AC9" s="69"/>
      <c r="AD9" s="69"/>
      <c r="AE9" s="8"/>
      <c r="AF9" s="8"/>
      <c r="AG9" s="8"/>
    </row>
    <row r="10" spans="1:33" hidden="1" x14ac:dyDescent="0.2">
      <c r="A10" s="28">
        <v>1</v>
      </c>
      <c r="B10" s="29" t="s">
        <v>11</v>
      </c>
      <c r="C10" s="28" t="s">
        <v>13</v>
      </c>
      <c r="D10" s="30">
        <v>807</v>
      </c>
      <c r="E10" s="8"/>
      <c r="F10" s="8"/>
      <c r="G10" s="8"/>
      <c r="H10" s="8"/>
      <c r="I10" s="8"/>
      <c r="X10" s="29" t="s">
        <v>11</v>
      </c>
      <c r="Y10" s="28">
        <v>807</v>
      </c>
      <c r="Z10" s="8"/>
      <c r="AA10" s="8"/>
      <c r="AB10" s="8"/>
      <c r="AC10" s="8"/>
      <c r="AD10" s="8"/>
      <c r="AE10" s="8"/>
      <c r="AF10" s="8"/>
      <c r="AG10" s="8"/>
    </row>
    <row r="11" spans="1:33" hidden="1" x14ac:dyDescent="0.2">
      <c r="A11" s="28">
        <v>1</v>
      </c>
      <c r="B11" s="29" t="s">
        <v>11</v>
      </c>
      <c r="C11" s="28" t="s">
        <v>14</v>
      </c>
      <c r="D11" s="30">
        <v>813</v>
      </c>
      <c r="E11" s="8"/>
      <c r="F11" s="8"/>
      <c r="G11" s="8"/>
      <c r="H11" s="8"/>
      <c r="I11" s="8"/>
      <c r="X11" s="29" t="s">
        <v>11</v>
      </c>
      <c r="Y11" s="28">
        <v>813</v>
      </c>
      <c r="Z11" s="8"/>
      <c r="AA11" s="8"/>
      <c r="AB11" s="8"/>
      <c r="AC11" s="8"/>
      <c r="AD11" s="8"/>
      <c r="AE11" s="8"/>
      <c r="AF11" s="8"/>
      <c r="AG11" s="8"/>
    </row>
    <row r="12" spans="1:33" hidden="1" x14ac:dyDescent="0.2">
      <c r="A12" s="28">
        <v>1</v>
      </c>
      <c r="B12" s="29" t="s">
        <v>11</v>
      </c>
      <c r="C12" s="28" t="s">
        <v>15</v>
      </c>
      <c r="D12" s="30">
        <v>814</v>
      </c>
      <c r="E12" s="8"/>
      <c r="F12" s="8"/>
      <c r="G12" s="8"/>
      <c r="H12" s="8"/>
      <c r="I12" s="8"/>
      <c r="X12" s="29" t="s">
        <v>11</v>
      </c>
      <c r="Y12" s="28">
        <v>814</v>
      </c>
      <c r="Z12" s="8"/>
      <c r="AA12" s="8"/>
      <c r="AB12" s="8"/>
      <c r="AC12" s="8"/>
      <c r="AD12" s="8"/>
      <c r="AE12" s="8"/>
      <c r="AF12" s="8"/>
      <c r="AG12" s="8"/>
    </row>
    <row r="13" spans="1:33" hidden="1" x14ac:dyDescent="0.2">
      <c r="A13" s="28">
        <v>1</v>
      </c>
      <c r="B13" s="29" t="s">
        <v>11</v>
      </c>
      <c r="C13" s="28" t="s">
        <v>16</v>
      </c>
      <c r="D13" s="30">
        <v>820</v>
      </c>
      <c r="E13" s="8"/>
      <c r="F13" s="8"/>
      <c r="G13" s="8"/>
      <c r="H13" s="8"/>
      <c r="I13" s="8"/>
      <c r="X13" s="29" t="s">
        <v>11</v>
      </c>
      <c r="Y13" s="28">
        <v>820</v>
      </c>
      <c r="Z13" s="8"/>
      <c r="AA13" s="8"/>
      <c r="AB13" s="8"/>
      <c r="AC13" s="8"/>
      <c r="AD13" s="8"/>
      <c r="AE13" s="8"/>
      <c r="AF13" s="8"/>
      <c r="AG13" s="8"/>
    </row>
    <row r="14" spans="1:33" hidden="1" x14ac:dyDescent="0.2">
      <c r="A14" s="28">
        <v>1</v>
      </c>
      <c r="B14" s="29" t="s">
        <v>11</v>
      </c>
      <c r="C14" s="28" t="s">
        <v>17</v>
      </c>
      <c r="D14" s="30">
        <v>821</v>
      </c>
      <c r="E14" s="8"/>
      <c r="F14" s="8"/>
      <c r="G14" s="8"/>
      <c r="H14" s="8"/>
      <c r="I14" s="8"/>
      <c r="X14" s="29" t="s">
        <v>11</v>
      </c>
      <c r="Y14" s="28">
        <v>821</v>
      </c>
      <c r="Z14" s="8"/>
      <c r="AA14" s="8"/>
      <c r="AB14" s="8"/>
      <c r="AC14" s="8"/>
      <c r="AD14" s="8"/>
      <c r="AE14" s="8"/>
      <c r="AF14" s="8"/>
      <c r="AG14" s="8"/>
    </row>
    <row r="15" spans="1:33" hidden="1" x14ac:dyDescent="0.2">
      <c r="A15" s="28">
        <v>1</v>
      </c>
      <c r="B15" s="29" t="s">
        <v>11</v>
      </c>
      <c r="C15" s="28" t="s">
        <v>18</v>
      </c>
      <c r="D15" s="30">
        <v>824</v>
      </c>
      <c r="E15" s="8"/>
      <c r="F15" s="8"/>
      <c r="G15" s="8"/>
      <c r="H15" s="8"/>
      <c r="I15" s="8"/>
      <c r="X15" s="29" t="s">
        <v>11</v>
      </c>
      <c r="Y15" s="28">
        <v>824</v>
      </c>
      <c r="Z15" s="8"/>
      <c r="AA15" s="8"/>
      <c r="AB15" s="8"/>
      <c r="AC15" s="8"/>
      <c r="AD15" s="8"/>
      <c r="AE15" s="8"/>
      <c r="AF15" s="8"/>
      <c r="AG15" s="8"/>
    </row>
    <row r="16" spans="1:33" hidden="1" x14ac:dyDescent="0.2">
      <c r="A16" s="28">
        <v>1</v>
      </c>
      <c r="B16" s="29" t="s">
        <v>11</v>
      </c>
      <c r="C16" s="28" t="s">
        <v>19</v>
      </c>
      <c r="D16" s="30">
        <v>827</v>
      </c>
      <c r="E16" s="8"/>
      <c r="F16" s="8"/>
      <c r="G16" s="8"/>
      <c r="H16" s="8"/>
      <c r="I16" s="8"/>
      <c r="X16" s="29" t="s">
        <v>11</v>
      </c>
      <c r="Y16" s="28">
        <v>827</v>
      </c>
      <c r="Z16" s="8"/>
      <c r="AA16" s="8"/>
      <c r="AB16" s="8"/>
      <c r="AC16" s="8"/>
      <c r="AD16" s="8"/>
      <c r="AE16" s="8"/>
      <c r="AF16" s="8"/>
      <c r="AG16" s="8"/>
    </row>
    <row r="17" spans="1:33" hidden="1" x14ac:dyDescent="0.2">
      <c r="A17" s="28">
        <v>1</v>
      </c>
      <c r="B17" s="29" t="s">
        <v>11</v>
      </c>
      <c r="C17" s="28" t="s">
        <v>20</v>
      </c>
      <c r="D17" s="30">
        <v>830</v>
      </c>
      <c r="E17" s="8"/>
      <c r="F17" s="8"/>
      <c r="G17" s="8"/>
      <c r="H17" s="8"/>
      <c r="I17" s="8"/>
      <c r="X17" s="29" t="s">
        <v>11</v>
      </c>
      <c r="Y17" s="28">
        <v>830</v>
      </c>
      <c r="Z17" s="8"/>
      <c r="AA17" s="8"/>
      <c r="AB17" s="8"/>
      <c r="AC17" s="8"/>
      <c r="AD17" s="8"/>
      <c r="AE17" s="8"/>
      <c r="AF17" s="8"/>
      <c r="AG17" s="8"/>
    </row>
    <row r="18" spans="1:33" hidden="1" x14ac:dyDescent="0.2">
      <c r="A18" s="28">
        <v>1</v>
      </c>
      <c r="B18" s="29" t="s">
        <v>11</v>
      </c>
      <c r="C18" s="28" t="s">
        <v>21</v>
      </c>
      <c r="D18" s="30">
        <v>831</v>
      </c>
      <c r="E18" s="8"/>
      <c r="F18" s="8"/>
      <c r="G18" s="8"/>
      <c r="H18" s="8"/>
      <c r="I18" s="8"/>
      <c r="X18" s="29" t="s">
        <v>11</v>
      </c>
      <c r="Y18" s="28">
        <v>831</v>
      </c>
      <c r="Z18" s="8"/>
      <c r="AA18" s="8"/>
      <c r="AB18" s="8"/>
      <c r="AC18" s="8"/>
      <c r="AD18" s="8"/>
      <c r="AE18" s="8"/>
      <c r="AF18" s="8"/>
      <c r="AG18" s="8"/>
    </row>
    <row r="19" spans="1:33" hidden="1" x14ac:dyDescent="0.2">
      <c r="A19" s="28">
        <v>1</v>
      </c>
      <c r="B19" s="29" t="s">
        <v>11</v>
      </c>
      <c r="C19" s="28" t="s">
        <v>22</v>
      </c>
      <c r="D19" s="30">
        <v>837</v>
      </c>
      <c r="E19" s="8"/>
      <c r="F19" s="8"/>
      <c r="G19" s="8"/>
      <c r="H19" s="8"/>
      <c r="I19" s="8"/>
      <c r="X19" s="29" t="s">
        <v>11</v>
      </c>
      <c r="Y19" s="28">
        <v>837</v>
      </c>
      <c r="Z19" s="8"/>
      <c r="AA19" s="8"/>
      <c r="AB19" s="8"/>
      <c r="AC19" s="8"/>
      <c r="AD19" s="8"/>
      <c r="AE19" s="8"/>
      <c r="AF19" s="8"/>
      <c r="AG19" s="8"/>
    </row>
    <row r="20" spans="1:33" hidden="1" x14ac:dyDescent="0.2">
      <c r="A20" s="28">
        <v>1</v>
      </c>
      <c r="B20" s="29" t="s">
        <v>11</v>
      </c>
      <c r="C20" s="28" t="s">
        <v>23</v>
      </c>
      <c r="D20" s="30">
        <v>838</v>
      </c>
      <c r="E20" s="8"/>
      <c r="F20" s="8"/>
      <c r="G20" s="8"/>
      <c r="H20" s="8"/>
      <c r="I20" s="8"/>
      <c r="X20" s="29" t="s">
        <v>11</v>
      </c>
      <c r="Y20" s="28">
        <v>838</v>
      </c>
      <c r="Z20" s="8"/>
      <c r="AA20" s="8"/>
      <c r="AB20" s="8"/>
      <c r="AC20" s="8"/>
      <c r="AD20" s="8"/>
      <c r="AE20" s="8"/>
      <c r="AF20" s="8"/>
      <c r="AG20" s="8"/>
    </row>
    <row r="21" spans="1:33" hidden="1" x14ac:dyDescent="0.2">
      <c r="A21" s="28">
        <v>1</v>
      </c>
      <c r="B21" s="29" t="s">
        <v>11</v>
      </c>
      <c r="C21" s="28" t="s">
        <v>24</v>
      </c>
      <c r="D21" s="30">
        <v>842</v>
      </c>
      <c r="E21" s="8"/>
      <c r="F21" s="8"/>
      <c r="G21" s="8"/>
      <c r="H21" s="8"/>
      <c r="I21" s="8"/>
      <c r="X21" s="29" t="s">
        <v>11</v>
      </c>
      <c r="Y21" s="28">
        <v>842</v>
      </c>
      <c r="Z21" s="8"/>
      <c r="AA21" s="8"/>
      <c r="AB21" s="8"/>
      <c r="AC21" s="8"/>
      <c r="AD21" s="8"/>
      <c r="AE21" s="8"/>
      <c r="AF21" s="8"/>
      <c r="AG21" s="8"/>
    </row>
    <row r="22" spans="1:33" hidden="1" x14ac:dyDescent="0.2">
      <c r="A22" s="28">
        <v>1</v>
      </c>
      <c r="B22" s="29" t="s">
        <v>11</v>
      </c>
      <c r="C22" s="28" t="s">
        <v>25</v>
      </c>
      <c r="D22" s="30">
        <v>847</v>
      </c>
      <c r="E22" s="8"/>
      <c r="F22" s="8"/>
      <c r="G22" s="8"/>
      <c r="H22" s="8"/>
      <c r="I22" s="8"/>
      <c r="X22" s="29" t="s">
        <v>11</v>
      </c>
      <c r="Y22" s="28">
        <v>847</v>
      </c>
      <c r="Z22" s="8"/>
      <c r="AA22" s="8"/>
      <c r="AB22" s="8"/>
      <c r="AC22" s="8"/>
      <c r="AD22" s="8"/>
      <c r="AE22" s="8"/>
      <c r="AF22" s="8"/>
      <c r="AG22" s="8"/>
    </row>
    <row r="23" spans="1:33" hidden="1" x14ac:dyDescent="0.2">
      <c r="A23" s="28">
        <v>1</v>
      </c>
      <c r="B23" s="29" t="s">
        <v>11</v>
      </c>
      <c r="C23" s="28" t="s">
        <v>26</v>
      </c>
      <c r="D23" s="30">
        <v>848</v>
      </c>
      <c r="E23" s="8"/>
      <c r="F23" s="8"/>
      <c r="G23" s="8"/>
      <c r="H23" s="8"/>
      <c r="I23" s="8"/>
      <c r="X23" s="29" t="s">
        <v>11</v>
      </c>
      <c r="Y23" s="28">
        <v>848</v>
      </c>
      <c r="Z23" s="8"/>
      <c r="AA23" s="8"/>
      <c r="AB23" s="8"/>
      <c r="AC23" s="8"/>
      <c r="AD23" s="8"/>
      <c r="AE23" s="8"/>
      <c r="AF23" s="8"/>
      <c r="AG23" s="8"/>
    </row>
    <row r="24" spans="1:33" hidden="1" x14ac:dyDescent="0.2">
      <c r="A24" s="28">
        <v>1</v>
      </c>
      <c r="B24" s="29" t="s">
        <v>11</v>
      </c>
      <c r="C24" s="28" t="s">
        <v>27</v>
      </c>
      <c r="D24" s="30">
        <v>851</v>
      </c>
      <c r="E24" s="8"/>
      <c r="F24" s="8"/>
      <c r="G24" s="8"/>
      <c r="H24" s="8"/>
      <c r="I24" s="8"/>
      <c r="X24" s="29" t="s">
        <v>11</v>
      </c>
      <c r="Y24" s="28">
        <v>851</v>
      </c>
      <c r="Z24" s="8"/>
      <c r="AA24" s="8"/>
      <c r="AB24" s="8"/>
      <c r="AC24" s="8"/>
      <c r="AD24" s="8"/>
      <c r="AE24" s="8"/>
      <c r="AF24" s="8"/>
      <c r="AG24" s="8"/>
    </row>
    <row r="25" spans="1:33" hidden="1" x14ac:dyDescent="0.2">
      <c r="A25" s="28">
        <v>1</v>
      </c>
      <c r="B25" s="29" t="s">
        <v>11</v>
      </c>
      <c r="C25" s="28" t="s">
        <v>28</v>
      </c>
      <c r="D25" s="30">
        <v>853</v>
      </c>
      <c r="E25" s="8"/>
      <c r="F25" s="8"/>
      <c r="G25" s="8"/>
      <c r="H25" s="8"/>
      <c r="I25" s="8"/>
      <c r="X25" s="29" t="s">
        <v>11</v>
      </c>
      <c r="Y25" s="28">
        <v>853</v>
      </c>
      <c r="Z25" s="8"/>
      <c r="AA25" s="8"/>
      <c r="AB25" s="8"/>
      <c r="AC25" s="8"/>
      <c r="AD25" s="8"/>
      <c r="AE25" s="8"/>
      <c r="AF25" s="8"/>
      <c r="AG25" s="8"/>
    </row>
    <row r="26" spans="1:33" hidden="1" x14ac:dyDescent="0.2">
      <c r="A26" s="28">
        <v>1</v>
      </c>
      <c r="B26" s="29" t="s">
        <v>11</v>
      </c>
      <c r="C26" s="28" t="s">
        <v>29</v>
      </c>
      <c r="D26" s="30">
        <v>860</v>
      </c>
      <c r="E26" s="8"/>
      <c r="F26" s="8"/>
      <c r="G26" s="8"/>
      <c r="H26" s="8"/>
      <c r="I26" s="8"/>
      <c r="X26" s="29" t="s">
        <v>11</v>
      </c>
      <c r="Y26" s="28">
        <v>860</v>
      </c>
      <c r="Z26" s="8"/>
      <c r="AA26" s="8"/>
      <c r="AB26" s="8"/>
      <c r="AC26" s="8"/>
      <c r="AD26" s="8"/>
      <c r="AE26" s="8"/>
      <c r="AF26" s="8"/>
      <c r="AG26" s="8"/>
    </row>
    <row r="27" spans="1:33" hidden="1" x14ac:dyDescent="0.2">
      <c r="A27" s="28">
        <v>1</v>
      </c>
      <c r="B27" s="29" t="s">
        <v>11</v>
      </c>
      <c r="C27" s="28" t="s">
        <v>30</v>
      </c>
      <c r="D27" s="30">
        <v>863</v>
      </c>
      <c r="E27" s="8"/>
      <c r="F27" s="8"/>
      <c r="G27" s="8"/>
      <c r="H27" s="8"/>
      <c r="I27" s="8"/>
      <c r="X27" s="29" t="s">
        <v>11</v>
      </c>
      <c r="Y27" s="28">
        <v>863</v>
      </c>
      <c r="Z27" s="8"/>
      <c r="AA27" s="8"/>
      <c r="AB27" s="8"/>
      <c r="AC27" s="8"/>
      <c r="AD27" s="8"/>
      <c r="AE27" s="8"/>
      <c r="AF27" s="8"/>
      <c r="AG27" s="8"/>
    </row>
    <row r="28" spans="1:33" hidden="1" x14ac:dyDescent="0.2">
      <c r="A28" s="28">
        <v>1</v>
      </c>
      <c r="B28" s="29" t="s">
        <v>11</v>
      </c>
      <c r="C28" s="28" t="s">
        <v>31</v>
      </c>
      <c r="D28" s="30">
        <v>864</v>
      </c>
      <c r="E28" s="8"/>
      <c r="F28" s="8"/>
      <c r="G28" s="8"/>
      <c r="H28" s="8"/>
      <c r="I28" s="8"/>
      <c r="X28" s="29" t="s">
        <v>11</v>
      </c>
      <c r="Y28" s="28">
        <v>864</v>
      </c>
      <c r="Z28" s="8"/>
      <c r="AA28" s="8"/>
      <c r="AB28" s="8"/>
      <c r="AC28" s="8"/>
      <c r="AD28" s="8"/>
      <c r="AE28" s="8"/>
      <c r="AF28" s="8"/>
      <c r="AG28" s="8"/>
    </row>
    <row r="29" spans="1:33" hidden="1" x14ac:dyDescent="0.2">
      <c r="A29" s="28">
        <v>1</v>
      </c>
      <c r="B29" s="29" t="s">
        <v>11</v>
      </c>
      <c r="C29" s="28" t="s">
        <v>32</v>
      </c>
      <c r="D29" s="30">
        <v>867</v>
      </c>
      <c r="E29" s="8"/>
      <c r="F29" s="8"/>
      <c r="G29" s="8"/>
      <c r="H29" s="8"/>
      <c r="I29" s="8"/>
      <c r="X29" s="29" t="s">
        <v>11</v>
      </c>
      <c r="Y29" s="28">
        <v>867</v>
      </c>
      <c r="Z29" s="8"/>
      <c r="AA29" s="8"/>
      <c r="AB29" s="8"/>
      <c r="AC29" s="8"/>
      <c r="AD29" s="8"/>
      <c r="AE29" s="8"/>
      <c r="AF29" s="8"/>
      <c r="AG29" s="8"/>
    </row>
    <row r="30" spans="1:33" hidden="1" x14ac:dyDescent="0.2">
      <c r="A30" s="28">
        <v>1</v>
      </c>
      <c r="B30" s="29" t="s">
        <v>11</v>
      </c>
      <c r="C30" s="28" t="s">
        <v>33</v>
      </c>
      <c r="D30" s="30">
        <v>868</v>
      </c>
      <c r="E30" s="8"/>
      <c r="F30" s="8"/>
      <c r="G30" s="8"/>
      <c r="H30" s="8"/>
      <c r="I30" s="8"/>
      <c r="X30" s="29" t="s">
        <v>11</v>
      </c>
      <c r="Y30" s="28">
        <v>868</v>
      </c>
      <c r="Z30" s="8"/>
      <c r="AA30" s="8"/>
      <c r="AB30" s="8"/>
      <c r="AC30" s="8"/>
      <c r="AD30" s="8"/>
      <c r="AE30" s="8"/>
      <c r="AF30" s="8"/>
      <c r="AG30" s="8"/>
    </row>
    <row r="31" spans="1:33" hidden="1" x14ac:dyDescent="0.2">
      <c r="A31" s="28">
        <v>1</v>
      </c>
      <c r="B31" s="29" t="s">
        <v>11</v>
      </c>
      <c r="C31" s="28" t="s">
        <v>34</v>
      </c>
      <c r="D31" s="30">
        <v>869</v>
      </c>
      <c r="E31" s="8"/>
      <c r="F31" s="8"/>
      <c r="G31" s="8"/>
      <c r="H31" s="8"/>
      <c r="I31" s="8"/>
      <c r="X31" s="29" t="s">
        <v>11</v>
      </c>
      <c r="Y31" s="28">
        <v>869</v>
      </c>
      <c r="Z31" s="8"/>
      <c r="AA31" s="8"/>
      <c r="AB31" s="8"/>
      <c r="AC31" s="8"/>
      <c r="AD31" s="8"/>
      <c r="AE31" s="8"/>
      <c r="AF31" s="8"/>
      <c r="AG31" s="8"/>
    </row>
    <row r="32" spans="1:33" hidden="1" x14ac:dyDescent="0.2">
      <c r="A32" s="28">
        <v>1</v>
      </c>
      <c r="B32" s="29" t="s">
        <v>11</v>
      </c>
      <c r="C32" s="28" t="s">
        <v>35</v>
      </c>
      <c r="D32" s="30">
        <v>872</v>
      </c>
      <c r="E32" s="8"/>
      <c r="F32" s="8"/>
      <c r="G32" s="8"/>
      <c r="H32" s="8"/>
      <c r="I32" s="8"/>
      <c r="X32" s="29" t="s">
        <v>11</v>
      </c>
      <c r="Y32" s="28">
        <v>872</v>
      </c>
      <c r="Z32" s="8"/>
      <c r="AA32" s="8"/>
      <c r="AB32" s="8"/>
      <c r="AC32" s="8"/>
      <c r="AD32" s="8"/>
      <c r="AE32" s="8"/>
      <c r="AF32" s="8"/>
      <c r="AG32" s="8"/>
    </row>
    <row r="33" spans="1:33" hidden="1" x14ac:dyDescent="0.2">
      <c r="A33" s="28">
        <v>1</v>
      </c>
      <c r="B33" s="29" t="s">
        <v>11</v>
      </c>
      <c r="C33" s="28" t="s">
        <v>36</v>
      </c>
      <c r="D33" s="30">
        <v>876</v>
      </c>
      <c r="E33" s="8"/>
      <c r="F33" s="8"/>
      <c r="G33" s="8"/>
      <c r="H33" s="8"/>
      <c r="I33" s="8"/>
      <c r="X33" s="29" t="s">
        <v>11</v>
      </c>
      <c r="Y33" s="28">
        <v>876</v>
      </c>
      <c r="Z33" s="8"/>
      <c r="AA33" s="8"/>
      <c r="AB33" s="8"/>
      <c r="AC33" s="8"/>
      <c r="AD33" s="8"/>
      <c r="AE33" s="8"/>
      <c r="AF33" s="8"/>
      <c r="AG33" s="8"/>
    </row>
    <row r="34" spans="1:33" hidden="1" x14ac:dyDescent="0.2">
      <c r="A34" s="28">
        <v>1</v>
      </c>
      <c r="B34" s="29" t="s">
        <v>11</v>
      </c>
      <c r="C34" s="28" t="s">
        <v>37</v>
      </c>
      <c r="D34" s="30">
        <v>881</v>
      </c>
      <c r="E34" s="8"/>
      <c r="F34" s="8"/>
      <c r="G34" s="8"/>
      <c r="H34" s="8"/>
      <c r="I34" s="8"/>
      <c r="X34" s="29" t="s">
        <v>11</v>
      </c>
      <c r="Y34" s="28">
        <v>881</v>
      </c>
      <c r="Z34" s="8"/>
      <c r="AA34" s="8"/>
      <c r="AB34" s="8"/>
      <c r="AC34" s="8"/>
      <c r="AD34" s="8"/>
      <c r="AE34" s="8"/>
      <c r="AF34" s="8"/>
      <c r="AG34" s="8"/>
    </row>
    <row r="35" spans="1:33" hidden="1" x14ac:dyDescent="0.2">
      <c r="A35" s="28">
        <v>1</v>
      </c>
      <c r="B35" s="29" t="s">
        <v>11</v>
      </c>
      <c r="C35" s="28" t="s">
        <v>38</v>
      </c>
      <c r="D35" s="30">
        <v>882</v>
      </c>
      <c r="E35" s="8"/>
      <c r="F35" s="8"/>
      <c r="G35" s="8"/>
      <c r="H35" s="8"/>
      <c r="I35" s="8"/>
      <c r="X35" s="29" t="s">
        <v>11</v>
      </c>
      <c r="Y35" s="28">
        <v>882</v>
      </c>
      <c r="Z35" s="8"/>
      <c r="AA35" s="8"/>
      <c r="AB35" s="8"/>
      <c r="AC35" s="8"/>
      <c r="AD35" s="8"/>
      <c r="AE35" s="8"/>
      <c r="AF35" s="8"/>
      <c r="AG35" s="8"/>
    </row>
    <row r="36" spans="1:33" hidden="1" x14ac:dyDescent="0.2">
      <c r="A36" s="28">
        <v>1</v>
      </c>
      <c r="B36" s="29" t="s">
        <v>11</v>
      </c>
      <c r="C36" s="28" t="s">
        <v>39</v>
      </c>
      <c r="D36" s="30">
        <v>885</v>
      </c>
      <c r="E36" s="8"/>
      <c r="F36" s="8"/>
      <c r="G36" s="8"/>
      <c r="H36" s="8"/>
      <c r="I36" s="8"/>
      <c r="X36" s="29" t="s">
        <v>11</v>
      </c>
      <c r="Y36" s="28">
        <v>885</v>
      </c>
      <c r="Z36" s="8"/>
      <c r="AA36" s="8"/>
      <c r="AB36" s="8"/>
      <c r="AC36" s="8"/>
      <c r="AD36" s="8"/>
      <c r="AE36" s="8"/>
      <c r="AF36" s="8"/>
      <c r="AG36" s="8"/>
    </row>
    <row r="37" spans="1:33" hidden="1" x14ac:dyDescent="0.2">
      <c r="A37" s="28">
        <v>1</v>
      </c>
      <c r="B37" s="29" t="s">
        <v>11</v>
      </c>
      <c r="C37" s="28" t="s">
        <v>40</v>
      </c>
      <c r="D37" s="30">
        <v>889</v>
      </c>
      <c r="E37" s="8"/>
      <c r="F37" s="8"/>
      <c r="G37" s="8"/>
      <c r="H37" s="8"/>
      <c r="I37" s="8"/>
      <c r="X37" s="29" t="s">
        <v>11</v>
      </c>
      <c r="Y37" s="28">
        <v>889</v>
      </c>
      <c r="Z37" s="8"/>
      <c r="AA37" s="8"/>
      <c r="AB37" s="8"/>
      <c r="AC37" s="8"/>
      <c r="AD37" s="8"/>
      <c r="AE37" s="8"/>
      <c r="AF37" s="8"/>
      <c r="AG37" s="8"/>
    </row>
    <row r="38" spans="1:33" ht="16" hidden="1" thickBot="1" x14ac:dyDescent="0.25">
      <c r="A38" s="31">
        <v>1</v>
      </c>
      <c r="B38" s="32" t="s">
        <v>11</v>
      </c>
      <c r="C38" s="31" t="s">
        <v>41</v>
      </c>
      <c r="D38" s="33">
        <v>890</v>
      </c>
      <c r="E38" s="8"/>
      <c r="F38" s="8"/>
      <c r="G38" s="8"/>
      <c r="H38" s="8"/>
      <c r="I38" s="8"/>
      <c r="X38" s="29" t="s">
        <v>11</v>
      </c>
      <c r="Y38" s="28">
        <v>890</v>
      </c>
      <c r="Z38" s="8"/>
      <c r="AA38" s="8"/>
      <c r="AB38" s="8"/>
      <c r="AC38" s="8"/>
      <c r="AD38" s="8"/>
      <c r="AE38" s="8"/>
      <c r="AF38" s="8"/>
      <c r="AG38" s="8"/>
    </row>
    <row r="39" spans="1:33" x14ac:dyDescent="0.2">
      <c r="A39" s="3">
        <v>2</v>
      </c>
      <c r="B39" s="3" t="s">
        <v>42</v>
      </c>
      <c r="C39" s="3" t="s">
        <v>43</v>
      </c>
      <c r="D39" s="9">
        <v>800</v>
      </c>
      <c r="E39" s="8"/>
      <c r="F39" s="8"/>
      <c r="G39" s="8"/>
      <c r="H39" s="8"/>
      <c r="I39" s="8"/>
      <c r="X39" s="4" t="s">
        <v>42</v>
      </c>
      <c r="Y39" s="4">
        <v>800</v>
      </c>
      <c r="Z39" s="8"/>
      <c r="AA39" s="8"/>
      <c r="AB39" s="8"/>
      <c r="AC39" s="23" t="s">
        <v>74</v>
      </c>
      <c r="AD39" s="23">
        <v>856</v>
      </c>
      <c r="AE39" s="8"/>
      <c r="AF39" s="8"/>
      <c r="AG39" s="8"/>
    </row>
    <row r="40" spans="1:33" x14ac:dyDescent="0.2">
      <c r="A40" s="4">
        <v>2</v>
      </c>
      <c r="B40" s="4" t="s">
        <v>42</v>
      </c>
      <c r="C40" s="4" t="s">
        <v>44</v>
      </c>
      <c r="D40" s="10">
        <v>801</v>
      </c>
      <c r="E40" s="8"/>
      <c r="F40" s="8"/>
      <c r="G40" s="8"/>
      <c r="H40" s="8"/>
      <c r="I40" s="8"/>
      <c r="X40" s="4" t="s">
        <v>42</v>
      </c>
      <c r="Y40" s="4">
        <v>801</v>
      </c>
      <c r="Z40" s="8"/>
      <c r="AA40" s="8"/>
      <c r="AB40" s="8"/>
      <c r="AC40" s="23" t="s">
        <v>74</v>
      </c>
      <c r="AD40" s="23">
        <v>859</v>
      </c>
      <c r="AE40" s="8"/>
      <c r="AF40" s="8"/>
      <c r="AG40" s="8"/>
    </row>
    <row r="41" spans="1:33" x14ac:dyDescent="0.2">
      <c r="A41" s="4">
        <v>2</v>
      </c>
      <c r="B41" s="4" t="s">
        <v>42</v>
      </c>
      <c r="C41" s="4" t="s">
        <v>45</v>
      </c>
      <c r="D41" s="10">
        <v>804</v>
      </c>
      <c r="E41" s="8"/>
      <c r="F41" s="8"/>
      <c r="G41" s="8"/>
      <c r="H41" s="8"/>
      <c r="I41" s="8"/>
      <c r="X41" s="4" t="s">
        <v>42</v>
      </c>
      <c r="Y41" s="4">
        <v>804</v>
      </c>
      <c r="Z41" s="8"/>
      <c r="AA41" s="8"/>
      <c r="AB41" s="8"/>
      <c r="AC41" s="23" t="s">
        <v>74</v>
      </c>
      <c r="AD41" s="23">
        <v>861</v>
      </c>
      <c r="AE41" s="8"/>
      <c r="AF41" s="8"/>
      <c r="AG41" s="8"/>
    </row>
    <row r="42" spans="1:33" x14ac:dyDescent="0.2">
      <c r="A42" s="4">
        <v>2</v>
      </c>
      <c r="B42" s="4" t="s">
        <v>42</v>
      </c>
      <c r="C42" s="4" t="s">
        <v>46</v>
      </c>
      <c r="D42" s="10">
        <v>806</v>
      </c>
      <c r="E42" s="8"/>
      <c r="F42" s="8"/>
      <c r="G42" s="8"/>
      <c r="H42" s="8"/>
      <c r="I42" s="8"/>
      <c r="X42" s="4" t="s">
        <v>42</v>
      </c>
      <c r="Y42" s="4">
        <v>806</v>
      </c>
      <c r="Z42" s="8"/>
      <c r="AA42" s="8"/>
      <c r="AB42" s="8"/>
      <c r="AC42" s="23" t="s">
        <v>74</v>
      </c>
      <c r="AD42" s="23">
        <v>862</v>
      </c>
      <c r="AE42" s="8"/>
      <c r="AF42" s="8"/>
      <c r="AG42" s="8"/>
    </row>
    <row r="43" spans="1:33" x14ac:dyDescent="0.2">
      <c r="A43" s="4">
        <v>2</v>
      </c>
      <c r="B43" s="4" t="s">
        <v>42</v>
      </c>
      <c r="C43" s="4" t="s">
        <v>47</v>
      </c>
      <c r="D43" s="10">
        <v>809</v>
      </c>
      <c r="E43" s="8"/>
      <c r="F43" s="8"/>
      <c r="G43" s="8"/>
      <c r="H43" s="8"/>
      <c r="I43" s="8"/>
      <c r="X43" s="4" t="s">
        <v>42</v>
      </c>
      <c r="Y43" s="4">
        <v>809</v>
      </c>
      <c r="Z43" s="8"/>
      <c r="AA43" s="8"/>
      <c r="AB43" s="8"/>
      <c r="AC43" s="23" t="s">
        <v>74</v>
      </c>
      <c r="AD43" s="23">
        <v>865</v>
      </c>
      <c r="AE43" s="8"/>
      <c r="AF43" s="8"/>
      <c r="AG43" s="8"/>
    </row>
    <row r="44" spans="1:33" x14ac:dyDescent="0.2">
      <c r="A44" s="4">
        <v>2</v>
      </c>
      <c r="B44" s="4" t="s">
        <v>42</v>
      </c>
      <c r="C44" s="4" t="s">
        <v>48</v>
      </c>
      <c r="D44" s="10">
        <v>810</v>
      </c>
      <c r="E44" s="8"/>
      <c r="F44" s="8"/>
      <c r="G44" s="8"/>
      <c r="H44" s="8"/>
      <c r="I44" s="8"/>
      <c r="X44" s="4" t="s">
        <v>42</v>
      </c>
      <c r="Y44" s="4">
        <v>810</v>
      </c>
      <c r="Z44" s="8"/>
      <c r="AA44" s="8"/>
      <c r="AB44" s="8"/>
      <c r="AC44" s="23" t="s">
        <v>74</v>
      </c>
      <c r="AD44" s="23">
        <v>866</v>
      </c>
      <c r="AE44" s="8"/>
      <c r="AF44" s="8"/>
      <c r="AG44" s="8"/>
    </row>
    <row r="45" spans="1:33" x14ac:dyDescent="0.2">
      <c r="A45" s="4">
        <v>2</v>
      </c>
      <c r="B45" s="4" t="s">
        <v>42</v>
      </c>
      <c r="C45" s="4" t="s">
        <v>49</v>
      </c>
      <c r="D45" s="10">
        <v>819</v>
      </c>
      <c r="E45" s="8"/>
      <c r="F45" s="8"/>
      <c r="G45" s="8"/>
      <c r="H45" s="8"/>
      <c r="I45" s="8"/>
      <c r="X45" s="4" t="s">
        <v>42</v>
      </c>
      <c r="Y45" s="4">
        <v>819</v>
      </c>
      <c r="Z45" s="8"/>
      <c r="AA45" s="8"/>
      <c r="AB45" s="8"/>
      <c r="AC45" s="23" t="s">
        <v>74</v>
      </c>
      <c r="AD45" s="23">
        <v>871</v>
      </c>
      <c r="AE45" s="8"/>
      <c r="AF45" s="8"/>
      <c r="AG45" s="8"/>
    </row>
    <row r="46" spans="1:33" x14ac:dyDescent="0.2">
      <c r="A46" s="4">
        <v>2</v>
      </c>
      <c r="B46" s="4" t="s">
        <v>42</v>
      </c>
      <c r="C46" s="4" t="s">
        <v>50</v>
      </c>
      <c r="D46" s="10">
        <v>822</v>
      </c>
      <c r="E46" s="8"/>
      <c r="F46" s="8"/>
      <c r="G46" s="8"/>
      <c r="H46" s="8"/>
      <c r="I46" s="8"/>
      <c r="X46" s="4" t="s">
        <v>42</v>
      </c>
      <c r="Y46" s="4">
        <v>822</v>
      </c>
      <c r="Z46" s="8"/>
      <c r="AA46" s="8"/>
      <c r="AB46" s="8"/>
      <c r="AC46" s="23" t="s">
        <v>74</v>
      </c>
      <c r="AD46" s="23">
        <v>873</v>
      </c>
      <c r="AE46" s="8"/>
      <c r="AF46" s="8"/>
      <c r="AG46" s="8"/>
    </row>
    <row r="47" spans="1:33" x14ac:dyDescent="0.2">
      <c r="A47" s="4">
        <v>2</v>
      </c>
      <c r="B47" s="4" t="s">
        <v>42</v>
      </c>
      <c r="C47" s="4" t="s">
        <v>51</v>
      </c>
      <c r="D47" s="10">
        <v>823</v>
      </c>
      <c r="E47" s="8"/>
      <c r="F47" s="8"/>
      <c r="G47" s="8"/>
      <c r="H47" s="8"/>
      <c r="I47" s="8"/>
      <c r="X47" s="4" t="s">
        <v>42</v>
      </c>
      <c r="Y47" s="4">
        <v>823</v>
      </c>
      <c r="Z47" s="8"/>
      <c r="AA47" s="8"/>
      <c r="AB47" s="8"/>
      <c r="AC47" s="23" t="s">
        <v>74</v>
      </c>
      <c r="AD47" s="23">
        <v>874</v>
      </c>
      <c r="AE47" s="8"/>
      <c r="AF47" s="8"/>
      <c r="AG47" s="8"/>
    </row>
    <row r="48" spans="1:33" x14ac:dyDescent="0.2">
      <c r="A48" s="4">
        <v>2</v>
      </c>
      <c r="B48" s="4" t="s">
        <v>42</v>
      </c>
      <c r="C48" s="4" t="s">
        <v>52</v>
      </c>
      <c r="D48" s="10">
        <v>825</v>
      </c>
      <c r="E48" s="8"/>
      <c r="F48" s="8"/>
      <c r="G48" s="8"/>
      <c r="H48" s="8"/>
      <c r="I48" s="8"/>
      <c r="X48" s="4" t="s">
        <v>42</v>
      </c>
      <c r="Y48" s="4">
        <v>825</v>
      </c>
      <c r="Z48" s="8"/>
      <c r="AA48" s="8"/>
      <c r="AB48" s="8"/>
      <c r="AC48" s="23" t="s">
        <v>74</v>
      </c>
      <c r="AD48" s="23">
        <v>877</v>
      </c>
      <c r="AE48" s="8"/>
      <c r="AF48" s="8"/>
      <c r="AG48" s="8"/>
    </row>
    <row r="49" spans="1:33" x14ac:dyDescent="0.2">
      <c r="A49" s="4">
        <v>2</v>
      </c>
      <c r="B49" s="4" t="s">
        <v>42</v>
      </c>
      <c r="C49" s="4" t="s">
        <v>53</v>
      </c>
      <c r="D49" s="10">
        <v>826</v>
      </c>
      <c r="E49" s="8"/>
      <c r="F49" s="8"/>
      <c r="G49" s="8"/>
      <c r="H49" s="8"/>
      <c r="I49" s="8"/>
      <c r="X49" s="4" t="s">
        <v>42</v>
      </c>
      <c r="Y49" s="4">
        <v>826</v>
      </c>
      <c r="Z49" s="8"/>
      <c r="AA49" s="8"/>
      <c r="AB49" s="8"/>
      <c r="AC49" s="23" t="s">
        <v>74</v>
      </c>
      <c r="AD49" s="23">
        <v>879</v>
      </c>
      <c r="AE49" s="8"/>
      <c r="AF49" s="8"/>
      <c r="AG49" s="8"/>
    </row>
    <row r="50" spans="1:33" x14ac:dyDescent="0.2">
      <c r="A50" s="4">
        <v>2</v>
      </c>
      <c r="B50" s="4" t="s">
        <v>42</v>
      </c>
      <c r="C50" s="4" t="s">
        <v>54</v>
      </c>
      <c r="D50" s="10">
        <v>828</v>
      </c>
      <c r="E50" s="8"/>
      <c r="F50" s="8"/>
      <c r="G50" s="8"/>
      <c r="H50" s="8"/>
      <c r="I50" s="8"/>
      <c r="X50" s="4" t="s">
        <v>42</v>
      </c>
      <c r="Y50" s="4">
        <v>828</v>
      </c>
      <c r="Z50" s="8"/>
      <c r="AA50" s="8"/>
      <c r="AB50" s="8"/>
      <c r="AC50" s="23" t="s">
        <v>74</v>
      </c>
      <c r="AD50" s="23">
        <v>887</v>
      </c>
      <c r="AE50" s="8"/>
      <c r="AF50" s="8"/>
      <c r="AG50" s="8"/>
    </row>
    <row r="51" spans="1:33" x14ac:dyDescent="0.2">
      <c r="A51" s="4">
        <v>2</v>
      </c>
      <c r="B51" s="4" t="s">
        <v>42</v>
      </c>
      <c r="C51" s="4" t="s">
        <v>55</v>
      </c>
      <c r="D51" s="10">
        <v>829</v>
      </c>
      <c r="E51" s="8"/>
      <c r="F51" s="8"/>
      <c r="G51" s="8"/>
      <c r="H51" s="8"/>
      <c r="I51" s="8"/>
      <c r="X51" s="4" t="s">
        <v>42</v>
      </c>
      <c r="Y51" s="4">
        <v>829</v>
      </c>
      <c r="Z51" s="8"/>
      <c r="AA51" s="8"/>
      <c r="AB51" s="8"/>
      <c r="AC51" s="23" t="s">
        <v>74</v>
      </c>
      <c r="AD51" s="23">
        <v>888</v>
      </c>
      <c r="AE51" s="8"/>
      <c r="AF51" s="8"/>
      <c r="AG51" s="8"/>
    </row>
    <row r="52" spans="1:33" x14ac:dyDescent="0.2">
      <c r="A52" s="4">
        <v>2</v>
      </c>
      <c r="B52" s="4" t="s">
        <v>42</v>
      </c>
      <c r="C52" s="4" t="s">
        <v>56</v>
      </c>
      <c r="D52" s="10">
        <v>832</v>
      </c>
      <c r="E52" s="8"/>
      <c r="F52" s="8"/>
      <c r="G52" s="8"/>
      <c r="H52" s="8"/>
      <c r="I52" s="8"/>
      <c r="X52" s="4" t="s">
        <v>42</v>
      </c>
      <c r="Y52" s="4">
        <v>832</v>
      </c>
      <c r="Z52" s="8"/>
      <c r="AA52" s="8"/>
      <c r="AB52" s="8"/>
      <c r="AC52" s="17" t="s">
        <v>104</v>
      </c>
      <c r="AD52" s="17" t="s">
        <v>105</v>
      </c>
      <c r="AE52" s="8"/>
      <c r="AF52" s="8"/>
      <c r="AG52" s="8"/>
    </row>
    <row r="53" spans="1:33" x14ac:dyDescent="0.2">
      <c r="A53" s="4">
        <v>2</v>
      </c>
      <c r="B53" s="4" t="s">
        <v>42</v>
      </c>
      <c r="C53" s="4" t="s">
        <v>57</v>
      </c>
      <c r="D53" s="10">
        <v>836</v>
      </c>
      <c r="E53" s="8"/>
      <c r="F53" s="8"/>
      <c r="G53" s="8"/>
      <c r="H53" s="8"/>
      <c r="I53" s="8"/>
      <c r="X53" s="4" t="s">
        <v>42</v>
      </c>
      <c r="Y53" s="4">
        <v>836</v>
      </c>
      <c r="Z53" s="8"/>
      <c r="AA53" s="8"/>
      <c r="AB53" s="8"/>
      <c r="AC53" s="17" t="s">
        <v>104</v>
      </c>
      <c r="AD53" s="17" t="s">
        <v>106</v>
      </c>
      <c r="AE53" s="8"/>
      <c r="AF53" s="8"/>
      <c r="AG53" s="8"/>
    </row>
    <row r="54" spans="1:33" x14ac:dyDescent="0.2">
      <c r="A54" s="4">
        <v>2</v>
      </c>
      <c r="B54" s="4" t="s">
        <v>42</v>
      </c>
      <c r="C54" s="4" t="s">
        <v>58</v>
      </c>
      <c r="D54" s="10">
        <v>839</v>
      </c>
      <c r="E54" s="8"/>
      <c r="F54" s="8"/>
      <c r="G54" s="8"/>
      <c r="H54" s="8"/>
      <c r="I54" s="8"/>
      <c r="X54" s="4" t="s">
        <v>42</v>
      </c>
      <c r="Y54" s="4">
        <v>839</v>
      </c>
      <c r="Z54" s="8"/>
      <c r="AA54" s="8"/>
      <c r="AB54" s="8"/>
      <c r="AC54" s="17" t="s">
        <v>104</v>
      </c>
      <c r="AD54" s="17" t="s">
        <v>107</v>
      </c>
      <c r="AE54" s="8"/>
      <c r="AF54" s="8"/>
      <c r="AG54" s="8"/>
    </row>
    <row r="55" spans="1:33" x14ac:dyDescent="0.2">
      <c r="A55" s="4">
        <v>2</v>
      </c>
      <c r="B55" s="4" t="s">
        <v>42</v>
      </c>
      <c r="C55" s="4" t="s">
        <v>59</v>
      </c>
      <c r="D55" s="10">
        <v>840</v>
      </c>
      <c r="E55" s="8"/>
      <c r="F55" s="8"/>
      <c r="G55" s="8"/>
      <c r="H55" s="8"/>
      <c r="I55" s="8"/>
      <c r="X55" s="4" t="s">
        <v>42</v>
      </c>
      <c r="Y55" s="4">
        <v>840</v>
      </c>
      <c r="Z55" s="8"/>
      <c r="AA55" s="8"/>
      <c r="AB55" s="8"/>
      <c r="AC55" s="17" t="s">
        <v>104</v>
      </c>
      <c r="AD55" s="17" t="s">
        <v>108</v>
      </c>
      <c r="AE55" s="8"/>
      <c r="AF55" s="8"/>
      <c r="AG55" s="8"/>
    </row>
    <row r="56" spans="1:33" x14ac:dyDescent="0.2">
      <c r="A56" s="4">
        <v>2</v>
      </c>
      <c r="B56" s="4" t="s">
        <v>42</v>
      </c>
      <c r="C56" s="4" t="s">
        <v>60</v>
      </c>
      <c r="D56" s="10">
        <v>841</v>
      </c>
      <c r="E56" s="8"/>
      <c r="F56" s="8"/>
      <c r="G56" s="8"/>
      <c r="H56" s="8"/>
      <c r="I56" s="8"/>
      <c r="X56" s="4" t="s">
        <v>42</v>
      </c>
      <c r="Y56" s="4">
        <v>841</v>
      </c>
      <c r="Z56" s="8"/>
      <c r="AA56" s="8"/>
      <c r="AB56" s="8"/>
      <c r="AC56" s="17" t="s">
        <v>104</v>
      </c>
      <c r="AD56" s="17" t="s">
        <v>109</v>
      </c>
      <c r="AE56" s="8"/>
      <c r="AF56" s="8"/>
      <c r="AG56" s="8"/>
    </row>
    <row r="57" spans="1:33" x14ac:dyDescent="0.2">
      <c r="A57" s="4">
        <v>2</v>
      </c>
      <c r="B57" s="4" t="s">
        <v>42</v>
      </c>
      <c r="C57" s="4" t="s">
        <v>61</v>
      </c>
      <c r="D57" s="10">
        <v>843</v>
      </c>
      <c r="E57" s="8"/>
      <c r="F57" s="8"/>
      <c r="G57" s="8"/>
      <c r="H57" s="8"/>
      <c r="I57" s="8"/>
      <c r="X57" s="4" t="s">
        <v>42</v>
      </c>
      <c r="Y57" s="4">
        <v>843</v>
      </c>
      <c r="Z57" s="8"/>
      <c r="AA57" s="8"/>
      <c r="AB57" s="8"/>
      <c r="AC57" s="17" t="s">
        <v>104</v>
      </c>
      <c r="AD57" s="17" t="s">
        <v>110</v>
      </c>
      <c r="AE57" s="8"/>
      <c r="AF57" s="8"/>
      <c r="AG57" s="8"/>
    </row>
    <row r="58" spans="1:33" x14ac:dyDescent="0.2">
      <c r="A58" s="4">
        <v>2</v>
      </c>
      <c r="B58" s="4" t="s">
        <v>42</v>
      </c>
      <c r="C58" s="4" t="s">
        <v>62</v>
      </c>
      <c r="D58" s="10">
        <v>850</v>
      </c>
      <c r="E58" s="8"/>
      <c r="F58" s="8"/>
      <c r="G58" s="8"/>
      <c r="H58" s="8"/>
      <c r="I58" s="8"/>
      <c r="X58" s="4" t="s">
        <v>42</v>
      </c>
      <c r="Y58" s="4">
        <v>850</v>
      </c>
      <c r="Z58" s="8"/>
      <c r="AA58" s="8"/>
      <c r="AB58" s="8"/>
      <c r="AC58" s="17" t="s">
        <v>104</v>
      </c>
      <c r="AD58" s="17" t="s">
        <v>111</v>
      </c>
      <c r="AE58" s="8"/>
      <c r="AF58" s="8"/>
      <c r="AG58" s="8"/>
    </row>
    <row r="59" spans="1:33" x14ac:dyDescent="0.2">
      <c r="A59" s="4">
        <v>2</v>
      </c>
      <c r="B59" s="4" t="s">
        <v>42</v>
      </c>
      <c r="C59" s="4" t="s">
        <v>63</v>
      </c>
      <c r="D59" s="10">
        <v>852</v>
      </c>
      <c r="E59" s="8"/>
      <c r="F59" s="8"/>
      <c r="G59" s="8"/>
      <c r="H59" s="8"/>
      <c r="I59" s="8"/>
      <c r="X59" s="4" t="s">
        <v>42</v>
      </c>
      <c r="Y59" s="4">
        <v>852</v>
      </c>
      <c r="Z59" s="8"/>
      <c r="AA59" s="8"/>
      <c r="AB59" s="8"/>
      <c r="AC59" s="17" t="s">
        <v>104</v>
      </c>
      <c r="AD59" s="17" t="s">
        <v>112</v>
      </c>
      <c r="AE59" s="8"/>
      <c r="AF59" s="8"/>
      <c r="AG59" s="8"/>
    </row>
    <row r="60" spans="1:33" x14ac:dyDescent="0.2">
      <c r="A60" s="4">
        <v>2</v>
      </c>
      <c r="B60" s="4" t="s">
        <v>42</v>
      </c>
      <c r="C60" s="4" t="s">
        <v>64</v>
      </c>
      <c r="D60" s="10">
        <v>854</v>
      </c>
      <c r="E60" s="8"/>
      <c r="F60" s="8"/>
      <c r="G60" s="8"/>
      <c r="H60" s="8"/>
      <c r="I60" s="8"/>
      <c r="X60" s="4" t="s">
        <v>42</v>
      </c>
      <c r="Y60" s="4">
        <v>854</v>
      </c>
      <c r="Z60" s="8"/>
      <c r="AA60" s="8"/>
      <c r="AB60" s="8"/>
      <c r="AC60" s="17" t="s">
        <v>104</v>
      </c>
      <c r="AD60" s="17" t="s">
        <v>113</v>
      </c>
      <c r="AE60" s="8"/>
      <c r="AF60" s="8"/>
      <c r="AG60" s="8"/>
    </row>
    <row r="61" spans="1:33" x14ac:dyDescent="0.2">
      <c r="A61" s="4">
        <v>2</v>
      </c>
      <c r="B61" s="4" t="s">
        <v>42</v>
      </c>
      <c r="C61" s="4" t="s">
        <v>65</v>
      </c>
      <c r="D61" s="10">
        <v>855</v>
      </c>
      <c r="E61" s="8"/>
      <c r="F61" s="8"/>
      <c r="G61" s="8"/>
      <c r="H61" s="8"/>
      <c r="I61" s="8"/>
      <c r="X61" s="4" t="s">
        <v>42</v>
      </c>
      <c r="Y61" s="4">
        <v>855</v>
      </c>
      <c r="Z61" s="8"/>
      <c r="AA61" s="8"/>
      <c r="AB61" s="8"/>
      <c r="AC61" s="17" t="s">
        <v>104</v>
      </c>
      <c r="AD61" s="17" t="s">
        <v>114</v>
      </c>
      <c r="AE61" s="8"/>
      <c r="AF61" s="8"/>
      <c r="AG61" s="8"/>
    </row>
    <row r="62" spans="1:33" x14ac:dyDescent="0.2">
      <c r="A62" s="4">
        <v>2</v>
      </c>
      <c r="B62" s="4" t="s">
        <v>42</v>
      </c>
      <c r="C62" s="4" t="s">
        <v>66</v>
      </c>
      <c r="D62" s="10">
        <v>857</v>
      </c>
      <c r="E62" s="8"/>
      <c r="F62" s="8"/>
      <c r="G62" s="8"/>
      <c r="H62" s="8"/>
      <c r="I62" s="8"/>
      <c r="X62" s="4" t="s">
        <v>42</v>
      </c>
      <c r="Y62" s="4">
        <v>857</v>
      </c>
      <c r="Z62" s="8"/>
      <c r="AA62" s="8"/>
      <c r="AB62" s="8"/>
      <c r="AC62" s="17" t="s">
        <v>104</v>
      </c>
      <c r="AD62" s="17" t="s">
        <v>115</v>
      </c>
      <c r="AE62" s="8"/>
      <c r="AF62" s="8"/>
      <c r="AG62" s="8"/>
    </row>
    <row r="63" spans="1:33" x14ac:dyDescent="0.2">
      <c r="A63" s="4">
        <v>2</v>
      </c>
      <c r="B63" s="4" t="s">
        <v>42</v>
      </c>
      <c r="C63" s="4" t="s">
        <v>67</v>
      </c>
      <c r="D63" s="10">
        <v>858</v>
      </c>
      <c r="E63" s="8"/>
      <c r="F63" s="8"/>
      <c r="G63" s="8"/>
      <c r="H63" s="8"/>
      <c r="I63" s="8"/>
      <c r="X63" s="4" t="s">
        <v>42</v>
      </c>
      <c r="Y63" s="4">
        <v>858</v>
      </c>
      <c r="Z63" s="8"/>
      <c r="AA63" s="8"/>
      <c r="AB63" s="8"/>
      <c r="AC63" s="17" t="s">
        <v>104</v>
      </c>
      <c r="AD63" s="17" t="s">
        <v>116</v>
      </c>
      <c r="AE63" s="8"/>
      <c r="AF63" s="8"/>
      <c r="AG63" s="8"/>
    </row>
    <row r="64" spans="1:33" x14ac:dyDescent="0.2">
      <c r="A64" s="4">
        <v>2</v>
      </c>
      <c r="B64" s="4" t="s">
        <v>42</v>
      </c>
      <c r="C64" s="4" t="s">
        <v>68</v>
      </c>
      <c r="D64" s="10">
        <v>870</v>
      </c>
      <c r="E64" s="8"/>
      <c r="F64" s="8"/>
      <c r="G64" s="8"/>
      <c r="H64" s="8"/>
      <c r="I64" s="8"/>
      <c r="X64" s="4" t="s">
        <v>42</v>
      </c>
      <c r="Y64" s="4">
        <v>870</v>
      </c>
      <c r="Z64" s="8"/>
      <c r="AA64" s="8"/>
      <c r="AB64" s="8"/>
      <c r="AC64" s="17" t="s">
        <v>104</v>
      </c>
      <c r="AD64" s="17" t="s">
        <v>117</v>
      </c>
      <c r="AE64" s="8"/>
      <c r="AF64" s="8"/>
      <c r="AG64" s="8"/>
    </row>
    <row r="65" spans="1:33" x14ac:dyDescent="0.2">
      <c r="A65" s="4">
        <v>2</v>
      </c>
      <c r="B65" s="4" t="s">
        <v>42</v>
      </c>
      <c r="C65" s="4" t="s">
        <v>69</v>
      </c>
      <c r="D65" s="10">
        <v>875</v>
      </c>
      <c r="E65" s="8"/>
      <c r="F65" s="8"/>
      <c r="G65" s="8"/>
      <c r="H65" s="8"/>
      <c r="I65" s="8"/>
      <c r="X65" s="4" t="s">
        <v>42</v>
      </c>
      <c r="Y65" s="4">
        <v>875</v>
      </c>
      <c r="Z65" s="8"/>
      <c r="AA65" s="8"/>
      <c r="AB65" s="8"/>
      <c r="AC65" s="17" t="s">
        <v>104</v>
      </c>
      <c r="AD65" s="17" t="s">
        <v>118</v>
      </c>
      <c r="AE65" s="8"/>
      <c r="AF65" s="8"/>
      <c r="AG65" s="8"/>
    </row>
    <row r="66" spans="1:33" x14ac:dyDescent="0.2">
      <c r="A66" s="4">
        <v>2</v>
      </c>
      <c r="B66" s="4" t="s">
        <v>42</v>
      </c>
      <c r="C66" s="4" t="s">
        <v>70</v>
      </c>
      <c r="D66" s="10">
        <v>880</v>
      </c>
      <c r="E66" s="8"/>
      <c r="F66" s="8"/>
      <c r="G66" s="8"/>
      <c r="H66" s="8"/>
      <c r="I66" s="8"/>
      <c r="X66" s="4" t="s">
        <v>42</v>
      </c>
      <c r="Y66" s="4">
        <v>880</v>
      </c>
      <c r="Z66" s="8"/>
      <c r="AA66" s="8"/>
      <c r="AB66" s="8"/>
      <c r="AC66" s="17" t="s">
        <v>104</v>
      </c>
      <c r="AD66" s="17" t="s">
        <v>119</v>
      </c>
      <c r="AE66" s="8"/>
      <c r="AF66" s="8"/>
      <c r="AG66" s="8"/>
    </row>
    <row r="67" spans="1:33" x14ac:dyDescent="0.2">
      <c r="A67" s="4">
        <v>2</v>
      </c>
      <c r="B67" s="4" t="s">
        <v>42</v>
      </c>
      <c r="C67" s="4" t="s">
        <v>71</v>
      </c>
      <c r="D67" s="10">
        <v>883</v>
      </c>
      <c r="E67" s="8"/>
      <c r="F67" s="8"/>
      <c r="G67" s="8"/>
      <c r="H67" s="8"/>
      <c r="I67" s="8"/>
      <c r="X67" s="4" t="s">
        <v>42</v>
      </c>
      <c r="Y67" s="4">
        <v>883</v>
      </c>
      <c r="Z67" s="8"/>
      <c r="AA67" s="8"/>
      <c r="AB67" s="8"/>
      <c r="AC67" s="17" t="s">
        <v>104</v>
      </c>
      <c r="AD67" s="17" t="s">
        <v>120</v>
      </c>
      <c r="AE67" s="8"/>
      <c r="AF67" s="8"/>
      <c r="AG67" s="8"/>
    </row>
    <row r="68" spans="1:33" x14ac:dyDescent="0.2">
      <c r="A68" s="4">
        <v>2</v>
      </c>
      <c r="B68" s="4" t="s">
        <v>42</v>
      </c>
      <c r="C68" s="4" t="s">
        <v>72</v>
      </c>
      <c r="D68" s="10">
        <v>884</v>
      </c>
      <c r="E68" s="8"/>
      <c r="F68" s="8"/>
      <c r="G68" s="8"/>
      <c r="H68" s="8"/>
      <c r="I68" s="8"/>
      <c r="X68" s="4" t="s">
        <v>42</v>
      </c>
      <c r="Y68" s="4">
        <v>884</v>
      </c>
      <c r="Z68" s="8"/>
      <c r="AA68" s="8"/>
      <c r="AB68" s="8"/>
      <c r="AC68" s="17" t="s">
        <v>104</v>
      </c>
      <c r="AD68" s="17" t="s">
        <v>121</v>
      </c>
      <c r="AE68" s="8"/>
      <c r="AF68" s="8"/>
      <c r="AG68" s="8"/>
    </row>
    <row r="69" spans="1:33" ht="16" thickBot="1" x14ac:dyDescent="0.25">
      <c r="A69" s="5">
        <v>2</v>
      </c>
      <c r="B69" s="5" t="s">
        <v>42</v>
      </c>
      <c r="C69" s="5" t="s">
        <v>73</v>
      </c>
      <c r="D69" s="11">
        <v>886</v>
      </c>
      <c r="E69" s="8"/>
      <c r="F69" s="8"/>
      <c r="G69" s="8"/>
      <c r="H69" s="8"/>
      <c r="I69" s="8"/>
      <c r="X69" s="4" t="s">
        <v>42</v>
      </c>
      <c r="Y69" s="4">
        <v>886</v>
      </c>
      <c r="Z69" s="8"/>
      <c r="AA69" s="8"/>
      <c r="AB69" s="8"/>
      <c r="AC69" s="17" t="s">
        <v>104</v>
      </c>
      <c r="AD69" s="17" t="s">
        <v>122</v>
      </c>
      <c r="AE69" s="8"/>
      <c r="AF69" s="8"/>
      <c r="AG69" s="8"/>
    </row>
    <row r="70" spans="1:33" x14ac:dyDescent="0.2">
      <c r="A70" s="19">
        <v>3</v>
      </c>
      <c r="B70" s="20" t="s">
        <v>74</v>
      </c>
      <c r="C70" s="20" t="s">
        <v>75</v>
      </c>
      <c r="D70" s="21">
        <v>802</v>
      </c>
      <c r="E70" s="8"/>
      <c r="F70" s="8"/>
      <c r="G70" s="8"/>
      <c r="H70" s="8"/>
      <c r="I70" s="8"/>
      <c r="X70" s="23" t="s">
        <v>74</v>
      </c>
      <c r="Y70" s="23">
        <v>802</v>
      </c>
      <c r="Z70" s="8"/>
      <c r="AA70" s="8"/>
      <c r="AB70" s="8"/>
      <c r="AC70" s="17" t="s">
        <v>104</v>
      </c>
      <c r="AD70" s="17" t="s">
        <v>124</v>
      </c>
      <c r="AE70" s="8"/>
      <c r="AF70" s="8"/>
      <c r="AG70" s="8"/>
    </row>
    <row r="71" spans="1:33" x14ac:dyDescent="0.2">
      <c r="A71" s="22">
        <v>3</v>
      </c>
      <c r="B71" s="23" t="s">
        <v>74</v>
      </c>
      <c r="C71" s="23" t="s">
        <v>76</v>
      </c>
      <c r="D71" s="24">
        <v>803</v>
      </c>
      <c r="E71" s="8"/>
      <c r="F71" s="8"/>
      <c r="G71" s="8"/>
      <c r="H71" s="8"/>
      <c r="I71" s="8"/>
      <c r="X71" s="23" t="s">
        <v>74</v>
      </c>
      <c r="Y71" s="23">
        <v>803</v>
      </c>
      <c r="Z71" s="8"/>
      <c r="AA71" s="8"/>
      <c r="AB71" s="8"/>
      <c r="AC71" s="17" t="s">
        <v>104</v>
      </c>
      <c r="AD71" s="17" t="s">
        <v>125</v>
      </c>
      <c r="AE71" s="8"/>
      <c r="AF71" s="8"/>
      <c r="AG71" s="8"/>
    </row>
    <row r="72" spans="1:33" x14ac:dyDescent="0.2">
      <c r="A72" s="22">
        <v>3</v>
      </c>
      <c r="B72" s="23" t="s">
        <v>74</v>
      </c>
      <c r="C72" s="23" t="s">
        <v>77</v>
      </c>
      <c r="D72" s="24">
        <v>808</v>
      </c>
      <c r="E72" s="8"/>
      <c r="F72" s="8"/>
      <c r="G72" s="8"/>
      <c r="H72" s="8"/>
      <c r="I72" s="8"/>
      <c r="X72" s="23" t="s">
        <v>74</v>
      </c>
      <c r="Y72" s="23">
        <v>808</v>
      </c>
      <c r="Z72" s="8"/>
      <c r="AA72" s="8"/>
      <c r="AB72" s="8"/>
      <c r="AC72" s="17" t="s">
        <v>104</v>
      </c>
      <c r="AD72" s="17" t="s">
        <v>126</v>
      </c>
      <c r="AE72" s="8"/>
      <c r="AF72" s="8"/>
      <c r="AG72" s="8"/>
    </row>
    <row r="73" spans="1:33" x14ac:dyDescent="0.2">
      <c r="A73" s="22">
        <v>3</v>
      </c>
      <c r="B73" s="23" t="s">
        <v>74</v>
      </c>
      <c r="C73" s="23" t="s">
        <v>78</v>
      </c>
      <c r="D73" s="24">
        <v>811</v>
      </c>
      <c r="E73" s="8"/>
      <c r="F73" s="8"/>
      <c r="G73" s="8"/>
      <c r="H73" s="8"/>
      <c r="I73" s="8"/>
      <c r="X73" s="23" t="s">
        <v>74</v>
      </c>
      <c r="Y73" s="23">
        <v>811</v>
      </c>
      <c r="Z73" s="8"/>
      <c r="AA73" s="8"/>
      <c r="AB73" s="8"/>
      <c r="AC73" s="17" t="s">
        <v>104</v>
      </c>
      <c r="AD73" s="17" t="s">
        <v>127</v>
      </c>
      <c r="AE73" s="8"/>
      <c r="AF73" s="8"/>
      <c r="AG73" s="8"/>
    </row>
    <row r="74" spans="1:33" x14ac:dyDescent="0.2">
      <c r="A74" s="22">
        <v>3</v>
      </c>
      <c r="B74" s="23" t="s">
        <v>74</v>
      </c>
      <c r="C74" s="23" t="s">
        <v>79</v>
      </c>
      <c r="D74" s="24">
        <v>812</v>
      </c>
      <c r="E74" s="8"/>
      <c r="F74" s="8"/>
      <c r="G74" s="8"/>
      <c r="H74" s="8"/>
      <c r="I74" s="8"/>
      <c r="X74" s="23" t="s">
        <v>74</v>
      </c>
      <c r="Y74" s="23">
        <v>812</v>
      </c>
      <c r="Z74" s="8"/>
      <c r="AA74" s="8"/>
      <c r="AB74" s="8"/>
      <c r="AC74" s="17" t="s">
        <v>104</v>
      </c>
      <c r="AD74" s="17" t="s">
        <v>128</v>
      </c>
      <c r="AE74" s="8"/>
      <c r="AF74" s="8"/>
      <c r="AG74" s="8"/>
    </row>
    <row r="75" spans="1:33" x14ac:dyDescent="0.2">
      <c r="A75" s="22">
        <v>3</v>
      </c>
      <c r="B75" s="23" t="s">
        <v>74</v>
      </c>
      <c r="C75" s="23" t="s">
        <v>80</v>
      </c>
      <c r="D75" s="24">
        <v>815</v>
      </c>
      <c r="E75" s="8"/>
      <c r="F75" s="8"/>
      <c r="G75" s="8"/>
      <c r="H75" s="8"/>
      <c r="I75" s="8"/>
      <c r="X75" s="23" t="s">
        <v>74</v>
      </c>
      <c r="Y75" s="23">
        <v>815</v>
      </c>
      <c r="Z75" s="8"/>
      <c r="AA75" s="8"/>
      <c r="AB75" s="8"/>
      <c r="AC75" s="17" t="s">
        <v>104</v>
      </c>
      <c r="AD75" s="17" t="s">
        <v>129</v>
      </c>
      <c r="AE75" s="8"/>
      <c r="AF75" s="8"/>
      <c r="AG75" s="8"/>
    </row>
    <row r="76" spans="1:33" x14ac:dyDescent="0.2">
      <c r="A76" s="22">
        <v>3</v>
      </c>
      <c r="B76" s="23" t="s">
        <v>74</v>
      </c>
      <c r="C76" s="23" t="s">
        <v>81</v>
      </c>
      <c r="D76" s="24">
        <v>816</v>
      </c>
      <c r="E76" s="8"/>
      <c r="F76" s="8"/>
      <c r="G76" s="8"/>
      <c r="H76" s="8"/>
      <c r="I76" s="8"/>
      <c r="X76" s="23" t="s">
        <v>74</v>
      </c>
      <c r="Y76" s="23">
        <v>816</v>
      </c>
      <c r="Z76" s="8"/>
      <c r="AA76" s="8"/>
      <c r="AB76" s="8"/>
      <c r="AC76" s="17" t="s">
        <v>104</v>
      </c>
      <c r="AD76" s="17" t="s">
        <v>130</v>
      </c>
      <c r="AE76" s="8"/>
      <c r="AF76" s="8"/>
      <c r="AG76" s="8"/>
    </row>
    <row r="77" spans="1:33" x14ac:dyDescent="0.2">
      <c r="A77" s="22">
        <v>3</v>
      </c>
      <c r="B77" s="23" t="s">
        <v>74</v>
      </c>
      <c r="C77" s="23" t="s">
        <v>82</v>
      </c>
      <c r="D77" s="24">
        <v>817</v>
      </c>
      <c r="E77" s="8"/>
      <c r="F77" s="8"/>
      <c r="G77" s="8"/>
      <c r="H77" s="8"/>
      <c r="I77" s="8"/>
      <c r="X77" s="23" t="s">
        <v>74</v>
      </c>
      <c r="Y77" s="23">
        <v>817</v>
      </c>
      <c r="Z77" s="8"/>
      <c r="AA77" s="8"/>
      <c r="AB77" s="8"/>
      <c r="AC77" s="17" t="s">
        <v>104</v>
      </c>
      <c r="AD77" s="17" t="s">
        <v>131</v>
      </c>
      <c r="AE77" s="8"/>
      <c r="AF77" s="8"/>
      <c r="AG77" s="8"/>
    </row>
    <row r="78" spans="1:33" x14ac:dyDescent="0.2">
      <c r="A78" s="22">
        <v>3</v>
      </c>
      <c r="B78" s="23" t="s">
        <v>74</v>
      </c>
      <c r="C78" s="23" t="s">
        <v>83</v>
      </c>
      <c r="D78" s="24">
        <v>818</v>
      </c>
      <c r="E78" s="8"/>
      <c r="F78" s="8"/>
      <c r="G78" s="8"/>
      <c r="H78" s="8"/>
      <c r="I78" s="8"/>
      <c r="X78" s="23" t="s">
        <v>74</v>
      </c>
      <c r="Y78" s="23">
        <v>818</v>
      </c>
      <c r="Z78" s="8"/>
      <c r="AA78" s="8"/>
      <c r="AB78" s="8"/>
      <c r="AC78" s="17" t="s">
        <v>104</v>
      </c>
      <c r="AD78" s="17" t="s">
        <v>132</v>
      </c>
      <c r="AE78" s="8"/>
      <c r="AF78" s="8"/>
      <c r="AG78" s="8"/>
    </row>
    <row r="79" spans="1:33" x14ac:dyDescent="0.2">
      <c r="A79" s="22">
        <v>3</v>
      </c>
      <c r="B79" s="23" t="s">
        <v>74</v>
      </c>
      <c r="C79" s="23" t="s">
        <v>84</v>
      </c>
      <c r="D79" s="24">
        <v>833</v>
      </c>
      <c r="E79" s="8"/>
      <c r="F79" s="8"/>
      <c r="G79" s="8"/>
      <c r="H79" s="8"/>
      <c r="I79" s="8"/>
      <c r="X79" s="23" t="s">
        <v>74</v>
      </c>
      <c r="Y79" s="23">
        <v>833</v>
      </c>
      <c r="Z79" s="8"/>
      <c r="AA79" s="8"/>
      <c r="AB79" s="8"/>
      <c r="AC79" s="17" t="s">
        <v>104</v>
      </c>
      <c r="AD79" s="17" t="s">
        <v>133</v>
      </c>
      <c r="AE79" s="8"/>
      <c r="AF79" s="8"/>
      <c r="AG79" s="8"/>
    </row>
    <row r="80" spans="1:33" x14ac:dyDescent="0.2">
      <c r="A80" s="22">
        <v>3</v>
      </c>
      <c r="B80" s="23" t="s">
        <v>74</v>
      </c>
      <c r="C80" s="23" t="s">
        <v>85</v>
      </c>
      <c r="D80" s="24">
        <v>834</v>
      </c>
      <c r="E80" s="8"/>
      <c r="F80" s="8"/>
      <c r="G80" s="8"/>
      <c r="H80" s="8"/>
      <c r="I80" s="8"/>
      <c r="X80" s="23" t="s">
        <v>74</v>
      </c>
      <c r="Y80" s="23">
        <v>834</v>
      </c>
      <c r="Z80" s="8"/>
      <c r="AA80" s="8"/>
      <c r="AB80" s="8"/>
      <c r="AC80" s="17" t="s">
        <v>104</v>
      </c>
      <c r="AD80" s="17" t="s">
        <v>134</v>
      </c>
      <c r="AE80" s="8"/>
      <c r="AF80" s="8"/>
      <c r="AG80" s="8"/>
    </row>
    <row r="81" spans="1:33" x14ac:dyDescent="0.2">
      <c r="A81" s="22">
        <v>3</v>
      </c>
      <c r="B81" s="23" t="s">
        <v>74</v>
      </c>
      <c r="C81" s="23" t="s">
        <v>86</v>
      </c>
      <c r="D81" s="24">
        <v>835</v>
      </c>
      <c r="E81" s="8"/>
      <c r="F81" s="8"/>
      <c r="G81" s="8"/>
      <c r="H81" s="8"/>
      <c r="I81" s="8"/>
      <c r="X81" s="23" t="s">
        <v>74</v>
      </c>
      <c r="Y81" s="23">
        <v>835</v>
      </c>
      <c r="Z81" s="8"/>
      <c r="AA81" s="8"/>
      <c r="AB81" s="8"/>
      <c r="AC81" s="17" t="s">
        <v>104</v>
      </c>
      <c r="AD81" s="17" t="s">
        <v>135</v>
      </c>
      <c r="AE81" s="8"/>
      <c r="AF81" s="8"/>
      <c r="AG81" s="8"/>
    </row>
    <row r="82" spans="1:33" x14ac:dyDescent="0.2">
      <c r="A82" s="22">
        <v>3</v>
      </c>
      <c r="B82" s="23" t="s">
        <v>74</v>
      </c>
      <c r="C82" s="23" t="s">
        <v>87</v>
      </c>
      <c r="D82" s="24">
        <v>844</v>
      </c>
      <c r="E82" s="8"/>
      <c r="F82" s="8"/>
      <c r="G82" s="8"/>
      <c r="H82" s="8"/>
      <c r="I82" s="8"/>
      <c r="X82" s="23" t="s">
        <v>74</v>
      </c>
      <c r="Y82" s="23">
        <v>844</v>
      </c>
      <c r="Z82" s="8"/>
      <c r="AA82" s="8"/>
      <c r="AB82" s="8"/>
      <c r="AC82" s="17" t="s">
        <v>104</v>
      </c>
      <c r="AD82" s="17" t="s">
        <v>136</v>
      </c>
      <c r="AE82" s="8"/>
      <c r="AF82" s="8"/>
      <c r="AG82" s="8"/>
    </row>
    <row r="83" spans="1:33" x14ac:dyDescent="0.2">
      <c r="A83" s="22">
        <v>3</v>
      </c>
      <c r="B83" s="23" t="s">
        <v>74</v>
      </c>
      <c r="C83" s="23" t="s">
        <v>88</v>
      </c>
      <c r="D83" s="24">
        <v>845</v>
      </c>
      <c r="E83" s="8"/>
      <c r="F83" s="8"/>
      <c r="G83" s="8"/>
      <c r="H83" s="8"/>
      <c r="I83" s="8"/>
      <c r="X83" s="23" t="s">
        <v>74</v>
      </c>
      <c r="Y83" s="23">
        <v>845</v>
      </c>
      <c r="Z83" s="8"/>
      <c r="AA83" s="8"/>
      <c r="AB83" s="8"/>
      <c r="AC83" s="17" t="s">
        <v>104</v>
      </c>
      <c r="AD83" s="17" t="s">
        <v>137</v>
      </c>
      <c r="AE83" s="8"/>
      <c r="AF83" s="8"/>
      <c r="AG83" s="8"/>
    </row>
    <row r="84" spans="1:33" x14ac:dyDescent="0.2">
      <c r="A84" s="22">
        <v>3</v>
      </c>
      <c r="B84" s="23" t="s">
        <v>74</v>
      </c>
      <c r="C84" s="23" t="s">
        <v>89</v>
      </c>
      <c r="D84" s="24">
        <v>846</v>
      </c>
      <c r="E84" s="8"/>
      <c r="F84" s="8"/>
      <c r="G84" s="8"/>
      <c r="H84" s="8"/>
      <c r="I84" s="8"/>
      <c r="X84" s="23" t="s">
        <v>74</v>
      </c>
      <c r="Y84" s="23">
        <v>846</v>
      </c>
      <c r="Z84" s="8"/>
      <c r="AA84" s="8"/>
      <c r="AB84" s="8"/>
      <c r="AC84" s="17" t="s">
        <v>104</v>
      </c>
      <c r="AD84" s="17" t="s">
        <v>138</v>
      </c>
      <c r="AE84" s="8"/>
      <c r="AF84" s="8"/>
      <c r="AG84" s="8"/>
    </row>
    <row r="85" spans="1:33" x14ac:dyDescent="0.2">
      <c r="A85" s="22">
        <v>3</v>
      </c>
      <c r="B85" s="23" t="s">
        <v>74</v>
      </c>
      <c r="C85" s="23" t="s">
        <v>90</v>
      </c>
      <c r="D85" s="24">
        <v>849</v>
      </c>
      <c r="E85" s="8"/>
      <c r="F85" s="8"/>
      <c r="G85" s="8"/>
      <c r="H85" s="8"/>
      <c r="I85" s="8"/>
      <c r="X85" s="23" t="s">
        <v>74</v>
      </c>
      <c r="Y85" s="23">
        <v>849</v>
      </c>
      <c r="Z85" s="8"/>
      <c r="AA85" s="8"/>
      <c r="AB85" s="8"/>
      <c r="AC85" s="17" t="s">
        <v>104</v>
      </c>
      <c r="AD85" s="17" t="s">
        <v>139</v>
      </c>
      <c r="AE85" s="8"/>
      <c r="AF85" s="8"/>
      <c r="AG85" s="8"/>
    </row>
    <row r="86" spans="1:33" x14ac:dyDescent="0.2">
      <c r="A86" s="22">
        <v>3</v>
      </c>
      <c r="B86" s="23" t="s">
        <v>74</v>
      </c>
      <c r="C86" s="23" t="s">
        <v>91</v>
      </c>
      <c r="D86" s="24">
        <v>856</v>
      </c>
      <c r="E86" s="8"/>
      <c r="F86" s="8"/>
      <c r="G86" s="8"/>
      <c r="H86" s="8"/>
      <c r="I86" s="8"/>
    </row>
    <row r="87" spans="1:33" x14ac:dyDescent="0.2">
      <c r="A87" s="22">
        <v>3</v>
      </c>
      <c r="B87" s="23" t="s">
        <v>74</v>
      </c>
      <c r="C87" s="23" t="s">
        <v>92</v>
      </c>
      <c r="D87" s="24">
        <v>859</v>
      </c>
      <c r="E87" s="8"/>
      <c r="F87" s="8"/>
      <c r="G87" s="8"/>
      <c r="H87" s="8"/>
      <c r="I87" s="8"/>
    </row>
    <row r="88" spans="1:33" x14ac:dyDescent="0.2">
      <c r="A88" s="22">
        <v>3</v>
      </c>
      <c r="B88" s="23" t="s">
        <v>74</v>
      </c>
      <c r="C88" s="23" t="s">
        <v>93</v>
      </c>
      <c r="D88" s="24">
        <v>861</v>
      </c>
      <c r="E88" s="8"/>
      <c r="F88" s="8"/>
      <c r="G88" s="8"/>
      <c r="H88" s="8"/>
      <c r="I88" s="8"/>
    </row>
    <row r="89" spans="1:33" x14ac:dyDescent="0.2">
      <c r="A89" s="22">
        <v>3</v>
      </c>
      <c r="B89" s="23" t="s">
        <v>74</v>
      </c>
      <c r="C89" s="23" t="s">
        <v>94</v>
      </c>
      <c r="D89" s="24">
        <v>862</v>
      </c>
      <c r="E89" s="8"/>
      <c r="F89" s="8"/>
      <c r="G89" s="8"/>
      <c r="H89" s="8"/>
      <c r="I89" s="8"/>
    </row>
    <row r="90" spans="1:33" x14ac:dyDescent="0.2">
      <c r="A90" s="22">
        <v>3</v>
      </c>
      <c r="B90" s="23" t="s">
        <v>74</v>
      </c>
      <c r="C90" s="23" t="s">
        <v>95</v>
      </c>
      <c r="D90" s="24">
        <v>865</v>
      </c>
      <c r="E90" s="8"/>
      <c r="F90" s="8"/>
      <c r="G90" s="8"/>
      <c r="H90" s="8"/>
      <c r="I90" s="8"/>
    </row>
    <row r="91" spans="1:33" x14ac:dyDescent="0.2">
      <c r="A91" s="22">
        <v>3</v>
      </c>
      <c r="B91" s="23" t="s">
        <v>74</v>
      </c>
      <c r="C91" s="23" t="s">
        <v>96</v>
      </c>
      <c r="D91" s="24">
        <v>866</v>
      </c>
      <c r="E91" s="8"/>
      <c r="F91" s="8"/>
      <c r="G91" s="8"/>
      <c r="H91" s="8"/>
      <c r="I91" s="8"/>
    </row>
    <row r="92" spans="1:33" x14ac:dyDescent="0.2">
      <c r="A92" s="22">
        <v>3</v>
      </c>
      <c r="B92" s="23" t="s">
        <v>74</v>
      </c>
      <c r="C92" s="23" t="s">
        <v>97</v>
      </c>
      <c r="D92" s="24">
        <v>871</v>
      </c>
      <c r="E92" s="8"/>
      <c r="F92" s="8"/>
      <c r="G92" s="8"/>
      <c r="H92" s="8"/>
      <c r="I92" s="8"/>
    </row>
    <row r="93" spans="1:33" x14ac:dyDescent="0.2">
      <c r="A93" s="22">
        <v>3</v>
      </c>
      <c r="B93" s="23" t="s">
        <v>74</v>
      </c>
      <c r="C93" s="23" t="s">
        <v>98</v>
      </c>
      <c r="D93" s="24">
        <v>873</v>
      </c>
      <c r="E93" s="8"/>
      <c r="F93" s="8"/>
      <c r="G93" s="8"/>
      <c r="H93" s="8"/>
      <c r="I93" s="8"/>
    </row>
    <row r="94" spans="1:33" x14ac:dyDescent="0.2">
      <c r="A94" s="22">
        <v>3</v>
      </c>
      <c r="B94" s="23" t="s">
        <v>74</v>
      </c>
      <c r="C94" s="23" t="s">
        <v>99</v>
      </c>
      <c r="D94" s="24">
        <v>874</v>
      </c>
      <c r="E94" s="8"/>
      <c r="F94" s="8"/>
      <c r="G94" s="8"/>
      <c r="H94" s="8"/>
      <c r="I94" s="8"/>
    </row>
    <row r="95" spans="1:33" x14ac:dyDescent="0.2">
      <c r="A95" s="22">
        <v>3</v>
      </c>
      <c r="B95" s="23" t="s">
        <v>74</v>
      </c>
      <c r="C95" s="23" t="s">
        <v>100</v>
      </c>
      <c r="D95" s="24">
        <v>877</v>
      </c>
      <c r="E95" s="8"/>
      <c r="F95" s="8"/>
      <c r="G95" s="8"/>
      <c r="H95" s="8"/>
      <c r="I95" s="8"/>
    </row>
    <row r="96" spans="1:33" x14ac:dyDescent="0.2">
      <c r="A96" s="22">
        <v>3</v>
      </c>
      <c r="B96" s="23" t="s">
        <v>74</v>
      </c>
      <c r="C96" s="23" t="s">
        <v>101</v>
      </c>
      <c r="D96" s="24">
        <v>879</v>
      </c>
      <c r="E96" s="8"/>
      <c r="F96" s="8"/>
      <c r="G96" s="8"/>
      <c r="H96" s="8"/>
      <c r="I96" s="8"/>
    </row>
    <row r="97" spans="1:9" x14ac:dyDescent="0.2">
      <c r="A97" s="22">
        <v>3</v>
      </c>
      <c r="B97" s="23" t="s">
        <v>74</v>
      </c>
      <c r="C97" s="23" t="s">
        <v>102</v>
      </c>
      <c r="D97" s="24">
        <v>887</v>
      </c>
      <c r="E97" s="8"/>
      <c r="F97" s="8"/>
      <c r="G97" s="8"/>
      <c r="H97" s="8"/>
      <c r="I97" s="8"/>
    </row>
    <row r="98" spans="1:9" x14ac:dyDescent="0.2">
      <c r="A98" s="22">
        <v>3</v>
      </c>
      <c r="B98" s="23" t="s">
        <v>74</v>
      </c>
      <c r="C98" s="23" t="s">
        <v>103</v>
      </c>
      <c r="D98" s="24">
        <v>888</v>
      </c>
      <c r="E98" s="8"/>
      <c r="F98" s="8"/>
      <c r="G98" s="8"/>
      <c r="H98" s="8"/>
      <c r="I98" s="8"/>
    </row>
    <row r="99" spans="1:9" x14ac:dyDescent="0.2">
      <c r="A99" s="13">
        <v>4</v>
      </c>
      <c r="B99" s="14" t="s">
        <v>104</v>
      </c>
      <c r="C99" s="14"/>
      <c r="D99" s="15" t="s">
        <v>105</v>
      </c>
      <c r="E99" s="8"/>
      <c r="F99" s="8"/>
      <c r="G99" s="8"/>
      <c r="H99" s="8"/>
      <c r="I99" s="8"/>
    </row>
    <row r="100" spans="1:9" x14ac:dyDescent="0.2">
      <c r="A100" s="16">
        <v>4</v>
      </c>
      <c r="B100" s="14" t="s">
        <v>104</v>
      </c>
      <c r="C100" s="17"/>
      <c r="D100" s="18" t="s">
        <v>106</v>
      </c>
      <c r="E100" s="8"/>
      <c r="F100" s="8"/>
      <c r="G100" s="8"/>
      <c r="H100" s="8"/>
      <c r="I100" s="8"/>
    </row>
    <row r="101" spans="1:9" x14ac:dyDescent="0.2">
      <c r="A101" s="16">
        <v>4</v>
      </c>
      <c r="B101" s="14" t="s">
        <v>104</v>
      </c>
      <c r="C101" s="17"/>
      <c r="D101" s="18" t="s">
        <v>107</v>
      </c>
      <c r="E101" s="8"/>
      <c r="F101" s="8"/>
      <c r="G101" s="8"/>
      <c r="H101" s="8"/>
      <c r="I101" s="8"/>
    </row>
    <row r="102" spans="1:9" x14ac:dyDescent="0.2">
      <c r="A102" s="16">
        <v>4</v>
      </c>
      <c r="B102" s="14" t="s">
        <v>104</v>
      </c>
      <c r="C102" s="17"/>
      <c r="D102" s="18" t="s">
        <v>108</v>
      </c>
      <c r="E102" s="8"/>
      <c r="F102" s="8"/>
      <c r="G102" s="8"/>
      <c r="H102" s="8"/>
      <c r="I102" s="8"/>
    </row>
    <row r="103" spans="1:9" x14ac:dyDescent="0.2">
      <c r="A103" s="16">
        <v>4</v>
      </c>
      <c r="B103" s="14" t="s">
        <v>104</v>
      </c>
      <c r="C103" s="17"/>
      <c r="D103" s="18" t="s">
        <v>109</v>
      </c>
      <c r="E103" s="8"/>
      <c r="F103" s="8"/>
      <c r="G103" s="8"/>
      <c r="H103" s="8"/>
      <c r="I103" s="8"/>
    </row>
    <row r="104" spans="1:9" x14ac:dyDescent="0.2">
      <c r="A104" s="16">
        <v>4</v>
      </c>
      <c r="B104" s="14" t="s">
        <v>104</v>
      </c>
      <c r="C104" s="17"/>
      <c r="D104" s="18" t="s">
        <v>110</v>
      </c>
      <c r="E104" s="8"/>
      <c r="F104" s="8"/>
      <c r="G104" s="8"/>
      <c r="H104" s="8"/>
      <c r="I104" s="8"/>
    </row>
    <row r="105" spans="1:9" x14ac:dyDescent="0.2">
      <c r="A105" s="16">
        <v>4</v>
      </c>
      <c r="B105" s="14" t="s">
        <v>104</v>
      </c>
      <c r="C105" s="17"/>
      <c r="D105" s="18" t="s">
        <v>111</v>
      </c>
      <c r="E105" s="8"/>
      <c r="F105" s="8"/>
      <c r="G105" s="8"/>
      <c r="H105" s="8"/>
      <c r="I105" s="8"/>
    </row>
    <row r="106" spans="1:9" x14ac:dyDescent="0.2">
      <c r="A106" s="16">
        <v>4</v>
      </c>
      <c r="B106" s="14" t="s">
        <v>104</v>
      </c>
      <c r="C106" s="17"/>
      <c r="D106" s="18" t="s">
        <v>112</v>
      </c>
      <c r="E106" s="8"/>
      <c r="F106" s="8"/>
      <c r="G106" s="8"/>
      <c r="H106" s="8"/>
      <c r="I106" s="8"/>
    </row>
    <row r="107" spans="1:9" x14ac:dyDescent="0.2">
      <c r="A107" s="16">
        <v>4</v>
      </c>
      <c r="B107" s="14" t="s">
        <v>104</v>
      </c>
      <c r="C107" s="17"/>
      <c r="D107" s="18" t="s">
        <v>113</v>
      </c>
      <c r="E107" s="8"/>
      <c r="F107" s="8"/>
      <c r="G107" s="8"/>
      <c r="H107" s="8"/>
      <c r="I107" s="8"/>
    </row>
    <row r="108" spans="1:9" x14ac:dyDescent="0.2">
      <c r="A108" s="16">
        <v>4</v>
      </c>
      <c r="B108" s="14" t="s">
        <v>104</v>
      </c>
      <c r="C108" s="17"/>
      <c r="D108" s="18" t="s">
        <v>114</v>
      </c>
      <c r="E108" s="8"/>
      <c r="F108" s="8"/>
      <c r="G108" s="8"/>
      <c r="H108" s="8"/>
      <c r="I108" s="8"/>
    </row>
    <row r="109" spans="1:9" x14ac:dyDescent="0.2">
      <c r="A109" s="16">
        <v>4</v>
      </c>
      <c r="B109" s="14" t="s">
        <v>104</v>
      </c>
      <c r="C109" s="17"/>
      <c r="D109" s="18" t="s">
        <v>115</v>
      </c>
      <c r="E109" s="8"/>
      <c r="F109" s="8"/>
      <c r="G109" s="8"/>
      <c r="H109" s="8"/>
      <c r="I109" s="8"/>
    </row>
    <row r="110" spans="1:9" x14ac:dyDescent="0.2">
      <c r="A110" s="16">
        <v>4</v>
      </c>
      <c r="B110" s="14" t="s">
        <v>104</v>
      </c>
      <c r="C110" s="17"/>
      <c r="D110" s="18" t="s">
        <v>116</v>
      </c>
      <c r="E110" s="8"/>
      <c r="F110" s="8"/>
      <c r="G110" s="8"/>
      <c r="H110" s="8"/>
      <c r="I110" s="8"/>
    </row>
    <row r="111" spans="1:9" x14ac:dyDescent="0.2">
      <c r="A111" s="16">
        <v>4</v>
      </c>
      <c r="B111" s="14" t="s">
        <v>104</v>
      </c>
      <c r="C111" s="17"/>
      <c r="D111" s="18" t="s">
        <v>117</v>
      </c>
      <c r="E111" s="8"/>
      <c r="F111" s="8"/>
      <c r="G111" s="8"/>
      <c r="H111" s="8"/>
      <c r="I111" s="8"/>
    </row>
    <row r="112" spans="1:9" x14ac:dyDescent="0.2">
      <c r="A112" s="16">
        <v>4</v>
      </c>
      <c r="B112" s="14" t="s">
        <v>104</v>
      </c>
      <c r="C112" s="17"/>
      <c r="D112" s="18" t="s">
        <v>118</v>
      </c>
      <c r="E112" s="8"/>
      <c r="F112" s="8"/>
      <c r="G112" s="8"/>
      <c r="H112" s="8"/>
      <c r="I112" s="8"/>
    </row>
    <row r="113" spans="1:9" x14ac:dyDescent="0.2">
      <c r="A113" s="16">
        <v>4</v>
      </c>
      <c r="B113" s="14" t="s">
        <v>104</v>
      </c>
      <c r="C113" s="17"/>
      <c r="D113" s="18" t="s">
        <v>119</v>
      </c>
      <c r="E113" s="8"/>
      <c r="F113" s="8"/>
      <c r="G113" s="8"/>
      <c r="H113" s="8"/>
      <c r="I113" s="8"/>
    </row>
    <row r="114" spans="1:9" x14ac:dyDescent="0.2">
      <c r="A114" s="16">
        <v>4</v>
      </c>
      <c r="B114" s="14" t="s">
        <v>104</v>
      </c>
      <c r="C114" s="17"/>
      <c r="D114" s="18" t="s">
        <v>120</v>
      </c>
      <c r="E114" s="8"/>
      <c r="F114" s="8"/>
      <c r="G114" s="8"/>
      <c r="H114" s="8"/>
      <c r="I114" s="8"/>
    </row>
    <row r="115" spans="1:9" x14ac:dyDescent="0.2">
      <c r="A115" s="16">
        <v>4</v>
      </c>
      <c r="B115" s="14" t="s">
        <v>104</v>
      </c>
      <c r="C115" s="17"/>
      <c r="D115" s="18" t="s">
        <v>121</v>
      </c>
      <c r="E115" s="8"/>
      <c r="F115" s="8"/>
      <c r="G115" s="8"/>
      <c r="H115" s="8"/>
      <c r="I115" s="8"/>
    </row>
    <row r="116" spans="1:9" x14ac:dyDescent="0.2">
      <c r="A116" s="16">
        <v>4</v>
      </c>
      <c r="B116" s="14" t="s">
        <v>104</v>
      </c>
      <c r="C116" s="17"/>
      <c r="D116" s="18" t="s">
        <v>122</v>
      </c>
      <c r="E116" s="8"/>
      <c r="F116" s="8"/>
      <c r="G116" s="8"/>
      <c r="H116" s="8"/>
      <c r="I116" s="8"/>
    </row>
    <row r="117" spans="1:9" x14ac:dyDescent="0.2">
      <c r="A117" s="16">
        <v>4</v>
      </c>
      <c r="B117" s="14" t="s">
        <v>104</v>
      </c>
      <c r="C117" s="17"/>
      <c r="D117" s="18" t="s">
        <v>124</v>
      </c>
      <c r="E117" s="8"/>
      <c r="F117" s="8"/>
      <c r="G117" s="8"/>
      <c r="H117" s="8"/>
      <c r="I117" s="8"/>
    </row>
    <row r="118" spans="1:9" x14ac:dyDescent="0.2">
      <c r="A118" s="16">
        <v>4</v>
      </c>
      <c r="B118" s="14" t="s">
        <v>104</v>
      </c>
      <c r="C118" s="17"/>
      <c r="D118" s="18" t="s">
        <v>125</v>
      </c>
      <c r="E118" s="8"/>
      <c r="F118" s="8"/>
      <c r="G118" s="8"/>
      <c r="H118" s="8"/>
      <c r="I118" s="8"/>
    </row>
    <row r="119" spans="1:9" x14ac:dyDescent="0.2">
      <c r="A119" s="16">
        <v>4</v>
      </c>
      <c r="B119" s="14" t="s">
        <v>104</v>
      </c>
      <c r="C119" s="17"/>
      <c r="D119" s="18" t="s">
        <v>126</v>
      </c>
      <c r="E119" s="8"/>
      <c r="F119" s="8"/>
      <c r="G119" s="8"/>
      <c r="H119" s="8"/>
      <c r="I119" s="8"/>
    </row>
    <row r="120" spans="1:9" x14ac:dyDescent="0.2">
      <c r="A120" s="16">
        <v>4</v>
      </c>
      <c r="B120" s="14" t="s">
        <v>104</v>
      </c>
      <c r="C120" s="17"/>
      <c r="D120" s="18" t="s">
        <v>127</v>
      </c>
      <c r="E120" s="8"/>
      <c r="F120" s="8"/>
      <c r="G120" s="8"/>
      <c r="H120" s="8"/>
      <c r="I120" s="8"/>
    </row>
    <row r="121" spans="1:9" x14ac:dyDescent="0.2">
      <c r="A121" s="16">
        <v>4</v>
      </c>
      <c r="B121" s="14" t="s">
        <v>104</v>
      </c>
      <c r="C121" s="17"/>
      <c r="D121" s="18" t="s">
        <v>128</v>
      </c>
      <c r="E121" s="8"/>
      <c r="F121" s="8"/>
      <c r="G121" s="8"/>
      <c r="H121" s="8"/>
      <c r="I121" s="8"/>
    </row>
    <row r="122" spans="1:9" x14ac:dyDescent="0.2">
      <c r="A122" s="16">
        <v>4</v>
      </c>
      <c r="B122" s="14" t="s">
        <v>104</v>
      </c>
      <c r="C122" s="17"/>
      <c r="D122" s="18" t="s">
        <v>129</v>
      </c>
      <c r="E122" s="8"/>
      <c r="F122" s="8"/>
      <c r="G122" s="8"/>
      <c r="H122" s="8"/>
      <c r="I122" s="8"/>
    </row>
    <row r="123" spans="1:9" x14ac:dyDescent="0.2">
      <c r="A123" s="16">
        <v>4</v>
      </c>
      <c r="B123" s="14" t="s">
        <v>104</v>
      </c>
      <c r="C123" s="17"/>
      <c r="D123" s="18" t="s">
        <v>130</v>
      </c>
      <c r="E123" s="8"/>
      <c r="F123" s="8"/>
      <c r="G123" s="8"/>
      <c r="H123" s="8"/>
      <c r="I123" s="8"/>
    </row>
    <row r="124" spans="1:9" x14ac:dyDescent="0.2">
      <c r="A124" s="16">
        <v>4</v>
      </c>
      <c r="B124" s="14" t="s">
        <v>104</v>
      </c>
      <c r="C124" s="17"/>
      <c r="D124" s="18" t="s">
        <v>131</v>
      </c>
      <c r="E124" s="8"/>
      <c r="F124" s="8"/>
      <c r="G124" s="8"/>
      <c r="H124" s="8"/>
      <c r="I124" s="8"/>
    </row>
    <row r="125" spans="1:9" x14ac:dyDescent="0.2">
      <c r="A125" s="16">
        <v>4</v>
      </c>
      <c r="B125" s="14" t="s">
        <v>104</v>
      </c>
      <c r="C125" s="17"/>
      <c r="D125" s="18" t="s">
        <v>132</v>
      </c>
      <c r="E125" s="8"/>
      <c r="F125" s="8"/>
      <c r="G125" s="8"/>
      <c r="H125" s="8"/>
      <c r="I125" s="8"/>
    </row>
    <row r="126" spans="1:9" x14ac:dyDescent="0.2">
      <c r="A126" s="16">
        <v>4</v>
      </c>
      <c r="B126" s="14" t="s">
        <v>104</v>
      </c>
      <c r="C126" s="17"/>
      <c r="D126" s="18" t="s">
        <v>133</v>
      </c>
      <c r="E126" s="8"/>
      <c r="F126" s="8"/>
      <c r="G126" s="8"/>
      <c r="H126" s="8"/>
      <c r="I126" s="8"/>
    </row>
    <row r="127" spans="1:9" x14ac:dyDescent="0.2">
      <c r="A127" s="16">
        <v>4</v>
      </c>
      <c r="B127" s="14" t="s">
        <v>104</v>
      </c>
      <c r="C127" s="17"/>
      <c r="D127" s="18" t="s">
        <v>134</v>
      </c>
      <c r="E127" s="8"/>
      <c r="F127" s="8"/>
      <c r="G127" s="8"/>
      <c r="H127" s="8"/>
      <c r="I127" s="8"/>
    </row>
    <row r="128" spans="1:9" x14ac:dyDescent="0.2">
      <c r="A128" s="17">
        <v>4</v>
      </c>
      <c r="B128" s="17" t="s">
        <v>104</v>
      </c>
      <c r="C128" s="17"/>
      <c r="D128" s="17" t="s">
        <v>135</v>
      </c>
      <c r="E128" s="8"/>
      <c r="F128" s="8"/>
      <c r="G128" s="8"/>
      <c r="H128" s="8"/>
      <c r="I128" s="8"/>
    </row>
    <row r="129" spans="1:9" x14ac:dyDescent="0.2">
      <c r="A129" s="17">
        <v>4</v>
      </c>
      <c r="B129" s="17" t="s">
        <v>104</v>
      </c>
      <c r="C129" s="17"/>
      <c r="D129" s="17" t="s">
        <v>136</v>
      </c>
      <c r="E129" s="8"/>
      <c r="F129" s="8"/>
      <c r="G129" s="8"/>
      <c r="H129" s="8"/>
      <c r="I129" s="8"/>
    </row>
    <row r="130" spans="1:9" x14ac:dyDescent="0.2">
      <c r="A130" s="17">
        <v>4</v>
      </c>
      <c r="B130" s="17" t="s">
        <v>104</v>
      </c>
      <c r="C130" s="17"/>
      <c r="D130" s="17" t="s">
        <v>137</v>
      </c>
      <c r="E130" s="8"/>
      <c r="F130" s="8"/>
      <c r="G130" s="8"/>
      <c r="H130" s="8"/>
      <c r="I130" s="8"/>
    </row>
    <row r="131" spans="1:9" x14ac:dyDescent="0.2">
      <c r="A131" s="17">
        <v>4</v>
      </c>
      <c r="B131" s="17" t="s">
        <v>104</v>
      </c>
      <c r="C131" s="17"/>
      <c r="D131" s="17" t="s">
        <v>138</v>
      </c>
      <c r="E131" s="8"/>
      <c r="F131" s="8"/>
      <c r="G131" s="8"/>
      <c r="H131" s="8"/>
      <c r="I131" s="8"/>
    </row>
    <row r="132" spans="1:9" x14ac:dyDescent="0.2">
      <c r="A132" s="17">
        <v>4</v>
      </c>
      <c r="B132" s="17" t="s">
        <v>104</v>
      </c>
      <c r="C132" s="17"/>
      <c r="D132" s="17" t="s">
        <v>139</v>
      </c>
      <c r="E132" s="8"/>
      <c r="F132" s="8"/>
      <c r="G132" s="8"/>
      <c r="H132" s="8"/>
      <c r="I132" s="8"/>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D3A09-49E7-8444-8EFB-A61EDDA1D0E6}">
  <dimension ref="A1:H102"/>
  <sheetViews>
    <sheetView zoomScale="86" workbookViewId="0">
      <selection activeCell="K22" sqref="K22"/>
    </sheetView>
  </sheetViews>
  <sheetFormatPr baseColWidth="10" defaultRowHeight="15" x14ac:dyDescent="0.2"/>
  <cols>
    <col min="2" max="2" width="8.83203125" bestFit="1" customWidth="1"/>
    <col min="3" max="3" width="8.83203125"/>
    <col min="4" max="6" width="10.6640625" customWidth="1"/>
    <col min="7" max="7" width="9.33203125" bestFit="1" customWidth="1"/>
    <col min="8" max="8" width="26.5" customWidth="1"/>
  </cols>
  <sheetData>
    <row r="1" spans="1:8" ht="19" x14ac:dyDescent="0.25">
      <c r="A1" s="12" t="s">
        <v>0</v>
      </c>
      <c r="B1" s="12"/>
      <c r="C1" s="12"/>
      <c r="D1" s="12"/>
      <c r="E1" s="12"/>
      <c r="G1" s="12"/>
      <c r="H1" s="12"/>
    </row>
    <row r="2" spans="1:8" ht="19" x14ac:dyDescent="0.25">
      <c r="A2" s="12"/>
      <c r="B2" s="12"/>
      <c r="C2" s="12"/>
      <c r="D2" s="12"/>
      <c r="E2" s="12"/>
      <c r="G2" s="12"/>
      <c r="H2" s="12"/>
    </row>
    <row r="3" spans="1:8" ht="19" x14ac:dyDescent="0.25">
      <c r="A3" s="12" t="s">
        <v>198</v>
      </c>
      <c r="B3" s="12"/>
      <c r="C3" s="12"/>
      <c r="D3" s="12"/>
      <c r="E3" s="12"/>
      <c r="G3" s="12"/>
      <c r="H3" s="12"/>
    </row>
    <row r="4" spans="1:8" ht="19" x14ac:dyDescent="0.25">
      <c r="A4" s="12"/>
      <c r="B4" s="12"/>
      <c r="C4" s="12"/>
      <c r="D4" s="12"/>
      <c r="E4" s="12"/>
      <c r="G4" s="12"/>
      <c r="H4" s="12"/>
    </row>
    <row r="5" spans="1:8" ht="19" x14ac:dyDescent="0.25">
      <c r="A5" s="12" t="s">
        <v>199</v>
      </c>
      <c r="B5" s="12"/>
      <c r="C5" s="12"/>
      <c r="D5" s="12"/>
      <c r="E5" s="12"/>
      <c r="G5" s="12"/>
      <c r="H5" s="12"/>
    </row>
    <row r="6" spans="1:8" ht="19" x14ac:dyDescent="0.25">
      <c r="A6" s="12" t="s">
        <v>3</v>
      </c>
      <c r="B6" s="12"/>
      <c r="C6" s="12"/>
      <c r="D6" s="12"/>
      <c r="E6" s="12"/>
      <c r="G6" s="12"/>
      <c r="H6" s="12"/>
    </row>
    <row r="8" spans="1:8" ht="41" thickBot="1" x14ac:dyDescent="0.25">
      <c r="A8" s="1" t="s">
        <v>4</v>
      </c>
      <c r="B8" s="2" t="s">
        <v>5</v>
      </c>
      <c r="C8" s="6" t="s">
        <v>7</v>
      </c>
      <c r="D8" s="7" t="s">
        <v>8</v>
      </c>
      <c r="E8" s="7" t="s">
        <v>8</v>
      </c>
      <c r="F8" s="7" t="s">
        <v>8</v>
      </c>
      <c r="G8" s="7" t="s">
        <v>9</v>
      </c>
      <c r="H8" s="7" t="s">
        <v>10</v>
      </c>
    </row>
    <row r="9" spans="1:8" x14ac:dyDescent="0.2">
      <c r="A9" s="3">
        <v>2</v>
      </c>
      <c r="B9" s="3" t="s">
        <v>42</v>
      </c>
      <c r="C9" s="9">
        <v>800</v>
      </c>
      <c r="D9" s="8">
        <v>1.7</v>
      </c>
      <c r="E9" s="8">
        <v>1.7</v>
      </c>
      <c r="F9" s="8"/>
      <c r="G9" s="8">
        <f>ROUND(AVERAGE(D9:F9), 2)</f>
        <v>1.7</v>
      </c>
      <c r="H9" s="8"/>
    </row>
    <row r="10" spans="1:8" x14ac:dyDescent="0.2">
      <c r="A10" s="4">
        <v>2</v>
      </c>
      <c r="B10" s="4" t="s">
        <v>42</v>
      </c>
      <c r="C10" s="10">
        <v>801</v>
      </c>
      <c r="D10" s="8">
        <v>1.5</v>
      </c>
      <c r="E10" s="8">
        <v>1.5</v>
      </c>
      <c r="F10" s="8"/>
      <c r="G10" s="8">
        <f t="shared" ref="G10:G68" si="0">ROUND(AVERAGE(D10:F10), 2)</f>
        <v>1.5</v>
      </c>
      <c r="H10" s="8"/>
    </row>
    <row r="11" spans="1:8" x14ac:dyDescent="0.2">
      <c r="A11" s="4">
        <v>2</v>
      </c>
      <c r="B11" s="4" t="s">
        <v>42</v>
      </c>
      <c r="C11" s="10">
        <v>804</v>
      </c>
      <c r="D11" s="8">
        <v>1.7</v>
      </c>
      <c r="E11" s="8">
        <v>1.6</v>
      </c>
      <c r="F11" s="8"/>
      <c r="G11" s="8">
        <f t="shared" si="0"/>
        <v>1.65</v>
      </c>
      <c r="H11" s="8"/>
    </row>
    <row r="12" spans="1:8" x14ac:dyDescent="0.2">
      <c r="A12" s="4">
        <v>2</v>
      </c>
      <c r="B12" s="4" t="s">
        <v>42</v>
      </c>
      <c r="C12" s="10">
        <v>806</v>
      </c>
      <c r="D12" s="8">
        <v>1.7</v>
      </c>
      <c r="E12" s="8">
        <v>1.7</v>
      </c>
      <c r="F12" s="8"/>
      <c r="G12" s="8">
        <f t="shared" si="0"/>
        <v>1.7</v>
      </c>
      <c r="H12" s="8"/>
    </row>
    <row r="13" spans="1:8" x14ac:dyDescent="0.2">
      <c r="A13" s="4">
        <v>2</v>
      </c>
      <c r="B13" s="4" t="s">
        <v>42</v>
      </c>
      <c r="C13" s="10">
        <v>809</v>
      </c>
      <c r="D13" s="8">
        <v>2.5</v>
      </c>
      <c r="E13" s="8">
        <v>2.5</v>
      </c>
      <c r="F13" s="8"/>
      <c r="G13" s="8">
        <f t="shared" si="0"/>
        <v>2.5</v>
      </c>
      <c r="H13" s="8"/>
    </row>
    <row r="14" spans="1:8" x14ac:dyDescent="0.2">
      <c r="A14" s="4">
        <v>2</v>
      </c>
      <c r="B14" s="4" t="s">
        <v>42</v>
      </c>
      <c r="C14" s="10">
        <v>810</v>
      </c>
      <c r="D14" s="8">
        <v>2.2000000000000002</v>
      </c>
      <c r="E14" s="8">
        <v>2.1</v>
      </c>
      <c r="F14" s="8"/>
      <c r="G14" s="8">
        <f t="shared" si="0"/>
        <v>2.15</v>
      </c>
      <c r="H14" s="8"/>
    </row>
    <row r="15" spans="1:8" x14ac:dyDescent="0.2">
      <c r="A15" s="4">
        <v>2</v>
      </c>
      <c r="B15" s="4" t="s">
        <v>42</v>
      </c>
      <c r="C15" s="10">
        <v>819</v>
      </c>
      <c r="D15" s="8">
        <v>1.9</v>
      </c>
      <c r="E15" s="8">
        <v>1.9</v>
      </c>
      <c r="F15" s="8"/>
      <c r="G15" s="8">
        <f t="shared" si="0"/>
        <v>1.9</v>
      </c>
      <c r="H15" s="8"/>
    </row>
    <row r="16" spans="1:8" x14ac:dyDescent="0.2">
      <c r="A16" s="4">
        <v>2</v>
      </c>
      <c r="B16" s="4" t="s">
        <v>42</v>
      </c>
      <c r="C16" s="10">
        <v>822</v>
      </c>
      <c r="D16" s="8">
        <v>1.7</v>
      </c>
      <c r="E16" s="8">
        <v>1.7</v>
      </c>
      <c r="F16" s="8"/>
      <c r="G16" s="8">
        <f t="shared" si="0"/>
        <v>1.7</v>
      </c>
      <c r="H16" s="8"/>
    </row>
    <row r="17" spans="1:8" x14ac:dyDescent="0.2">
      <c r="A17" s="4">
        <v>2</v>
      </c>
      <c r="B17" s="4" t="s">
        <v>42</v>
      </c>
      <c r="C17" s="10">
        <v>823</v>
      </c>
      <c r="D17" s="8">
        <v>2.2999999999999998</v>
      </c>
      <c r="E17" s="8">
        <v>2.2999999999999998</v>
      </c>
      <c r="F17" s="8"/>
      <c r="G17" s="8">
        <f t="shared" si="0"/>
        <v>2.2999999999999998</v>
      </c>
      <c r="H17" s="8"/>
    </row>
    <row r="18" spans="1:8" x14ac:dyDescent="0.2">
      <c r="A18" s="4">
        <v>2</v>
      </c>
      <c r="B18" s="4" t="s">
        <v>42</v>
      </c>
      <c r="C18" s="10">
        <v>825</v>
      </c>
      <c r="D18" s="8">
        <v>1.8</v>
      </c>
      <c r="E18" s="8">
        <v>1.8</v>
      </c>
      <c r="F18" s="8"/>
      <c r="G18" s="8">
        <f t="shared" si="0"/>
        <v>1.8</v>
      </c>
      <c r="H18" s="8"/>
    </row>
    <row r="19" spans="1:8" x14ac:dyDescent="0.2">
      <c r="A19" s="4">
        <v>2</v>
      </c>
      <c r="B19" s="4" t="s">
        <v>42</v>
      </c>
      <c r="C19" s="10">
        <v>826</v>
      </c>
      <c r="D19" s="8">
        <v>2.1</v>
      </c>
      <c r="E19" s="8">
        <v>2.1</v>
      </c>
      <c r="F19" s="8"/>
      <c r="G19" s="8">
        <f t="shared" si="0"/>
        <v>2.1</v>
      </c>
      <c r="H19" s="8"/>
    </row>
    <row r="20" spans="1:8" x14ac:dyDescent="0.2">
      <c r="A20" s="4">
        <v>2</v>
      </c>
      <c r="B20" s="4" t="s">
        <v>42</v>
      </c>
      <c r="C20" s="10">
        <v>828</v>
      </c>
      <c r="D20" s="8">
        <v>1.5</v>
      </c>
      <c r="E20" s="8">
        <v>1.5</v>
      </c>
      <c r="F20" s="8"/>
      <c r="G20" s="8">
        <f t="shared" si="0"/>
        <v>1.5</v>
      </c>
      <c r="H20" s="8"/>
    </row>
    <row r="21" spans="1:8" x14ac:dyDescent="0.2">
      <c r="A21" s="4">
        <v>2</v>
      </c>
      <c r="B21" s="4" t="s">
        <v>42</v>
      </c>
      <c r="C21" s="10">
        <v>829</v>
      </c>
      <c r="D21" s="8">
        <v>2.1</v>
      </c>
      <c r="E21" s="8">
        <v>2.1</v>
      </c>
      <c r="F21" s="8"/>
      <c r="G21" s="8">
        <f t="shared" si="0"/>
        <v>2.1</v>
      </c>
      <c r="H21" s="8"/>
    </row>
    <row r="22" spans="1:8" x14ac:dyDescent="0.2">
      <c r="A22" s="4">
        <v>2</v>
      </c>
      <c r="B22" s="4" t="s">
        <v>42</v>
      </c>
      <c r="C22" s="10">
        <v>832</v>
      </c>
      <c r="D22" s="8">
        <v>1.8</v>
      </c>
      <c r="E22" s="8">
        <v>1.8</v>
      </c>
      <c r="F22" s="8"/>
      <c r="G22" s="8">
        <f t="shared" si="0"/>
        <v>1.8</v>
      </c>
      <c r="H22" s="8"/>
    </row>
    <row r="23" spans="1:8" x14ac:dyDescent="0.2">
      <c r="A23" s="4">
        <v>2</v>
      </c>
      <c r="B23" s="4" t="s">
        <v>42</v>
      </c>
      <c r="C23" s="10">
        <v>836</v>
      </c>
      <c r="D23" s="8">
        <v>2.2000000000000002</v>
      </c>
      <c r="E23" s="8">
        <v>2.2000000000000002</v>
      </c>
      <c r="F23" s="8"/>
      <c r="G23" s="8">
        <f t="shared" si="0"/>
        <v>2.2000000000000002</v>
      </c>
      <c r="H23" s="8"/>
    </row>
    <row r="24" spans="1:8" x14ac:dyDescent="0.2">
      <c r="A24" s="4">
        <v>2</v>
      </c>
      <c r="B24" s="4" t="s">
        <v>42</v>
      </c>
      <c r="C24" s="10">
        <v>839</v>
      </c>
      <c r="D24" s="8">
        <v>1.9</v>
      </c>
      <c r="E24" s="8">
        <v>1.9</v>
      </c>
      <c r="F24" s="8"/>
      <c r="G24" s="8">
        <f t="shared" si="0"/>
        <v>1.9</v>
      </c>
      <c r="H24" s="8"/>
    </row>
    <row r="25" spans="1:8" x14ac:dyDescent="0.2">
      <c r="A25" s="4">
        <v>2</v>
      </c>
      <c r="B25" s="4" t="s">
        <v>42</v>
      </c>
      <c r="C25" s="10">
        <v>840</v>
      </c>
      <c r="D25" s="8">
        <v>1.7</v>
      </c>
      <c r="E25" s="8">
        <v>1.7</v>
      </c>
      <c r="F25" s="8"/>
      <c r="G25" s="8">
        <f t="shared" si="0"/>
        <v>1.7</v>
      </c>
      <c r="H25" s="8"/>
    </row>
    <row r="26" spans="1:8" x14ac:dyDescent="0.2">
      <c r="A26" s="4">
        <v>2</v>
      </c>
      <c r="B26" s="4" t="s">
        <v>42</v>
      </c>
      <c r="C26" s="10">
        <v>841</v>
      </c>
      <c r="D26" s="8">
        <v>1.7</v>
      </c>
      <c r="E26" s="8">
        <v>1.7</v>
      </c>
      <c r="F26" s="8"/>
      <c r="G26" s="8">
        <f t="shared" si="0"/>
        <v>1.7</v>
      </c>
      <c r="H26" s="8"/>
    </row>
    <row r="27" spans="1:8" x14ac:dyDescent="0.2">
      <c r="A27" s="4">
        <v>2</v>
      </c>
      <c r="B27" s="4" t="s">
        <v>42</v>
      </c>
      <c r="C27" s="10">
        <v>843</v>
      </c>
      <c r="D27" s="8">
        <v>1.9</v>
      </c>
      <c r="E27" s="8">
        <v>1.8</v>
      </c>
      <c r="F27" s="8"/>
      <c r="G27" s="8">
        <f t="shared" si="0"/>
        <v>1.85</v>
      </c>
      <c r="H27" s="8"/>
    </row>
    <row r="28" spans="1:8" x14ac:dyDescent="0.2">
      <c r="A28" s="4">
        <v>2</v>
      </c>
      <c r="B28" s="4" t="s">
        <v>42</v>
      </c>
      <c r="C28" s="10">
        <v>850</v>
      </c>
      <c r="D28" s="8">
        <v>2.1</v>
      </c>
      <c r="E28" s="8">
        <v>2.1</v>
      </c>
      <c r="F28" s="8"/>
      <c r="G28" s="8">
        <f t="shared" si="0"/>
        <v>2.1</v>
      </c>
      <c r="H28" s="8"/>
    </row>
    <row r="29" spans="1:8" x14ac:dyDescent="0.2">
      <c r="A29" s="4">
        <v>2</v>
      </c>
      <c r="B29" s="4" t="s">
        <v>42</v>
      </c>
      <c r="C29" s="10">
        <v>852</v>
      </c>
      <c r="D29" s="8">
        <v>1.7</v>
      </c>
      <c r="E29" s="8">
        <v>1.6</v>
      </c>
      <c r="F29" s="8"/>
      <c r="G29" s="8">
        <f t="shared" si="0"/>
        <v>1.65</v>
      </c>
      <c r="H29" s="8"/>
    </row>
    <row r="30" spans="1:8" x14ac:dyDescent="0.2">
      <c r="A30" s="4">
        <v>2</v>
      </c>
      <c r="B30" s="4" t="s">
        <v>42</v>
      </c>
      <c r="C30" s="10">
        <v>854</v>
      </c>
      <c r="D30" s="8">
        <v>1.8</v>
      </c>
      <c r="E30" s="8">
        <v>1.8</v>
      </c>
      <c r="F30" s="8"/>
      <c r="G30" s="8">
        <f t="shared" si="0"/>
        <v>1.8</v>
      </c>
      <c r="H30" s="8"/>
    </row>
    <row r="31" spans="1:8" x14ac:dyDescent="0.2">
      <c r="A31" s="4">
        <v>2</v>
      </c>
      <c r="B31" s="4" t="s">
        <v>42</v>
      </c>
      <c r="C31" s="10">
        <v>855</v>
      </c>
      <c r="D31" s="8">
        <v>2.1</v>
      </c>
      <c r="E31" s="8">
        <v>2.1</v>
      </c>
      <c r="F31" s="8"/>
      <c r="G31" s="8">
        <f t="shared" si="0"/>
        <v>2.1</v>
      </c>
      <c r="H31" s="8"/>
    </row>
    <row r="32" spans="1:8" x14ac:dyDescent="0.2">
      <c r="A32" s="4">
        <v>2</v>
      </c>
      <c r="B32" s="4" t="s">
        <v>42</v>
      </c>
      <c r="C32" s="10">
        <v>857</v>
      </c>
      <c r="D32" s="8">
        <v>2.2000000000000002</v>
      </c>
      <c r="E32" s="8">
        <v>2.2000000000000002</v>
      </c>
      <c r="F32" s="8"/>
      <c r="G32" s="8">
        <f t="shared" si="0"/>
        <v>2.2000000000000002</v>
      </c>
      <c r="H32" s="8"/>
    </row>
    <row r="33" spans="1:8" x14ac:dyDescent="0.2">
      <c r="A33" s="4">
        <v>2</v>
      </c>
      <c r="B33" s="4" t="s">
        <v>42</v>
      </c>
      <c r="C33" s="10">
        <v>858</v>
      </c>
      <c r="D33" s="8">
        <v>2.8</v>
      </c>
      <c r="E33" s="8">
        <v>2.8</v>
      </c>
      <c r="F33" s="8"/>
      <c r="G33" s="8">
        <f t="shared" si="0"/>
        <v>2.8</v>
      </c>
      <c r="H33" s="8"/>
    </row>
    <row r="34" spans="1:8" x14ac:dyDescent="0.2">
      <c r="A34" s="4">
        <v>2</v>
      </c>
      <c r="B34" s="4" t="s">
        <v>42</v>
      </c>
      <c r="C34" s="10">
        <v>870</v>
      </c>
      <c r="D34" s="8" t="s">
        <v>123</v>
      </c>
      <c r="E34" s="8" t="s">
        <v>123</v>
      </c>
      <c r="F34" s="8"/>
      <c r="G34" s="8" t="s">
        <v>123</v>
      </c>
      <c r="H34" s="8" t="s">
        <v>200</v>
      </c>
    </row>
    <row r="35" spans="1:8" x14ac:dyDescent="0.2">
      <c r="A35" s="4">
        <v>2</v>
      </c>
      <c r="B35" s="4" t="s">
        <v>42</v>
      </c>
      <c r="C35" s="10">
        <v>875</v>
      </c>
      <c r="D35" s="8">
        <v>2.2999999999999998</v>
      </c>
      <c r="E35" s="8">
        <v>2.2999999999999998</v>
      </c>
      <c r="F35" s="8"/>
      <c r="G35" s="8">
        <f t="shared" si="0"/>
        <v>2.2999999999999998</v>
      </c>
      <c r="H35" s="8"/>
    </row>
    <row r="36" spans="1:8" x14ac:dyDescent="0.2">
      <c r="A36" s="4">
        <v>2</v>
      </c>
      <c r="B36" s="4" t="s">
        <v>42</v>
      </c>
      <c r="C36" s="10">
        <v>880</v>
      </c>
      <c r="D36" s="8">
        <v>2.2000000000000002</v>
      </c>
      <c r="E36" s="8">
        <v>2.2000000000000002</v>
      </c>
      <c r="F36" s="8"/>
      <c r="G36" s="8">
        <f t="shared" si="0"/>
        <v>2.2000000000000002</v>
      </c>
      <c r="H36" s="8"/>
    </row>
    <row r="37" spans="1:8" x14ac:dyDescent="0.2">
      <c r="A37" s="4">
        <v>2</v>
      </c>
      <c r="B37" s="4" t="s">
        <v>42</v>
      </c>
      <c r="C37" s="10">
        <v>883</v>
      </c>
      <c r="D37" s="8">
        <v>1.8</v>
      </c>
      <c r="E37" s="8">
        <v>1.7</v>
      </c>
      <c r="F37" s="8"/>
      <c r="G37" s="8">
        <f t="shared" si="0"/>
        <v>1.75</v>
      </c>
      <c r="H37" s="8"/>
    </row>
    <row r="38" spans="1:8" x14ac:dyDescent="0.2">
      <c r="A38" s="4">
        <v>2</v>
      </c>
      <c r="B38" s="4" t="s">
        <v>42</v>
      </c>
      <c r="C38" s="10">
        <v>884</v>
      </c>
      <c r="D38" s="8">
        <v>1.6</v>
      </c>
      <c r="E38" s="8">
        <v>1.6</v>
      </c>
      <c r="F38" s="8"/>
      <c r="G38" s="8">
        <f t="shared" si="0"/>
        <v>1.6</v>
      </c>
      <c r="H38" s="8"/>
    </row>
    <row r="39" spans="1:8" ht="16" thickBot="1" x14ac:dyDescent="0.25">
      <c r="A39" s="5">
        <v>2</v>
      </c>
      <c r="B39" s="5" t="s">
        <v>42</v>
      </c>
      <c r="C39" s="11">
        <v>886</v>
      </c>
      <c r="D39" s="8">
        <v>2.4</v>
      </c>
      <c r="E39" s="8">
        <v>2.4</v>
      </c>
      <c r="F39" s="8"/>
      <c r="G39" s="8">
        <f t="shared" si="0"/>
        <v>2.4</v>
      </c>
      <c r="H39" s="8"/>
    </row>
    <row r="40" spans="1:8" x14ac:dyDescent="0.2">
      <c r="A40" s="19">
        <v>3</v>
      </c>
      <c r="B40" s="20" t="s">
        <v>74</v>
      </c>
      <c r="C40" s="21">
        <v>802</v>
      </c>
      <c r="D40" s="8">
        <v>1.6</v>
      </c>
      <c r="E40" s="8">
        <v>1.7</v>
      </c>
      <c r="F40" s="8"/>
      <c r="G40" s="8">
        <f t="shared" si="0"/>
        <v>1.65</v>
      </c>
      <c r="H40" s="8"/>
    </row>
    <row r="41" spans="1:8" x14ac:dyDescent="0.2">
      <c r="A41" s="22">
        <v>3</v>
      </c>
      <c r="B41" s="23" t="s">
        <v>74</v>
      </c>
      <c r="C41" s="24">
        <v>803</v>
      </c>
      <c r="D41" s="8">
        <v>1.8</v>
      </c>
      <c r="E41" s="8">
        <v>1.8</v>
      </c>
      <c r="F41" s="8"/>
      <c r="G41" s="8">
        <f t="shared" si="0"/>
        <v>1.8</v>
      </c>
      <c r="H41" s="8"/>
    </row>
    <row r="42" spans="1:8" x14ac:dyDescent="0.2">
      <c r="A42" s="22">
        <v>3</v>
      </c>
      <c r="B42" s="23" t="s">
        <v>74</v>
      </c>
      <c r="C42" s="24">
        <v>808</v>
      </c>
      <c r="D42" s="8">
        <v>1.6</v>
      </c>
      <c r="E42" s="8">
        <v>1.7</v>
      </c>
      <c r="F42" s="8"/>
      <c r="G42" s="8">
        <f t="shared" si="0"/>
        <v>1.65</v>
      </c>
      <c r="H42" s="8"/>
    </row>
    <row r="43" spans="1:8" x14ac:dyDescent="0.2">
      <c r="A43" s="22">
        <v>3</v>
      </c>
      <c r="B43" s="23" t="s">
        <v>74</v>
      </c>
      <c r="C43" s="24">
        <v>811</v>
      </c>
      <c r="D43" s="8">
        <v>2.1</v>
      </c>
      <c r="E43" s="8">
        <v>1.9</v>
      </c>
      <c r="F43" s="8"/>
      <c r="G43" s="8">
        <f t="shared" si="0"/>
        <v>2</v>
      </c>
      <c r="H43" s="8"/>
    </row>
    <row r="44" spans="1:8" x14ac:dyDescent="0.2">
      <c r="A44" s="22">
        <v>3</v>
      </c>
      <c r="B44" s="23" t="s">
        <v>74</v>
      </c>
      <c r="C44" s="24">
        <v>812</v>
      </c>
      <c r="D44" s="8">
        <v>1.9</v>
      </c>
      <c r="E44" s="8">
        <v>1.9</v>
      </c>
      <c r="F44" s="8"/>
      <c r="G44" s="8">
        <f t="shared" si="0"/>
        <v>1.9</v>
      </c>
      <c r="H44" s="8"/>
    </row>
    <row r="45" spans="1:8" x14ac:dyDescent="0.2">
      <c r="A45" s="22">
        <v>3</v>
      </c>
      <c r="B45" s="23" t="s">
        <v>74</v>
      </c>
      <c r="C45" s="24">
        <v>815</v>
      </c>
      <c r="D45" s="8">
        <v>2.2000000000000002</v>
      </c>
      <c r="E45" s="8">
        <v>2.1</v>
      </c>
      <c r="F45" s="8"/>
      <c r="G45" s="8">
        <f t="shared" si="0"/>
        <v>2.15</v>
      </c>
      <c r="H45" s="8"/>
    </row>
    <row r="46" spans="1:8" x14ac:dyDescent="0.2">
      <c r="A46" s="22">
        <v>3</v>
      </c>
      <c r="B46" s="23" t="s">
        <v>74</v>
      </c>
      <c r="C46" s="24">
        <v>816</v>
      </c>
      <c r="D46" s="8">
        <v>1.9</v>
      </c>
      <c r="E46" s="8">
        <v>1.9</v>
      </c>
      <c r="F46" s="8"/>
      <c r="G46" s="8">
        <f t="shared" si="0"/>
        <v>1.9</v>
      </c>
      <c r="H46" s="8"/>
    </row>
    <row r="47" spans="1:8" x14ac:dyDescent="0.2">
      <c r="A47" s="22">
        <v>3</v>
      </c>
      <c r="B47" s="23" t="s">
        <v>74</v>
      </c>
      <c r="C47" s="24">
        <v>817</v>
      </c>
      <c r="D47" s="8">
        <v>1.2</v>
      </c>
      <c r="E47" s="8">
        <v>1.4</v>
      </c>
      <c r="F47" s="8"/>
      <c r="G47" s="8">
        <f t="shared" si="0"/>
        <v>1.3</v>
      </c>
      <c r="H47" s="8"/>
    </row>
    <row r="48" spans="1:8" x14ac:dyDescent="0.2">
      <c r="A48" s="22">
        <v>3</v>
      </c>
      <c r="B48" s="23" t="s">
        <v>74</v>
      </c>
      <c r="C48" s="24">
        <v>818</v>
      </c>
      <c r="D48" s="8">
        <v>1.8</v>
      </c>
      <c r="E48" s="8">
        <v>1.9</v>
      </c>
      <c r="F48" s="8"/>
      <c r="G48" s="8">
        <f t="shared" si="0"/>
        <v>1.85</v>
      </c>
      <c r="H48" s="8"/>
    </row>
    <row r="49" spans="1:8" x14ac:dyDescent="0.2">
      <c r="A49" s="22">
        <v>3</v>
      </c>
      <c r="B49" s="23" t="s">
        <v>74</v>
      </c>
      <c r="C49" s="24">
        <v>833</v>
      </c>
      <c r="D49" s="8">
        <v>1.6</v>
      </c>
      <c r="E49" s="8">
        <v>1.6</v>
      </c>
      <c r="F49" s="8"/>
      <c r="G49" s="8">
        <f t="shared" si="0"/>
        <v>1.6</v>
      </c>
      <c r="H49" s="8"/>
    </row>
    <row r="50" spans="1:8" x14ac:dyDescent="0.2">
      <c r="A50" s="22">
        <v>3</v>
      </c>
      <c r="B50" s="23" t="s">
        <v>74</v>
      </c>
      <c r="C50" s="24">
        <v>834</v>
      </c>
      <c r="D50" s="8">
        <v>1.7</v>
      </c>
      <c r="E50" s="8">
        <v>1.8</v>
      </c>
      <c r="F50" s="8"/>
      <c r="G50" s="8">
        <f t="shared" si="0"/>
        <v>1.75</v>
      </c>
      <c r="H50" s="8"/>
    </row>
    <row r="51" spans="1:8" x14ac:dyDescent="0.2">
      <c r="A51" s="22">
        <v>3</v>
      </c>
      <c r="B51" s="23" t="s">
        <v>74</v>
      </c>
      <c r="C51" s="24">
        <v>835</v>
      </c>
      <c r="D51" s="8">
        <v>1.8</v>
      </c>
      <c r="E51" s="8">
        <v>1.9</v>
      </c>
      <c r="F51" s="8"/>
      <c r="G51" s="8">
        <f t="shared" si="0"/>
        <v>1.85</v>
      </c>
      <c r="H51" s="8"/>
    </row>
    <row r="52" spans="1:8" x14ac:dyDescent="0.2">
      <c r="A52" s="22">
        <v>3</v>
      </c>
      <c r="B52" s="23" t="s">
        <v>74</v>
      </c>
      <c r="C52" s="24">
        <v>844</v>
      </c>
      <c r="D52" s="8">
        <v>1.9</v>
      </c>
      <c r="E52" s="8">
        <v>1.7</v>
      </c>
      <c r="F52" s="8"/>
      <c r="G52" s="8">
        <f t="shared" si="0"/>
        <v>1.8</v>
      </c>
      <c r="H52" s="8"/>
    </row>
    <row r="53" spans="1:8" x14ac:dyDescent="0.2">
      <c r="A53" s="22">
        <v>3</v>
      </c>
      <c r="B53" s="23" t="s">
        <v>74</v>
      </c>
      <c r="C53" s="24">
        <v>845</v>
      </c>
      <c r="D53" s="8">
        <v>1.7</v>
      </c>
      <c r="E53" s="8">
        <v>1.7</v>
      </c>
      <c r="F53" s="8"/>
      <c r="G53" s="8">
        <f t="shared" si="0"/>
        <v>1.7</v>
      </c>
      <c r="H53" s="8"/>
    </row>
    <row r="54" spans="1:8" x14ac:dyDescent="0.2">
      <c r="A54" s="22">
        <v>3</v>
      </c>
      <c r="B54" s="23" t="s">
        <v>74</v>
      </c>
      <c r="C54" s="24">
        <v>846</v>
      </c>
      <c r="D54" s="8">
        <v>1.5</v>
      </c>
      <c r="E54" s="8">
        <v>1.7</v>
      </c>
      <c r="F54" s="8"/>
      <c r="G54" s="8">
        <f t="shared" si="0"/>
        <v>1.6</v>
      </c>
      <c r="H54" s="8"/>
    </row>
    <row r="55" spans="1:8" x14ac:dyDescent="0.2">
      <c r="A55" s="22">
        <v>3</v>
      </c>
      <c r="B55" s="23" t="s">
        <v>74</v>
      </c>
      <c r="C55" s="24">
        <v>849</v>
      </c>
      <c r="D55" s="8">
        <v>1.6</v>
      </c>
      <c r="E55" s="8">
        <v>1.5</v>
      </c>
      <c r="F55" s="8"/>
      <c r="G55" s="8">
        <f t="shared" si="0"/>
        <v>1.55</v>
      </c>
      <c r="H55" s="8"/>
    </row>
    <row r="56" spans="1:8" x14ac:dyDescent="0.2">
      <c r="A56" s="22">
        <v>3</v>
      </c>
      <c r="B56" s="23" t="s">
        <v>74</v>
      </c>
      <c r="C56" s="24">
        <v>856</v>
      </c>
      <c r="D56" s="8">
        <v>1.4</v>
      </c>
      <c r="E56" s="8">
        <v>1.4</v>
      </c>
      <c r="F56" s="8"/>
      <c r="G56" s="8">
        <f t="shared" si="0"/>
        <v>1.4</v>
      </c>
      <c r="H56" s="8"/>
    </row>
    <row r="57" spans="1:8" x14ac:dyDescent="0.2">
      <c r="A57" s="22">
        <v>3</v>
      </c>
      <c r="B57" s="23" t="s">
        <v>74</v>
      </c>
      <c r="C57" s="24">
        <v>859</v>
      </c>
      <c r="D57" s="8">
        <v>2.2000000000000002</v>
      </c>
      <c r="E57" s="8">
        <v>2</v>
      </c>
      <c r="F57" s="8"/>
      <c r="G57" s="8">
        <f t="shared" si="0"/>
        <v>2.1</v>
      </c>
      <c r="H57" s="8"/>
    </row>
    <row r="58" spans="1:8" x14ac:dyDescent="0.2">
      <c r="A58" s="22">
        <v>3</v>
      </c>
      <c r="B58" s="23" t="s">
        <v>74</v>
      </c>
      <c r="C58" s="24">
        <v>861</v>
      </c>
      <c r="D58" s="8">
        <v>1.5</v>
      </c>
      <c r="E58" s="8">
        <v>1.5</v>
      </c>
      <c r="F58" s="8"/>
      <c r="G58" s="8">
        <f t="shared" si="0"/>
        <v>1.5</v>
      </c>
      <c r="H58" s="8"/>
    </row>
    <row r="59" spans="1:8" x14ac:dyDescent="0.2">
      <c r="A59" s="22">
        <v>3</v>
      </c>
      <c r="B59" s="23" t="s">
        <v>74</v>
      </c>
      <c r="C59" s="24">
        <v>862</v>
      </c>
      <c r="D59" s="8">
        <v>1.7</v>
      </c>
      <c r="E59" s="8">
        <v>1.7</v>
      </c>
      <c r="F59" s="8"/>
      <c r="G59" s="8">
        <f t="shared" si="0"/>
        <v>1.7</v>
      </c>
      <c r="H59" s="8"/>
    </row>
    <row r="60" spans="1:8" x14ac:dyDescent="0.2">
      <c r="A60" s="22">
        <v>3</v>
      </c>
      <c r="B60" s="23" t="s">
        <v>74</v>
      </c>
      <c r="C60" s="24">
        <v>865</v>
      </c>
      <c r="D60" s="8">
        <v>1.7</v>
      </c>
      <c r="E60" s="8">
        <v>1.5</v>
      </c>
      <c r="F60" s="8"/>
      <c r="G60" s="8">
        <f t="shared" si="0"/>
        <v>1.6</v>
      </c>
      <c r="H60" s="8"/>
    </row>
    <row r="61" spans="1:8" x14ac:dyDescent="0.2">
      <c r="A61" s="22">
        <v>3</v>
      </c>
      <c r="B61" s="23" t="s">
        <v>74</v>
      </c>
      <c r="C61" s="24">
        <v>866</v>
      </c>
      <c r="D61" s="8">
        <v>1.6</v>
      </c>
      <c r="E61" s="8">
        <v>1.6</v>
      </c>
      <c r="F61" s="8"/>
      <c r="G61" s="8">
        <f t="shared" si="0"/>
        <v>1.6</v>
      </c>
      <c r="H61" s="8"/>
    </row>
    <row r="62" spans="1:8" x14ac:dyDescent="0.2">
      <c r="A62" s="22">
        <v>3</v>
      </c>
      <c r="B62" s="23" t="s">
        <v>74</v>
      </c>
      <c r="C62" s="24">
        <v>871</v>
      </c>
      <c r="D62" s="8">
        <v>1.8</v>
      </c>
      <c r="E62" s="8">
        <v>1.8</v>
      </c>
      <c r="F62" s="8"/>
      <c r="G62" s="8">
        <f t="shared" si="0"/>
        <v>1.8</v>
      </c>
      <c r="H62" s="8"/>
    </row>
    <row r="63" spans="1:8" x14ac:dyDescent="0.2">
      <c r="A63" s="22">
        <v>3</v>
      </c>
      <c r="B63" s="23" t="s">
        <v>74</v>
      </c>
      <c r="C63" s="24">
        <v>873</v>
      </c>
      <c r="D63" s="8">
        <v>1.8</v>
      </c>
      <c r="E63" s="8">
        <v>1.7</v>
      </c>
      <c r="F63" s="8"/>
      <c r="G63" s="8">
        <f t="shared" si="0"/>
        <v>1.75</v>
      </c>
      <c r="H63" s="8"/>
    </row>
    <row r="64" spans="1:8" x14ac:dyDescent="0.2">
      <c r="A64" s="22">
        <v>3</v>
      </c>
      <c r="B64" s="23" t="s">
        <v>74</v>
      </c>
      <c r="C64" s="24">
        <v>874</v>
      </c>
      <c r="D64" s="8">
        <v>1.6</v>
      </c>
      <c r="E64" s="8">
        <v>1.6</v>
      </c>
      <c r="F64" s="8"/>
      <c r="G64" s="8">
        <f t="shared" si="0"/>
        <v>1.6</v>
      </c>
      <c r="H64" s="8"/>
    </row>
    <row r="65" spans="1:8" x14ac:dyDescent="0.2">
      <c r="A65" s="22">
        <v>3</v>
      </c>
      <c r="B65" s="23" t="s">
        <v>74</v>
      </c>
      <c r="C65" s="24">
        <v>877</v>
      </c>
      <c r="D65" s="8">
        <v>1.8</v>
      </c>
      <c r="E65" s="8">
        <v>1.9</v>
      </c>
      <c r="F65" s="8"/>
      <c r="G65" s="8">
        <f t="shared" si="0"/>
        <v>1.85</v>
      </c>
      <c r="H65" s="8"/>
    </row>
    <row r="66" spans="1:8" x14ac:dyDescent="0.2">
      <c r="A66" s="22">
        <v>3</v>
      </c>
      <c r="B66" s="23" t="s">
        <v>74</v>
      </c>
      <c r="C66" s="24">
        <v>879</v>
      </c>
      <c r="D66" s="8">
        <v>1.9</v>
      </c>
      <c r="E66" s="8">
        <v>1.7</v>
      </c>
      <c r="F66" s="8"/>
      <c r="G66" s="8">
        <f t="shared" si="0"/>
        <v>1.8</v>
      </c>
      <c r="H66" s="8"/>
    </row>
    <row r="67" spans="1:8" x14ac:dyDescent="0.2">
      <c r="A67" s="22">
        <v>3</v>
      </c>
      <c r="B67" s="23" t="s">
        <v>74</v>
      </c>
      <c r="C67" s="24">
        <v>887</v>
      </c>
      <c r="D67" s="8">
        <v>1.9</v>
      </c>
      <c r="E67" s="8">
        <v>1.9</v>
      </c>
      <c r="F67" s="8"/>
      <c r="G67" s="8">
        <f t="shared" si="0"/>
        <v>1.9</v>
      </c>
      <c r="H67" s="8"/>
    </row>
    <row r="68" spans="1:8" x14ac:dyDescent="0.2">
      <c r="A68" s="22">
        <v>3</v>
      </c>
      <c r="B68" s="23" t="s">
        <v>74</v>
      </c>
      <c r="C68" s="24">
        <v>888</v>
      </c>
      <c r="D68" s="8">
        <v>1.7</v>
      </c>
      <c r="E68" s="8">
        <v>1.9</v>
      </c>
      <c r="F68" s="8"/>
      <c r="G68" s="8">
        <f t="shared" si="0"/>
        <v>1.8</v>
      </c>
      <c r="H68" s="8"/>
    </row>
    <row r="69" spans="1:8" x14ac:dyDescent="0.2">
      <c r="A69" s="13">
        <v>4</v>
      </c>
      <c r="B69" s="14" t="s">
        <v>104</v>
      </c>
      <c r="C69" s="15" t="s">
        <v>105</v>
      </c>
      <c r="D69" s="8" t="s">
        <v>123</v>
      </c>
      <c r="E69" s="8" t="s">
        <v>123</v>
      </c>
      <c r="F69" s="8"/>
      <c r="G69" s="8" t="s">
        <v>123</v>
      </c>
      <c r="H69" s="8" t="s">
        <v>200</v>
      </c>
    </row>
    <row r="70" spans="1:8" x14ac:dyDescent="0.2">
      <c r="A70" s="16">
        <v>4</v>
      </c>
      <c r="B70" s="14" t="s">
        <v>104</v>
      </c>
      <c r="C70" s="18" t="s">
        <v>106</v>
      </c>
      <c r="D70" s="8" t="s">
        <v>123</v>
      </c>
      <c r="E70" s="8" t="s">
        <v>123</v>
      </c>
      <c r="F70" s="8"/>
      <c r="G70" s="8" t="s">
        <v>123</v>
      </c>
      <c r="H70" s="8" t="s">
        <v>200</v>
      </c>
    </row>
    <row r="71" spans="1:8" x14ac:dyDescent="0.2">
      <c r="A71" s="16">
        <v>4</v>
      </c>
      <c r="B71" s="14" t="s">
        <v>104</v>
      </c>
      <c r="C71" s="18" t="s">
        <v>107</v>
      </c>
      <c r="D71" s="8" t="s">
        <v>123</v>
      </c>
      <c r="E71" s="8" t="s">
        <v>123</v>
      </c>
      <c r="F71" s="8"/>
      <c r="G71" s="8" t="s">
        <v>123</v>
      </c>
      <c r="H71" s="8" t="s">
        <v>200</v>
      </c>
    </row>
    <row r="72" spans="1:8" x14ac:dyDescent="0.2">
      <c r="A72" s="16">
        <v>4</v>
      </c>
      <c r="B72" s="14" t="s">
        <v>104</v>
      </c>
      <c r="C72" s="18" t="s">
        <v>108</v>
      </c>
      <c r="D72" s="8" t="s">
        <v>123</v>
      </c>
      <c r="E72" s="8" t="s">
        <v>123</v>
      </c>
      <c r="F72" s="8"/>
      <c r="G72" s="8" t="s">
        <v>123</v>
      </c>
      <c r="H72" s="8" t="s">
        <v>200</v>
      </c>
    </row>
    <row r="73" spans="1:8" x14ac:dyDescent="0.2">
      <c r="A73" s="16">
        <v>4</v>
      </c>
      <c r="B73" s="14" t="s">
        <v>104</v>
      </c>
      <c r="C73" s="18" t="s">
        <v>109</v>
      </c>
      <c r="D73" s="8" t="s">
        <v>123</v>
      </c>
      <c r="E73" s="8" t="s">
        <v>123</v>
      </c>
      <c r="F73" s="8"/>
      <c r="G73" s="8" t="s">
        <v>123</v>
      </c>
      <c r="H73" s="8" t="s">
        <v>200</v>
      </c>
    </row>
    <row r="74" spans="1:8" x14ac:dyDescent="0.2">
      <c r="A74" s="16">
        <v>4</v>
      </c>
      <c r="B74" s="14" t="s">
        <v>104</v>
      </c>
      <c r="C74" s="18" t="s">
        <v>110</v>
      </c>
      <c r="D74" s="8" t="s">
        <v>123</v>
      </c>
      <c r="E74" s="8" t="s">
        <v>123</v>
      </c>
      <c r="F74" s="8"/>
      <c r="G74" s="8" t="s">
        <v>123</v>
      </c>
      <c r="H74" s="8" t="s">
        <v>200</v>
      </c>
    </row>
    <row r="75" spans="1:8" x14ac:dyDescent="0.2">
      <c r="A75" s="16">
        <v>4</v>
      </c>
      <c r="B75" s="14" t="s">
        <v>104</v>
      </c>
      <c r="C75" s="18" t="s">
        <v>111</v>
      </c>
      <c r="D75" s="8" t="s">
        <v>123</v>
      </c>
      <c r="E75" s="8" t="s">
        <v>123</v>
      </c>
      <c r="F75" s="8"/>
      <c r="G75" s="8" t="s">
        <v>123</v>
      </c>
      <c r="H75" s="8" t="s">
        <v>200</v>
      </c>
    </row>
    <row r="76" spans="1:8" x14ac:dyDescent="0.2">
      <c r="A76" s="16">
        <v>4</v>
      </c>
      <c r="B76" s="14" t="s">
        <v>104</v>
      </c>
      <c r="C76" s="18" t="s">
        <v>112</v>
      </c>
      <c r="D76" s="8" t="s">
        <v>123</v>
      </c>
      <c r="E76" s="8" t="s">
        <v>123</v>
      </c>
      <c r="F76" s="8"/>
      <c r="G76" s="8" t="s">
        <v>123</v>
      </c>
      <c r="H76" s="8" t="s">
        <v>200</v>
      </c>
    </row>
    <row r="77" spans="1:8" x14ac:dyDescent="0.2">
      <c r="A77" s="16">
        <v>4</v>
      </c>
      <c r="B77" s="14" t="s">
        <v>104</v>
      </c>
      <c r="C77" s="18" t="s">
        <v>113</v>
      </c>
      <c r="D77" s="8" t="s">
        <v>123</v>
      </c>
      <c r="E77" s="8" t="s">
        <v>123</v>
      </c>
      <c r="F77" s="8"/>
      <c r="G77" s="8" t="s">
        <v>123</v>
      </c>
      <c r="H77" s="8" t="s">
        <v>200</v>
      </c>
    </row>
    <row r="78" spans="1:8" x14ac:dyDescent="0.2">
      <c r="A78" s="16">
        <v>4</v>
      </c>
      <c r="B78" s="14" t="s">
        <v>104</v>
      </c>
      <c r="C78" s="18" t="s">
        <v>114</v>
      </c>
      <c r="D78" s="8" t="s">
        <v>123</v>
      </c>
      <c r="E78" s="8" t="s">
        <v>123</v>
      </c>
      <c r="F78" s="8"/>
      <c r="G78" s="8" t="s">
        <v>123</v>
      </c>
      <c r="H78" s="8" t="s">
        <v>200</v>
      </c>
    </row>
    <row r="79" spans="1:8" x14ac:dyDescent="0.2">
      <c r="A79" s="16">
        <v>4</v>
      </c>
      <c r="B79" s="14" t="s">
        <v>104</v>
      </c>
      <c r="C79" s="18" t="s">
        <v>115</v>
      </c>
      <c r="D79" s="8" t="s">
        <v>123</v>
      </c>
      <c r="E79" s="8" t="s">
        <v>123</v>
      </c>
      <c r="F79" s="8"/>
      <c r="G79" s="8" t="s">
        <v>123</v>
      </c>
      <c r="H79" s="8" t="s">
        <v>200</v>
      </c>
    </row>
    <row r="80" spans="1:8" x14ac:dyDescent="0.2">
      <c r="A80" s="16">
        <v>4</v>
      </c>
      <c r="B80" s="14" t="s">
        <v>104</v>
      </c>
      <c r="C80" s="18" t="s">
        <v>116</v>
      </c>
      <c r="D80" s="8" t="s">
        <v>123</v>
      </c>
      <c r="E80" s="8" t="s">
        <v>123</v>
      </c>
      <c r="F80" s="8"/>
      <c r="G80" s="8" t="s">
        <v>123</v>
      </c>
      <c r="H80" s="8" t="s">
        <v>200</v>
      </c>
    </row>
    <row r="81" spans="1:8" x14ac:dyDescent="0.2">
      <c r="A81" s="16">
        <v>4</v>
      </c>
      <c r="B81" s="14" t="s">
        <v>104</v>
      </c>
      <c r="C81" s="18" t="s">
        <v>117</v>
      </c>
      <c r="D81" s="8" t="s">
        <v>123</v>
      </c>
      <c r="E81" s="8" t="s">
        <v>123</v>
      </c>
      <c r="F81" s="8"/>
      <c r="G81" s="8" t="s">
        <v>123</v>
      </c>
      <c r="H81" s="8" t="s">
        <v>200</v>
      </c>
    </row>
    <row r="82" spans="1:8" x14ac:dyDescent="0.2">
      <c r="A82" s="16">
        <v>4</v>
      </c>
      <c r="B82" s="14" t="s">
        <v>104</v>
      </c>
      <c r="C82" s="18" t="s">
        <v>118</v>
      </c>
      <c r="D82" s="8" t="s">
        <v>123</v>
      </c>
      <c r="E82" s="8" t="s">
        <v>123</v>
      </c>
      <c r="F82" s="8"/>
      <c r="G82" s="8" t="s">
        <v>123</v>
      </c>
      <c r="H82" s="8" t="s">
        <v>200</v>
      </c>
    </row>
    <row r="83" spans="1:8" x14ac:dyDescent="0.2">
      <c r="A83" s="16">
        <v>4</v>
      </c>
      <c r="B83" s="14" t="s">
        <v>104</v>
      </c>
      <c r="C83" s="18" t="s">
        <v>119</v>
      </c>
      <c r="D83" s="8" t="s">
        <v>123</v>
      </c>
      <c r="E83" s="8" t="s">
        <v>123</v>
      </c>
      <c r="F83" s="8"/>
      <c r="G83" s="8" t="s">
        <v>123</v>
      </c>
      <c r="H83" s="8" t="s">
        <v>200</v>
      </c>
    </row>
    <row r="84" spans="1:8" x14ac:dyDescent="0.2">
      <c r="A84" s="16">
        <v>4</v>
      </c>
      <c r="B84" s="14" t="s">
        <v>104</v>
      </c>
      <c r="C84" s="18" t="s">
        <v>120</v>
      </c>
      <c r="D84" s="8" t="s">
        <v>123</v>
      </c>
      <c r="E84" s="8" t="s">
        <v>123</v>
      </c>
      <c r="F84" s="8"/>
      <c r="G84" s="8" t="s">
        <v>123</v>
      </c>
      <c r="H84" s="8" t="s">
        <v>200</v>
      </c>
    </row>
    <row r="85" spans="1:8" x14ac:dyDescent="0.2">
      <c r="A85" s="16">
        <v>4</v>
      </c>
      <c r="B85" s="14" t="s">
        <v>104</v>
      </c>
      <c r="C85" s="18" t="s">
        <v>121</v>
      </c>
      <c r="D85" s="8" t="s">
        <v>123</v>
      </c>
      <c r="E85" s="8" t="s">
        <v>123</v>
      </c>
      <c r="F85" s="8"/>
      <c r="G85" s="8" t="s">
        <v>123</v>
      </c>
      <c r="H85" s="8" t="s">
        <v>200</v>
      </c>
    </row>
    <row r="86" spans="1:8" x14ac:dyDescent="0.2">
      <c r="A86" s="16">
        <v>4</v>
      </c>
      <c r="B86" s="14" t="s">
        <v>104</v>
      </c>
      <c r="C86" s="18" t="s">
        <v>122</v>
      </c>
      <c r="D86" s="8" t="s">
        <v>123</v>
      </c>
      <c r="E86" s="8" t="s">
        <v>123</v>
      </c>
      <c r="F86" s="8"/>
      <c r="G86" s="8" t="s">
        <v>123</v>
      </c>
      <c r="H86" s="8" t="s">
        <v>200</v>
      </c>
    </row>
    <row r="87" spans="1:8" x14ac:dyDescent="0.2">
      <c r="A87" s="16">
        <v>4</v>
      </c>
      <c r="B87" s="14" t="s">
        <v>104</v>
      </c>
      <c r="C87" s="18" t="s">
        <v>124</v>
      </c>
      <c r="D87" s="8" t="s">
        <v>123</v>
      </c>
      <c r="E87" s="8" t="s">
        <v>123</v>
      </c>
      <c r="F87" s="8"/>
      <c r="G87" s="8" t="s">
        <v>123</v>
      </c>
      <c r="H87" s="8" t="s">
        <v>200</v>
      </c>
    </row>
    <row r="88" spans="1:8" x14ac:dyDescent="0.2">
      <c r="A88" s="16">
        <v>4</v>
      </c>
      <c r="B88" s="14" t="s">
        <v>104</v>
      </c>
      <c r="C88" s="18" t="s">
        <v>125</v>
      </c>
      <c r="D88" s="8" t="s">
        <v>123</v>
      </c>
      <c r="E88" s="8" t="s">
        <v>123</v>
      </c>
      <c r="F88" s="8"/>
      <c r="G88" s="8" t="s">
        <v>123</v>
      </c>
      <c r="H88" s="8" t="s">
        <v>200</v>
      </c>
    </row>
    <row r="89" spans="1:8" x14ac:dyDescent="0.2">
      <c r="A89" s="16">
        <v>4</v>
      </c>
      <c r="B89" s="14" t="s">
        <v>104</v>
      </c>
      <c r="C89" s="18" t="s">
        <v>126</v>
      </c>
      <c r="D89" s="8" t="s">
        <v>123</v>
      </c>
      <c r="E89" s="8" t="s">
        <v>123</v>
      </c>
      <c r="F89" s="8"/>
      <c r="G89" s="8" t="s">
        <v>123</v>
      </c>
      <c r="H89" s="8" t="s">
        <v>200</v>
      </c>
    </row>
    <row r="90" spans="1:8" x14ac:dyDescent="0.2">
      <c r="A90" s="16">
        <v>4</v>
      </c>
      <c r="B90" s="14" t="s">
        <v>104</v>
      </c>
      <c r="C90" s="18" t="s">
        <v>127</v>
      </c>
      <c r="D90" s="8" t="s">
        <v>123</v>
      </c>
      <c r="E90" s="8" t="s">
        <v>123</v>
      </c>
      <c r="F90" s="8"/>
      <c r="G90" s="8" t="s">
        <v>123</v>
      </c>
      <c r="H90" s="8" t="s">
        <v>200</v>
      </c>
    </row>
    <row r="91" spans="1:8" x14ac:dyDescent="0.2">
      <c r="A91" s="16">
        <v>4</v>
      </c>
      <c r="B91" s="14" t="s">
        <v>104</v>
      </c>
      <c r="C91" s="18" t="s">
        <v>128</v>
      </c>
      <c r="D91" s="8" t="s">
        <v>123</v>
      </c>
      <c r="E91" s="8" t="s">
        <v>123</v>
      </c>
      <c r="F91" s="8"/>
      <c r="G91" s="8" t="s">
        <v>123</v>
      </c>
      <c r="H91" s="8" t="s">
        <v>200</v>
      </c>
    </row>
    <row r="92" spans="1:8" x14ac:dyDescent="0.2">
      <c r="A92" s="16">
        <v>4</v>
      </c>
      <c r="B92" s="14" t="s">
        <v>104</v>
      </c>
      <c r="C92" s="18" t="s">
        <v>129</v>
      </c>
      <c r="D92" s="8" t="s">
        <v>123</v>
      </c>
      <c r="E92" s="8" t="s">
        <v>123</v>
      </c>
      <c r="F92" s="8"/>
      <c r="G92" s="8" t="s">
        <v>123</v>
      </c>
      <c r="H92" s="8" t="s">
        <v>200</v>
      </c>
    </row>
    <row r="93" spans="1:8" x14ac:dyDescent="0.2">
      <c r="A93" s="16">
        <v>4</v>
      </c>
      <c r="B93" s="14" t="s">
        <v>104</v>
      </c>
      <c r="C93" s="18" t="s">
        <v>130</v>
      </c>
      <c r="D93" s="8" t="s">
        <v>123</v>
      </c>
      <c r="E93" s="8" t="s">
        <v>123</v>
      </c>
      <c r="F93" s="8"/>
      <c r="G93" s="8" t="s">
        <v>123</v>
      </c>
      <c r="H93" s="8" t="s">
        <v>200</v>
      </c>
    </row>
    <row r="94" spans="1:8" x14ac:dyDescent="0.2">
      <c r="A94" s="16">
        <v>4</v>
      </c>
      <c r="B94" s="14" t="s">
        <v>104</v>
      </c>
      <c r="C94" s="18" t="s">
        <v>131</v>
      </c>
      <c r="D94" s="8" t="s">
        <v>123</v>
      </c>
      <c r="E94" s="8" t="s">
        <v>123</v>
      </c>
      <c r="F94" s="8"/>
      <c r="G94" s="8" t="s">
        <v>123</v>
      </c>
      <c r="H94" s="8" t="s">
        <v>200</v>
      </c>
    </row>
    <row r="95" spans="1:8" x14ac:dyDescent="0.2">
      <c r="A95" s="16">
        <v>4</v>
      </c>
      <c r="B95" s="14" t="s">
        <v>104</v>
      </c>
      <c r="C95" s="18" t="s">
        <v>132</v>
      </c>
      <c r="D95" s="8" t="s">
        <v>123</v>
      </c>
      <c r="E95" s="8" t="s">
        <v>123</v>
      </c>
      <c r="F95" s="8"/>
      <c r="G95" s="8" t="s">
        <v>123</v>
      </c>
      <c r="H95" s="8" t="s">
        <v>200</v>
      </c>
    </row>
    <row r="96" spans="1:8" x14ac:dyDescent="0.2">
      <c r="A96" s="16">
        <v>4</v>
      </c>
      <c r="B96" s="14" t="s">
        <v>104</v>
      </c>
      <c r="C96" s="18" t="s">
        <v>133</v>
      </c>
      <c r="D96" s="8" t="s">
        <v>123</v>
      </c>
      <c r="E96" s="8" t="s">
        <v>123</v>
      </c>
      <c r="F96" s="8"/>
      <c r="G96" s="8" t="s">
        <v>123</v>
      </c>
      <c r="H96" s="8" t="s">
        <v>200</v>
      </c>
    </row>
    <row r="97" spans="1:8" x14ac:dyDescent="0.2">
      <c r="A97" s="16">
        <v>4</v>
      </c>
      <c r="B97" s="14" t="s">
        <v>104</v>
      </c>
      <c r="C97" s="18" t="s">
        <v>134</v>
      </c>
      <c r="D97" s="8" t="s">
        <v>123</v>
      </c>
      <c r="E97" s="8" t="s">
        <v>123</v>
      </c>
      <c r="F97" s="8"/>
      <c r="G97" s="8" t="s">
        <v>123</v>
      </c>
      <c r="H97" s="8" t="s">
        <v>200</v>
      </c>
    </row>
    <row r="98" spans="1:8" x14ac:dyDescent="0.2">
      <c r="A98" s="17">
        <v>4</v>
      </c>
      <c r="B98" s="17" t="s">
        <v>104</v>
      </c>
      <c r="C98" s="17" t="s">
        <v>135</v>
      </c>
      <c r="D98" s="8" t="s">
        <v>123</v>
      </c>
      <c r="E98" s="8" t="s">
        <v>123</v>
      </c>
      <c r="F98" s="8"/>
      <c r="G98" s="8" t="s">
        <v>123</v>
      </c>
      <c r="H98" s="8" t="s">
        <v>200</v>
      </c>
    </row>
    <row r="99" spans="1:8" x14ac:dyDescent="0.2">
      <c r="A99" s="17">
        <v>4</v>
      </c>
      <c r="B99" s="17" t="s">
        <v>104</v>
      </c>
      <c r="C99" s="17" t="s">
        <v>136</v>
      </c>
      <c r="D99" s="8" t="s">
        <v>123</v>
      </c>
      <c r="E99" s="8" t="s">
        <v>123</v>
      </c>
      <c r="F99" s="8"/>
      <c r="G99" s="8" t="s">
        <v>123</v>
      </c>
      <c r="H99" s="8" t="s">
        <v>200</v>
      </c>
    </row>
    <row r="100" spans="1:8" x14ac:dyDescent="0.2">
      <c r="A100" s="17">
        <v>4</v>
      </c>
      <c r="B100" s="17" t="s">
        <v>104</v>
      </c>
      <c r="C100" s="17" t="s">
        <v>137</v>
      </c>
      <c r="D100" s="8" t="s">
        <v>123</v>
      </c>
      <c r="E100" s="8" t="s">
        <v>123</v>
      </c>
      <c r="F100" s="8"/>
      <c r="G100" s="8" t="s">
        <v>123</v>
      </c>
      <c r="H100" s="8" t="s">
        <v>200</v>
      </c>
    </row>
    <row r="101" spans="1:8" x14ac:dyDescent="0.2">
      <c r="A101" s="17">
        <v>4</v>
      </c>
      <c r="B101" s="17" t="s">
        <v>104</v>
      </c>
      <c r="C101" s="17" t="s">
        <v>138</v>
      </c>
      <c r="D101" s="8">
        <v>2.5</v>
      </c>
      <c r="E101" s="8">
        <v>2.5</v>
      </c>
      <c r="F101" s="8"/>
      <c r="G101" s="8">
        <f t="shared" ref="G101" si="1">ROUND(AVERAGE(D101:F101), 2)</f>
        <v>2.5</v>
      </c>
      <c r="H101" s="8" t="s">
        <v>192</v>
      </c>
    </row>
    <row r="102" spans="1:8" x14ac:dyDescent="0.2">
      <c r="A102" s="17">
        <v>4</v>
      </c>
      <c r="B102" s="17" t="s">
        <v>104</v>
      </c>
      <c r="C102" s="17" t="s">
        <v>139</v>
      </c>
      <c r="D102" s="8" t="s">
        <v>123</v>
      </c>
      <c r="E102" s="8" t="s">
        <v>123</v>
      </c>
      <c r="F102" s="8"/>
      <c r="G102" s="8" t="s">
        <v>123</v>
      </c>
      <c r="H102" s="8" t="s">
        <v>200</v>
      </c>
    </row>
  </sheetData>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11B06-88C5-5B4C-AE4E-D5D2431F5061}">
  <dimension ref="A1:H102"/>
  <sheetViews>
    <sheetView tabSelected="1" zoomScale="83" workbookViewId="0">
      <selection activeCell="K25" sqref="K25"/>
    </sheetView>
  </sheetViews>
  <sheetFormatPr baseColWidth="10" defaultRowHeight="15" x14ac:dyDescent="0.2"/>
  <cols>
    <col min="2" max="2" width="8.1640625" bestFit="1" customWidth="1"/>
    <col min="3" max="3" width="8.83203125"/>
    <col min="4" max="6" width="10.6640625" customWidth="1"/>
    <col min="7" max="7" width="9.1640625" bestFit="1" customWidth="1"/>
    <col min="8" max="8" width="26.5" customWidth="1"/>
  </cols>
  <sheetData>
    <row r="1" spans="1:8" ht="19" x14ac:dyDescent="0.25">
      <c r="A1" s="12" t="s">
        <v>0</v>
      </c>
      <c r="B1" s="12"/>
      <c r="C1" s="12"/>
      <c r="D1" s="12"/>
      <c r="E1" s="12"/>
      <c r="G1" s="12"/>
      <c r="H1" s="12"/>
    </row>
    <row r="2" spans="1:8" ht="19" x14ac:dyDescent="0.25">
      <c r="A2" s="12"/>
      <c r="B2" s="12"/>
      <c r="C2" s="12"/>
      <c r="D2" s="12"/>
      <c r="E2" s="12"/>
      <c r="G2" s="12"/>
      <c r="H2" s="12"/>
    </row>
    <row r="3" spans="1:8" ht="19" x14ac:dyDescent="0.25">
      <c r="A3" s="12" t="s">
        <v>196</v>
      </c>
      <c r="B3" s="12"/>
      <c r="C3" s="12"/>
      <c r="D3" s="12"/>
      <c r="E3" s="12"/>
      <c r="G3" s="12"/>
      <c r="H3" s="12"/>
    </row>
    <row r="4" spans="1:8" ht="19" x14ac:dyDescent="0.25">
      <c r="A4" s="12"/>
      <c r="B4" s="12"/>
      <c r="C4" s="12"/>
      <c r="D4" s="12"/>
      <c r="E4" s="12"/>
      <c r="G4" s="12"/>
      <c r="H4" s="12"/>
    </row>
    <row r="5" spans="1:8" ht="19" x14ac:dyDescent="0.25">
      <c r="A5" s="12" t="s">
        <v>197</v>
      </c>
      <c r="B5" s="12"/>
      <c r="C5" s="12"/>
      <c r="D5" s="12"/>
      <c r="E5" s="12"/>
      <c r="G5" s="12"/>
      <c r="H5" s="12"/>
    </row>
    <row r="6" spans="1:8" ht="19" x14ac:dyDescent="0.25">
      <c r="A6" s="12" t="s">
        <v>202</v>
      </c>
      <c r="B6" s="12"/>
      <c r="C6" s="12"/>
      <c r="D6" s="12"/>
      <c r="E6" s="12"/>
      <c r="G6" s="12"/>
      <c r="H6" s="12"/>
    </row>
    <row r="8" spans="1:8" ht="41" thickBot="1" x14ac:dyDescent="0.25">
      <c r="A8" s="1" t="s">
        <v>4</v>
      </c>
      <c r="B8" s="2" t="s">
        <v>5</v>
      </c>
      <c r="C8" s="6" t="s">
        <v>7</v>
      </c>
      <c r="D8" s="7" t="s">
        <v>8</v>
      </c>
      <c r="E8" s="7" t="s">
        <v>8</v>
      </c>
      <c r="F8" s="7" t="s">
        <v>8</v>
      </c>
      <c r="G8" s="7" t="s">
        <v>9</v>
      </c>
      <c r="H8" s="7" t="s">
        <v>10</v>
      </c>
    </row>
    <row r="9" spans="1:8" x14ac:dyDescent="0.2">
      <c r="A9" s="3">
        <v>2</v>
      </c>
      <c r="B9" s="3" t="s">
        <v>42</v>
      </c>
      <c r="C9" s="9">
        <v>800</v>
      </c>
      <c r="D9" s="8">
        <v>1.8</v>
      </c>
      <c r="E9" s="8">
        <v>1.8</v>
      </c>
      <c r="F9" s="8">
        <v>1.8</v>
      </c>
      <c r="G9" s="8">
        <f xml:space="preserve"> ROUND(AVERAGE(D9:F9), 2)</f>
        <v>1.8</v>
      </c>
      <c r="H9" s="76"/>
    </row>
    <row r="10" spans="1:8" x14ac:dyDescent="0.2">
      <c r="A10" s="4">
        <v>2</v>
      </c>
      <c r="B10" s="4" t="s">
        <v>42</v>
      </c>
      <c r="C10" s="10">
        <v>801</v>
      </c>
      <c r="D10" s="8">
        <v>1.3</v>
      </c>
      <c r="E10" s="8">
        <v>1.4</v>
      </c>
      <c r="F10" s="8">
        <v>1.3</v>
      </c>
      <c r="G10" s="8">
        <f t="shared" ref="G10:G73" si="0" xml:space="preserve"> ROUND(AVERAGE(D10:F10), 2)</f>
        <v>1.33</v>
      </c>
      <c r="H10" s="76"/>
    </row>
    <row r="11" spans="1:8" x14ac:dyDescent="0.2">
      <c r="A11" s="4">
        <v>2</v>
      </c>
      <c r="B11" s="4" t="s">
        <v>42</v>
      </c>
      <c r="C11" s="10">
        <v>804</v>
      </c>
      <c r="D11" s="8">
        <v>1.6</v>
      </c>
      <c r="E11" s="8">
        <v>1.7</v>
      </c>
      <c r="F11" s="8">
        <v>1.6</v>
      </c>
      <c r="G11" s="8">
        <f t="shared" si="0"/>
        <v>1.63</v>
      </c>
      <c r="H11" s="76"/>
    </row>
    <row r="12" spans="1:8" x14ac:dyDescent="0.2">
      <c r="A12" s="4">
        <v>2</v>
      </c>
      <c r="B12" s="4" t="s">
        <v>42</v>
      </c>
      <c r="C12" s="10">
        <v>806</v>
      </c>
      <c r="D12" s="8">
        <v>1.5</v>
      </c>
      <c r="E12" s="8">
        <v>1.5</v>
      </c>
      <c r="F12" s="8">
        <v>1.5</v>
      </c>
      <c r="G12" s="8">
        <f t="shared" si="0"/>
        <v>1.5</v>
      </c>
      <c r="H12" s="76"/>
    </row>
    <row r="13" spans="1:8" x14ac:dyDescent="0.2">
      <c r="A13" s="4">
        <v>2</v>
      </c>
      <c r="B13" s="4" t="s">
        <v>42</v>
      </c>
      <c r="C13" s="10">
        <v>809</v>
      </c>
      <c r="D13" s="8">
        <v>2.5</v>
      </c>
      <c r="E13" s="8">
        <v>2.4</v>
      </c>
      <c r="F13" s="8">
        <v>2.5</v>
      </c>
      <c r="G13" s="8">
        <f t="shared" si="0"/>
        <v>2.4700000000000002</v>
      </c>
      <c r="H13" s="76"/>
    </row>
    <row r="14" spans="1:8" x14ac:dyDescent="0.2">
      <c r="A14" s="4">
        <v>2</v>
      </c>
      <c r="B14" s="4" t="s">
        <v>42</v>
      </c>
      <c r="C14" s="10">
        <v>810</v>
      </c>
      <c r="D14" s="8">
        <v>1.9</v>
      </c>
      <c r="E14" s="8">
        <v>1.9</v>
      </c>
      <c r="F14" s="8">
        <v>1.8</v>
      </c>
      <c r="G14" s="8">
        <f t="shared" si="0"/>
        <v>1.87</v>
      </c>
      <c r="H14" s="76"/>
    </row>
    <row r="15" spans="1:8" x14ac:dyDescent="0.2">
      <c r="A15" s="4">
        <v>2</v>
      </c>
      <c r="B15" s="4" t="s">
        <v>42</v>
      </c>
      <c r="C15" s="10">
        <v>819</v>
      </c>
      <c r="D15" s="8">
        <v>1.8</v>
      </c>
      <c r="E15" s="8">
        <v>1.9</v>
      </c>
      <c r="F15" s="8">
        <v>1.8</v>
      </c>
      <c r="G15" s="8">
        <f t="shared" si="0"/>
        <v>1.83</v>
      </c>
      <c r="H15" s="76"/>
    </row>
    <row r="16" spans="1:8" x14ac:dyDescent="0.2">
      <c r="A16" s="4">
        <v>2</v>
      </c>
      <c r="B16" s="4" t="s">
        <v>42</v>
      </c>
      <c r="C16" s="10">
        <v>822</v>
      </c>
      <c r="D16" s="8">
        <v>2.1</v>
      </c>
      <c r="E16" s="8">
        <v>2.2000000000000002</v>
      </c>
      <c r="F16" s="8">
        <v>2.1</v>
      </c>
      <c r="G16" s="8">
        <f t="shared" si="0"/>
        <v>2.13</v>
      </c>
      <c r="H16" s="76"/>
    </row>
    <row r="17" spans="1:8" x14ac:dyDescent="0.2">
      <c r="A17" s="4">
        <v>2</v>
      </c>
      <c r="B17" s="4" t="s">
        <v>42</v>
      </c>
      <c r="C17" s="10">
        <v>823</v>
      </c>
      <c r="D17" s="8">
        <v>2.4</v>
      </c>
      <c r="E17" s="8">
        <v>2.4</v>
      </c>
      <c r="F17" s="8">
        <v>2.4</v>
      </c>
      <c r="G17" s="8">
        <f t="shared" si="0"/>
        <v>2.4</v>
      </c>
      <c r="H17" s="76"/>
    </row>
    <row r="18" spans="1:8" x14ac:dyDescent="0.2">
      <c r="A18" s="4">
        <v>2</v>
      </c>
      <c r="B18" s="4" t="s">
        <v>42</v>
      </c>
      <c r="C18" s="10">
        <v>825</v>
      </c>
      <c r="D18" s="8">
        <v>1.4</v>
      </c>
      <c r="E18" s="8">
        <v>1.5</v>
      </c>
      <c r="F18" s="8">
        <v>1.5</v>
      </c>
      <c r="G18" s="8">
        <f t="shared" si="0"/>
        <v>1.47</v>
      </c>
      <c r="H18" s="76"/>
    </row>
    <row r="19" spans="1:8" x14ac:dyDescent="0.2">
      <c r="A19" s="4">
        <v>2</v>
      </c>
      <c r="B19" s="4" t="s">
        <v>42</v>
      </c>
      <c r="C19" s="10">
        <v>826</v>
      </c>
      <c r="D19" s="8">
        <v>2</v>
      </c>
      <c r="E19" s="8">
        <v>2</v>
      </c>
      <c r="F19" s="8">
        <v>2</v>
      </c>
      <c r="G19" s="8">
        <f t="shared" si="0"/>
        <v>2</v>
      </c>
      <c r="H19" s="76"/>
    </row>
    <row r="20" spans="1:8" x14ac:dyDescent="0.2">
      <c r="A20" s="4">
        <v>2</v>
      </c>
      <c r="B20" s="4" t="s">
        <v>42</v>
      </c>
      <c r="C20" s="10">
        <v>828</v>
      </c>
      <c r="D20" s="8">
        <v>1.7</v>
      </c>
      <c r="E20" s="8">
        <v>1.8</v>
      </c>
      <c r="F20" s="8">
        <v>1.7</v>
      </c>
      <c r="G20" s="8">
        <f t="shared" si="0"/>
        <v>1.73</v>
      </c>
      <c r="H20" s="76"/>
    </row>
    <row r="21" spans="1:8" x14ac:dyDescent="0.2">
      <c r="A21" s="4">
        <v>2</v>
      </c>
      <c r="B21" s="4" t="s">
        <v>42</v>
      </c>
      <c r="C21" s="10">
        <v>829</v>
      </c>
      <c r="D21" s="8">
        <v>2.2999999999999998</v>
      </c>
      <c r="E21" s="8">
        <v>2.2999999999999998</v>
      </c>
      <c r="F21" s="8">
        <v>2.2000000000000002</v>
      </c>
      <c r="G21" s="8">
        <f t="shared" si="0"/>
        <v>2.27</v>
      </c>
      <c r="H21" s="76"/>
    </row>
    <row r="22" spans="1:8" x14ac:dyDescent="0.2">
      <c r="A22" s="4">
        <v>2</v>
      </c>
      <c r="B22" s="4" t="s">
        <v>42</v>
      </c>
      <c r="C22" s="10">
        <v>832</v>
      </c>
      <c r="D22" s="8">
        <v>1.9</v>
      </c>
      <c r="E22" s="8">
        <v>2.1</v>
      </c>
      <c r="F22" s="8">
        <v>1.8</v>
      </c>
      <c r="G22" s="8">
        <f t="shared" si="0"/>
        <v>1.93</v>
      </c>
      <c r="H22" s="76"/>
    </row>
    <row r="23" spans="1:8" x14ac:dyDescent="0.2">
      <c r="A23" s="4">
        <v>2</v>
      </c>
      <c r="B23" s="4" t="s">
        <v>42</v>
      </c>
      <c r="C23" s="10">
        <v>836</v>
      </c>
      <c r="D23" s="8">
        <v>2.6</v>
      </c>
      <c r="E23" s="8">
        <v>2.6</v>
      </c>
      <c r="F23" s="8">
        <v>2.6</v>
      </c>
      <c r="G23" s="8">
        <f t="shared" si="0"/>
        <v>2.6</v>
      </c>
      <c r="H23" s="76"/>
    </row>
    <row r="24" spans="1:8" x14ac:dyDescent="0.2">
      <c r="A24" s="4">
        <v>2</v>
      </c>
      <c r="B24" s="4" t="s">
        <v>42</v>
      </c>
      <c r="C24" s="10">
        <v>839</v>
      </c>
      <c r="D24" s="8">
        <v>1.7</v>
      </c>
      <c r="E24" s="8">
        <v>1.7</v>
      </c>
      <c r="F24" s="8">
        <v>1.7</v>
      </c>
      <c r="G24" s="8">
        <f t="shared" si="0"/>
        <v>1.7</v>
      </c>
      <c r="H24" s="76"/>
    </row>
    <row r="25" spans="1:8" x14ac:dyDescent="0.2">
      <c r="A25" s="4">
        <v>2</v>
      </c>
      <c r="B25" s="4" t="s">
        <v>42</v>
      </c>
      <c r="C25" s="10">
        <v>840</v>
      </c>
      <c r="D25" s="8">
        <v>2.2999999999999998</v>
      </c>
      <c r="E25" s="8">
        <v>2.2999999999999998</v>
      </c>
      <c r="F25" s="8">
        <v>2.2000000000000002</v>
      </c>
      <c r="G25" s="8">
        <f t="shared" si="0"/>
        <v>2.27</v>
      </c>
      <c r="H25" s="76"/>
    </row>
    <row r="26" spans="1:8" x14ac:dyDescent="0.2">
      <c r="A26" s="4">
        <v>2</v>
      </c>
      <c r="B26" s="4" t="s">
        <v>42</v>
      </c>
      <c r="C26" s="10">
        <v>841</v>
      </c>
      <c r="D26" s="8">
        <v>1.8</v>
      </c>
      <c r="E26" s="8">
        <v>1.8</v>
      </c>
      <c r="F26" s="8">
        <v>1.8</v>
      </c>
      <c r="G26" s="8">
        <f t="shared" si="0"/>
        <v>1.8</v>
      </c>
      <c r="H26" s="76"/>
    </row>
    <row r="27" spans="1:8" x14ac:dyDescent="0.2">
      <c r="A27" s="4">
        <v>2</v>
      </c>
      <c r="B27" s="4" t="s">
        <v>42</v>
      </c>
      <c r="C27" s="10">
        <v>843</v>
      </c>
      <c r="D27" s="8">
        <v>2.2000000000000002</v>
      </c>
      <c r="E27" s="8">
        <v>2.2000000000000002</v>
      </c>
      <c r="F27" s="8">
        <v>2.2999999999999998</v>
      </c>
      <c r="G27" s="8">
        <f t="shared" si="0"/>
        <v>2.23</v>
      </c>
      <c r="H27" s="76"/>
    </row>
    <row r="28" spans="1:8" x14ac:dyDescent="0.2">
      <c r="A28" s="4">
        <v>2</v>
      </c>
      <c r="B28" s="4" t="s">
        <v>42</v>
      </c>
      <c r="C28" s="10">
        <v>850</v>
      </c>
      <c r="D28" s="8">
        <v>3</v>
      </c>
      <c r="E28" s="8">
        <v>3.1</v>
      </c>
      <c r="F28" s="8">
        <v>3.1</v>
      </c>
      <c r="G28" s="8">
        <f t="shared" si="0"/>
        <v>3.07</v>
      </c>
      <c r="H28" s="76"/>
    </row>
    <row r="29" spans="1:8" x14ac:dyDescent="0.2">
      <c r="A29" s="4">
        <v>2</v>
      </c>
      <c r="B29" s="4" t="s">
        <v>42</v>
      </c>
      <c r="C29" s="10">
        <v>852</v>
      </c>
      <c r="D29" s="8">
        <v>1.6</v>
      </c>
      <c r="E29" s="8">
        <v>1.6</v>
      </c>
      <c r="F29" s="8">
        <v>1.5</v>
      </c>
      <c r="G29" s="8">
        <f t="shared" si="0"/>
        <v>1.57</v>
      </c>
      <c r="H29" s="76"/>
    </row>
    <row r="30" spans="1:8" x14ac:dyDescent="0.2">
      <c r="A30" s="4">
        <v>2</v>
      </c>
      <c r="B30" s="4" t="s">
        <v>42</v>
      </c>
      <c r="C30" s="10">
        <v>854</v>
      </c>
      <c r="D30" s="8">
        <v>2</v>
      </c>
      <c r="E30" s="8">
        <v>2</v>
      </c>
      <c r="F30" s="8">
        <v>2</v>
      </c>
      <c r="G30" s="8">
        <f t="shared" si="0"/>
        <v>2</v>
      </c>
      <c r="H30" s="76"/>
    </row>
    <row r="31" spans="1:8" x14ac:dyDescent="0.2">
      <c r="A31" s="4">
        <v>2</v>
      </c>
      <c r="B31" s="4" t="s">
        <v>42</v>
      </c>
      <c r="C31" s="10">
        <v>855</v>
      </c>
      <c r="D31" s="8">
        <v>2.4</v>
      </c>
      <c r="E31" s="8">
        <v>2.4</v>
      </c>
      <c r="F31" s="8">
        <v>2.4</v>
      </c>
      <c r="G31" s="8">
        <f t="shared" si="0"/>
        <v>2.4</v>
      </c>
      <c r="H31" s="76"/>
    </row>
    <row r="32" spans="1:8" x14ac:dyDescent="0.2">
      <c r="A32" s="4">
        <v>2</v>
      </c>
      <c r="B32" s="4" t="s">
        <v>42</v>
      </c>
      <c r="C32" s="10">
        <v>857</v>
      </c>
      <c r="D32" s="8">
        <v>2.6</v>
      </c>
      <c r="E32" s="8">
        <v>2.6</v>
      </c>
      <c r="F32" s="8">
        <v>2.6</v>
      </c>
      <c r="G32" s="8">
        <f t="shared" si="0"/>
        <v>2.6</v>
      </c>
      <c r="H32" s="76"/>
    </row>
    <row r="33" spans="1:8" x14ac:dyDescent="0.2">
      <c r="A33" s="4">
        <v>2</v>
      </c>
      <c r="B33" s="4" t="s">
        <v>42</v>
      </c>
      <c r="C33" s="10">
        <v>858</v>
      </c>
      <c r="D33" s="8">
        <v>3.1</v>
      </c>
      <c r="E33" s="8">
        <v>3.1</v>
      </c>
      <c r="F33" s="8">
        <v>3.1</v>
      </c>
      <c r="G33" s="8">
        <f t="shared" si="0"/>
        <v>3.1</v>
      </c>
      <c r="H33" s="76"/>
    </row>
    <row r="34" spans="1:8" x14ac:dyDescent="0.2">
      <c r="A34" s="4">
        <v>2</v>
      </c>
      <c r="B34" s="4" t="s">
        <v>42</v>
      </c>
      <c r="C34" s="10">
        <v>870</v>
      </c>
      <c r="D34" s="8">
        <v>1.7</v>
      </c>
      <c r="E34" s="8">
        <v>1.8</v>
      </c>
      <c r="F34" s="8">
        <v>1.7</v>
      </c>
      <c r="G34" s="8">
        <f t="shared" si="0"/>
        <v>1.73</v>
      </c>
      <c r="H34" s="76"/>
    </row>
    <row r="35" spans="1:8" x14ac:dyDescent="0.2">
      <c r="A35" s="4">
        <v>2</v>
      </c>
      <c r="B35" s="4" t="s">
        <v>42</v>
      </c>
      <c r="C35" s="10">
        <v>875</v>
      </c>
      <c r="D35" s="8">
        <v>1.8</v>
      </c>
      <c r="E35" s="8">
        <v>1.8</v>
      </c>
      <c r="F35" s="8">
        <v>1.8</v>
      </c>
      <c r="G35" s="8">
        <f t="shared" si="0"/>
        <v>1.8</v>
      </c>
      <c r="H35" s="76"/>
    </row>
    <row r="36" spans="1:8" x14ac:dyDescent="0.2">
      <c r="A36" s="4">
        <v>2</v>
      </c>
      <c r="B36" s="4" t="s">
        <v>42</v>
      </c>
      <c r="C36" s="10">
        <v>880</v>
      </c>
      <c r="D36" s="8">
        <v>2.5</v>
      </c>
      <c r="E36" s="8">
        <v>2.5</v>
      </c>
      <c r="F36" s="8">
        <v>2.5</v>
      </c>
      <c r="G36" s="8">
        <f t="shared" si="0"/>
        <v>2.5</v>
      </c>
      <c r="H36" s="76"/>
    </row>
    <row r="37" spans="1:8" x14ac:dyDescent="0.2">
      <c r="A37" s="4">
        <v>2</v>
      </c>
      <c r="B37" s="4" t="s">
        <v>42</v>
      </c>
      <c r="C37" s="10">
        <v>883</v>
      </c>
      <c r="D37" s="8">
        <v>1.7</v>
      </c>
      <c r="E37" s="8">
        <v>1.7</v>
      </c>
      <c r="F37" s="8">
        <v>1.6</v>
      </c>
      <c r="G37" s="8">
        <f t="shared" si="0"/>
        <v>1.67</v>
      </c>
      <c r="H37" s="76"/>
    </row>
    <row r="38" spans="1:8" x14ac:dyDescent="0.2">
      <c r="A38" s="4">
        <v>2</v>
      </c>
      <c r="B38" s="4" t="s">
        <v>42</v>
      </c>
      <c r="C38" s="10">
        <v>884</v>
      </c>
      <c r="D38" s="8">
        <v>1.7</v>
      </c>
      <c r="E38" s="8">
        <v>1.8</v>
      </c>
      <c r="F38" s="8">
        <v>1.7</v>
      </c>
      <c r="G38" s="8">
        <f t="shared" si="0"/>
        <v>1.73</v>
      </c>
      <c r="H38" s="76"/>
    </row>
    <row r="39" spans="1:8" ht="16" thickBot="1" x14ac:dyDescent="0.25">
      <c r="A39" s="5">
        <v>2</v>
      </c>
      <c r="B39" s="5" t="s">
        <v>42</v>
      </c>
      <c r="C39" s="11">
        <v>886</v>
      </c>
      <c r="D39" s="8">
        <v>2.4</v>
      </c>
      <c r="E39" s="8">
        <v>2.5</v>
      </c>
      <c r="F39" s="8">
        <v>2.5</v>
      </c>
      <c r="G39" s="8">
        <f t="shared" si="0"/>
        <v>2.4700000000000002</v>
      </c>
      <c r="H39" s="76"/>
    </row>
    <row r="40" spans="1:8" x14ac:dyDescent="0.2">
      <c r="A40" s="19">
        <v>3</v>
      </c>
      <c r="B40" s="20" t="s">
        <v>74</v>
      </c>
      <c r="C40" s="21">
        <v>802</v>
      </c>
      <c r="D40" s="8">
        <v>1.2</v>
      </c>
      <c r="E40" s="8">
        <v>1.2</v>
      </c>
      <c r="F40" s="8">
        <v>1.1000000000000001</v>
      </c>
      <c r="G40" s="8">
        <f t="shared" si="0"/>
        <v>1.17</v>
      </c>
      <c r="H40" s="76"/>
    </row>
    <row r="41" spans="1:8" x14ac:dyDescent="0.2">
      <c r="A41" s="22">
        <v>3</v>
      </c>
      <c r="B41" s="23" t="s">
        <v>74</v>
      </c>
      <c r="C41" s="24">
        <v>803</v>
      </c>
      <c r="D41" s="8">
        <v>1.4</v>
      </c>
      <c r="E41" s="8">
        <v>1.5</v>
      </c>
      <c r="F41" s="8">
        <v>1.5</v>
      </c>
      <c r="G41" s="8">
        <f t="shared" si="0"/>
        <v>1.47</v>
      </c>
      <c r="H41" s="76"/>
    </row>
    <row r="42" spans="1:8" x14ac:dyDescent="0.2">
      <c r="A42" s="22">
        <v>3</v>
      </c>
      <c r="B42" s="23" t="s">
        <v>74</v>
      </c>
      <c r="C42" s="24">
        <v>808</v>
      </c>
      <c r="D42" s="8">
        <v>1.5</v>
      </c>
      <c r="E42" s="8">
        <v>1.6</v>
      </c>
      <c r="F42" s="8">
        <v>1.6</v>
      </c>
      <c r="G42" s="8">
        <f t="shared" si="0"/>
        <v>1.57</v>
      </c>
      <c r="H42" s="76"/>
    </row>
    <row r="43" spans="1:8" x14ac:dyDescent="0.2">
      <c r="A43" s="22">
        <v>3</v>
      </c>
      <c r="B43" s="23" t="s">
        <v>74</v>
      </c>
      <c r="C43" s="24">
        <v>811</v>
      </c>
      <c r="D43" s="8">
        <v>1.4</v>
      </c>
      <c r="E43" s="8">
        <v>1.4</v>
      </c>
      <c r="F43" s="8">
        <v>1.4</v>
      </c>
      <c r="G43" s="8">
        <f t="shared" si="0"/>
        <v>1.4</v>
      </c>
      <c r="H43" s="76"/>
    </row>
    <row r="44" spans="1:8" x14ac:dyDescent="0.2">
      <c r="A44" s="22">
        <v>3</v>
      </c>
      <c r="B44" s="23" t="s">
        <v>74</v>
      </c>
      <c r="C44" s="24">
        <v>812</v>
      </c>
      <c r="D44" s="8">
        <v>2.4</v>
      </c>
      <c r="E44" s="8">
        <v>2.4</v>
      </c>
      <c r="F44" s="8">
        <v>2.4</v>
      </c>
      <c r="G44" s="8">
        <f t="shared" si="0"/>
        <v>2.4</v>
      </c>
      <c r="H44" s="76"/>
    </row>
    <row r="45" spans="1:8" x14ac:dyDescent="0.2">
      <c r="A45" s="22">
        <v>3</v>
      </c>
      <c r="B45" s="23" t="s">
        <v>74</v>
      </c>
      <c r="C45" s="24">
        <v>815</v>
      </c>
      <c r="D45" s="8">
        <v>1.5</v>
      </c>
      <c r="E45" s="8">
        <v>1.5</v>
      </c>
      <c r="F45" s="8">
        <v>1.5</v>
      </c>
      <c r="G45" s="8">
        <f t="shared" si="0"/>
        <v>1.5</v>
      </c>
      <c r="H45" s="76"/>
    </row>
    <row r="46" spans="1:8" x14ac:dyDescent="0.2">
      <c r="A46" s="22">
        <v>3</v>
      </c>
      <c r="B46" s="23" t="s">
        <v>74</v>
      </c>
      <c r="C46" s="24">
        <v>816</v>
      </c>
      <c r="D46" s="8">
        <v>2.2999999999999998</v>
      </c>
      <c r="E46" s="8">
        <v>2.4</v>
      </c>
      <c r="F46" s="8">
        <v>2.4</v>
      </c>
      <c r="G46" s="8">
        <f t="shared" si="0"/>
        <v>2.37</v>
      </c>
      <c r="H46" s="76"/>
    </row>
    <row r="47" spans="1:8" x14ac:dyDescent="0.2">
      <c r="A47" s="22">
        <v>3</v>
      </c>
      <c r="B47" s="23" t="s">
        <v>74</v>
      </c>
      <c r="C47" s="24">
        <v>817</v>
      </c>
      <c r="D47" s="8">
        <v>1.1000000000000001</v>
      </c>
      <c r="E47" s="8">
        <v>1.1000000000000001</v>
      </c>
      <c r="F47" s="8">
        <v>1.1000000000000001</v>
      </c>
      <c r="G47" s="8">
        <f t="shared" si="0"/>
        <v>1.1000000000000001</v>
      </c>
      <c r="H47" s="76"/>
    </row>
    <row r="48" spans="1:8" x14ac:dyDescent="0.2">
      <c r="A48" s="22">
        <v>3</v>
      </c>
      <c r="B48" s="23" t="s">
        <v>74</v>
      </c>
      <c r="C48" s="24">
        <v>818</v>
      </c>
      <c r="D48" s="8">
        <v>1.8</v>
      </c>
      <c r="E48" s="8">
        <v>2</v>
      </c>
      <c r="F48" s="8">
        <v>2</v>
      </c>
      <c r="G48" s="8">
        <f t="shared" si="0"/>
        <v>1.93</v>
      </c>
      <c r="H48" s="76"/>
    </row>
    <row r="49" spans="1:8" x14ac:dyDescent="0.2">
      <c r="A49" s="22">
        <v>3</v>
      </c>
      <c r="B49" s="23" t="s">
        <v>74</v>
      </c>
      <c r="C49" s="24">
        <v>833</v>
      </c>
      <c r="D49" s="8">
        <v>0.8</v>
      </c>
      <c r="E49" s="8">
        <v>0.7</v>
      </c>
      <c r="F49" s="8">
        <v>0.7</v>
      </c>
      <c r="G49" s="8">
        <f t="shared" si="0"/>
        <v>0.73</v>
      </c>
      <c r="H49" s="76"/>
    </row>
    <row r="50" spans="1:8" x14ac:dyDescent="0.2">
      <c r="A50" s="22">
        <v>3</v>
      </c>
      <c r="B50" s="23" t="s">
        <v>74</v>
      </c>
      <c r="C50" s="24">
        <v>834</v>
      </c>
      <c r="D50" s="8">
        <v>2.2999999999999998</v>
      </c>
      <c r="E50" s="8">
        <v>2.2999999999999998</v>
      </c>
      <c r="F50" s="8">
        <v>2.2000000000000002</v>
      </c>
      <c r="G50" s="8">
        <f t="shared" si="0"/>
        <v>2.27</v>
      </c>
      <c r="H50" s="76"/>
    </row>
    <row r="51" spans="1:8" x14ac:dyDescent="0.2">
      <c r="A51" s="22">
        <v>3</v>
      </c>
      <c r="B51" s="23" t="s">
        <v>74</v>
      </c>
      <c r="C51" s="24">
        <v>835</v>
      </c>
      <c r="D51" s="8">
        <v>1.4</v>
      </c>
      <c r="E51" s="8">
        <v>1.4</v>
      </c>
      <c r="F51" s="8">
        <v>1.4</v>
      </c>
      <c r="G51" s="8">
        <f t="shared" si="0"/>
        <v>1.4</v>
      </c>
      <c r="H51" s="76"/>
    </row>
    <row r="52" spans="1:8" x14ac:dyDescent="0.2">
      <c r="A52" s="22">
        <v>3</v>
      </c>
      <c r="B52" s="23" t="s">
        <v>74</v>
      </c>
      <c r="C52" s="24">
        <v>844</v>
      </c>
      <c r="D52" s="8">
        <v>1.8</v>
      </c>
      <c r="E52" s="8">
        <v>1.9</v>
      </c>
      <c r="F52" s="8">
        <v>1.8</v>
      </c>
      <c r="G52" s="8">
        <f t="shared" si="0"/>
        <v>1.83</v>
      </c>
      <c r="H52" s="76"/>
    </row>
    <row r="53" spans="1:8" x14ac:dyDescent="0.2">
      <c r="A53" s="22">
        <v>3</v>
      </c>
      <c r="B53" s="23" t="s">
        <v>74</v>
      </c>
      <c r="C53" s="24">
        <v>845</v>
      </c>
      <c r="D53" s="8">
        <v>1.5</v>
      </c>
      <c r="E53" s="8">
        <v>1.5</v>
      </c>
      <c r="F53" s="8">
        <v>1.5</v>
      </c>
      <c r="G53" s="8">
        <f t="shared" si="0"/>
        <v>1.5</v>
      </c>
      <c r="H53" s="76"/>
    </row>
    <row r="54" spans="1:8" x14ac:dyDescent="0.2">
      <c r="A54" s="22">
        <v>3</v>
      </c>
      <c r="B54" s="23" t="s">
        <v>74</v>
      </c>
      <c r="C54" s="24">
        <v>846</v>
      </c>
      <c r="D54" s="8">
        <v>0.9</v>
      </c>
      <c r="E54" s="8">
        <v>0.9</v>
      </c>
      <c r="F54" s="8">
        <v>1</v>
      </c>
      <c r="G54" s="8">
        <f t="shared" si="0"/>
        <v>0.93</v>
      </c>
      <c r="H54" s="76"/>
    </row>
    <row r="55" spans="1:8" x14ac:dyDescent="0.2">
      <c r="A55" s="22">
        <v>3</v>
      </c>
      <c r="B55" s="23" t="s">
        <v>74</v>
      </c>
      <c r="C55" s="24">
        <v>849</v>
      </c>
      <c r="D55" s="8">
        <v>1.6</v>
      </c>
      <c r="E55" s="8">
        <v>1.5</v>
      </c>
      <c r="F55" s="8">
        <v>1.6</v>
      </c>
      <c r="G55" s="8">
        <f t="shared" si="0"/>
        <v>1.57</v>
      </c>
      <c r="H55" s="76"/>
    </row>
    <row r="56" spans="1:8" x14ac:dyDescent="0.2">
      <c r="A56" s="22">
        <v>3</v>
      </c>
      <c r="B56" s="23" t="s">
        <v>74</v>
      </c>
      <c r="C56" s="24">
        <v>856</v>
      </c>
      <c r="D56" s="8">
        <v>1.1000000000000001</v>
      </c>
      <c r="E56" s="8">
        <v>1.1000000000000001</v>
      </c>
      <c r="F56" s="8">
        <v>1.1000000000000001</v>
      </c>
      <c r="G56" s="8">
        <f t="shared" si="0"/>
        <v>1.1000000000000001</v>
      </c>
      <c r="H56" s="76"/>
    </row>
    <row r="57" spans="1:8" x14ac:dyDescent="0.2">
      <c r="A57" s="22">
        <v>3</v>
      </c>
      <c r="B57" s="23" t="s">
        <v>74</v>
      </c>
      <c r="C57" s="24">
        <v>859</v>
      </c>
      <c r="D57" s="8">
        <v>2.1</v>
      </c>
      <c r="E57" s="8">
        <v>2.2000000000000002</v>
      </c>
      <c r="F57" s="8">
        <v>2.1</v>
      </c>
      <c r="G57" s="8">
        <f t="shared" si="0"/>
        <v>2.13</v>
      </c>
      <c r="H57" s="76"/>
    </row>
    <row r="58" spans="1:8" x14ac:dyDescent="0.2">
      <c r="A58" s="22">
        <v>3</v>
      </c>
      <c r="B58" s="23" t="s">
        <v>74</v>
      </c>
      <c r="C58" s="24">
        <v>861</v>
      </c>
      <c r="D58" s="8">
        <v>1.5</v>
      </c>
      <c r="E58" s="8">
        <v>1.5</v>
      </c>
      <c r="F58" s="8">
        <v>1.5</v>
      </c>
      <c r="G58" s="8">
        <f t="shared" si="0"/>
        <v>1.5</v>
      </c>
      <c r="H58" s="76"/>
    </row>
    <row r="59" spans="1:8" x14ac:dyDescent="0.2">
      <c r="A59" s="22">
        <v>3</v>
      </c>
      <c r="B59" s="23" t="s">
        <v>74</v>
      </c>
      <c r="C59" s="24">
        <v>862</v>
      </c>
      <c r="D59" s="8">
        <v>1.8</v>
      </c>
      <c r="E59" s="8">
        <v>2.1</v>
      </c>
      <c r="F59" s="8">
        <v>2</v>
      </c>
      <c r="G59" s="8">
        <f t="shared" si="0"/>
        <v>1.97</v>
      </c>
      <c r="H59" s="76"/>
    </row>
    <row r="60" spans="1:8" x14ac:dyDescent="0.2">
      <c r="A60" s="22">
        <v>3</v>
      </c>
      <c r="B60" s="23" t="s">
        <v>74</v>
      </c>
      <c r="C60" s="24">
        <v>865</v>
      </c>
      <c r="D60" s="8">
        <v>0.9</v>
      </c>
      <c r="E60" s="8">
        <v>0.9</v>
      </c>
      <c r="F60" s="8">
        <v>0.9</v>
      </c>
      <c r="G60" s="8">
        <f t="shared" si="0"/>
        <v>0.9</v>
      </c>
      <c r="H60" s="76"/>
    </row>
    <row r="61" spans="1:8" x14ac:dyDescent="0.2">
      <c r="A61" s="22">
        <v>3</v>
      </c>
      <c r="B61" s="23" t="s">
        <v>74</v>
      </c>
      <c r="C61" s="24">
        <v>866</v>
      </c>
      <c r="D61" s="8">
        <v>0.9</v>
      </c>
      <c r="E61" s="8">
        <v>0.9</v>
      </c>
      <c r="F61" s="8">
        <v>0.9</v>
      </c>
      <c r="G61" s="8">
        <f t="shared" si="0"/>
        <v>0.9</v>
      </c>
      <c r="H61" s="76"/>
    </row>
    <row r="62" spans="1:8" x14ac:dyDescent="0.2">
      <c r="A62" s="22">
        <v>3</v>
      </c>
      <c r="B62" s="23" t="s">
        <v>74</v>
      </c>
      <c r="C62" s="24">
        <v>871</v>
      </c>
      <c r="D62" s="8">
        <v>1.1000000000000001</v>
      </c>
      <c r="E62" s="8">
        <v>1.1000000000000001</v>
      </c>
      <c r="F62" s="8">
        <v>1.1000000000000001</v>
      </c>
      <c r="G62" s="8">
        <f t="shared" si="0"/>
        <v>1.1000000000000001</v>
      </c>
      <c r="H62" s="76"/>
    </row>
    <row r="63" spans="1:8" x14ac:dyDescent="0.2">
      <c r="A63" s="22">
        <v>3</v>
      </c>
      <c r="B63" s="23" t="s">
        <v>74</v>
      </c>
      <c r="C63" s="24">
        <v>873</v>
      </c>
      <c r="D63" s="8">
        <v>1.3</v>
      </c>
      <c r="E63" s="8">
        <v>1.4</v>
      </c>
      <c r="F63" s="8">
        <v>1.3</v>
      </c>
      <c r="G63" s="8">
        <f t="shared" si="0"/>
        <v>1.33</v>
      </c>
      <c r="H63" s="76"/>
    </row>
    <row r="64" spans="1:8" x14ac:dyDescent="0.2">
      <c r="A64" s="22">
        <v>3</v>
      </c>
      <c r="B64" s="23" t="s">
        <v>74</v>
      </c>
      <c r="C64" s="24">
        <v>874</v>
      </c>
      <c r="D64" s="8">
        <v>1.6</v>
      </c>
      <c r="E64" s="8">
        <v>1.7</v>
      </c>
      <c r="F64" s="8">
        <v>1.7</v>
      </c>
      <c r="G64" s="8">
        <f t="shared" si="0"/>
        <v>1.67</v>
      </c>
      <c r="H64" s="76"/>
    </row>
    <row r="65" spans="1:8" x14ac:dyDescent="0.2">
      <c r="A65" s="22">
        <v>3</v>
      </c>
      <c r="B65" s="23" t="s">
        <v>74</v>
      </c>
      <c r="C65" s="24">
        <v>877</v>
      </c>
      <c r="D65" s="8">
        <v>1.9</v>
      </c>
      <c r="E65" s="8">
        <v>2</v>
      </c>
      <c r="F65" s="8">
        <v>2.1</v>
      </c>
      <c r="G65" s="8">
        <f t="shared" si="0"/>
        <v>2</v>
      </c>
      <c r="H65" s="76"/>
    </row>
    <row r="66" spans="1:8" x14ac:dyDescent="0.2">
      <c r="A66" s="22">
        <v>3</v>
      </c>
      <c r="B66" s="23" t="s">
        <v>74</v>
      </c>
      <c r="C66" s="24">
        <v>879</v>
      </c>
      <c r="D66" s="8">
        <v>1.8</v>
      </c>
      <c r="E66" s="8">
        <v>1.9</v>
      </c>
      <c r="F66" s="8">
        <v>1.9</v>
      </c>
      <c r="G66" s="8">
        <f t="shared" si="0"/>
        <v>1.87</v>
      </c>
      <c r="H66" s="76"/>
    </row>
    <row r="67" spans="1:8" x14ac:dyDescent="0.2">
      <c r="A67" s="22">
        <v>3</v>
      </c>
      <c r="B67" s="23" t="s">
        <v>74</v>
      </c>
      <c r="C67" s="24">
        <v>887</v>
      </c>
      <c r="D67" s="8">
        <v>2.1</v>
      </c>
      <c r="E67" s="8">
        <v>2.1</v>
      </c>
      <c r="F67" s="8">
        <v>2</v>
      </c>
      <c r="G67" s="8">
        <f t="shared" si="0"/>
        <v>2.0699999999999998</v>
      </c>
      <c r="H67" s="76"/>
    </row>
    <row r="68" spans="1:8" x14ac:dyDescent="0.2">
      <c r="A68" s="22">
        <v>3</v>
      </c>
      <c r="B68" s="23" t="s">
        <v>74</v>
      </c>
      <c r="C68" s="24">
        <v>888</v>
      </c>
      <c r="D68" s="8">
        <v>1.1000000000000001</v>
      </c>
      <c r="E68" s="8">
        <v>1.2</v>
      </c>
      <c r="F68" s="8">
        <v>1.2</v>
      </c>
      <c r="G68" s="8">
        <f t="shared" si="0"/>
        <v>1.17</v>
      </c>
      <c r="H68" s="76"/>
    </row>
    <row r="69" spans="1:8" x14ac:dyDescent="0.2">
      <c r="A69" s="13">
        <v>4</v>
      </c>
      <c r="B69" s="14" t="s">
        <v>104</v>
      </c>
      <c r="C69" s="15" t="s">
        <v>105</v>
      </c>
      <c r="D69" s="8">
        <v>2.7</v>
      </c>
      <c r="E69" s="8">
        <v>2.6</v>
      </c>
      <c r="F69" s="8">
        <v>3</v>
      </c>
      <c r="G69" s="8">
        <f t="shared" si="0"/>
        <v>2.77</v>
      </c>
      <c r="H69" s="76"/>
    </row>
    <row r="70" spans="1:8" x14ac:dyDescent="0.2">
      <c r="A70" s="16">
        <v>4</v>
      </c>
      <c r="B70" s="14" t="s">
        <v>104</v>
      </c>
      <c r="C70" s="18" t="s">
        <v>106</v>
      </c>
      <c r="D70" s="8">
        <v>1.8</v>
      </c>
      <c r="E70" s="8">
        <v>1.8</v>
      </c>
      <c r="F70" s="8">
        <v>1.7</v>
      </c>
      <c r="G70" s="8">
        <f t="shared" si="0"/>
        <v>1.77</v>
      </c>
      <c r="H70" s="76"/>
    </row>
    <row r="71" spans="1:8" x14ac:dyDescent="0.2">
      <c r="A71" s="16">
        <v>4</v>
      </c>
      <c r="B71" s="14" t="s">
        <v>104</v>
      </c>
      <c r="C71" s="18" t="s">
        <v>107</v>
      </c>
      <c r="D71" s="8">
        <v>3.8</v>
      </c>
      <c r="E71" s="8">
        <v>3.8</v>
      </c>
      <c r="F71" s="8">
        <v>3.8</v>
      </c>
      <c r="G71" s="8">
        <f t="shared" si="0"/>
        <v>3.8</v>
      </c>
      <c r="H71" s="76"/>
    </row>
    <row r="72" spans="1:8" x14ac:dyDescent="0.2">
      <c r="A72" s="16">
        <v>4</v>
      </c>
      <c r="B72" s="14" t="s">
        <v>104</v>
      </c>
      <c r="C72" s="18" t="s">
        <v>108</v>
      </c>
      <c r="D72" s="8">
        <v>2.9</v>
      </c>
      <c r="E72" s="8">
        <v>2.9</v>
      </c>
      <c r="F72" s="8">
        <v>2.8</v>
      </c>
      <c r="G72" s="8">
        <f t="shared" si="0"/>
        <v>2.87</v>
      </c>
      <c r="H72" s="76"/>
    </row>
    <row r="73" spans="1:8" x14ac:dyDescent="0.2">
      <c r="A73" s="16">
        <v>4</v>
      </c>
      <c r="B73" s="14" t="s">
        <v>104</v>
      </c>
      <c r="C73" s="18" t="s">
        <v>109</v>
      </c>
      <c r="D73" s="8">
        <v>2.2000000000000002</v>
      </c>
      <c r="E73" s="8">
        <v>2</v>
      </c>
      <c r="F73" s="8">
        <v>2</v>
      </c>
      <c r="G73" s="8">
        <f t="shared" si="0"/>
        <v>2.0699999999999998</v>
      </c>
      <c r="H73" s="76"/>
    </row>
    <row r="74" spans="1:8" x14ac:dyDescent="0.2">
      <c r="A74" s="16">
        <v>4</v>
      </c>
      <c r="B74" s="14" t="s">
        <v>104</v>
      </c>
      <c r="C74" s="18" t="s">
        <v>110</v>
      </c>
      <c r="D74" s="8">
        <v>2.2999999999999998</v>
      </c>
      <c r="E74" s="8">
        <v>2.2999999999999998</v>
      </c>
      <c r="F74" s="8">
        <v>2.2000000000000002</v>
      </c>
      <c r="G74" s="8">
        <f t="shared" ref="G74:G102" si="1" xml:space="preserve"> ROUND(AVERAGE(D74:F74), 2)</f>
        <v>2.27</v>
      </c>
      <c r="H74" s="76"/>
    </row>
    <row r="75" spans="1:8" x14ac:dyDescent="0.2">
      <c r="A75" s="16">
        <v>4</v>
      </c>
      <c r="B75" s="14" t="s">
        <v>104</v>
      </c>
      <c r="C75" s="18" t="s">
        <v>111</v>
      </c>
      <c r="D75" s="8">
        <v>2.2000000000000002</v>
      </c>
      <c r="E75" s="8">
        <v>2.2000000000000002</v>
      </c>
      <c r="F75" s="8">
        <v>2.1</v>
      </c>
      <c r="G75" s="8">
        <f t="shared" si="1"/>
        <v>2.17</v>
      </c>
      <c r="H75" s="76"/>
    </row>
    <row r="76" spans="1:8" x14ac:dyDescent="0.2">
      <c r="A76" s="16">
        <v>4</v>
      </c>
      <c r="B76" s="14" t="s">
        <v>104</v>
      </c>
      <c r="C76" s="18" t="s">
        <v>112</v>
      </c>
      <c r="D76" s="8">
        <v>2.9</v>
      </c>
      <c r="E76" s="8">
        <v>3</v>
      </c>
      <c r="F76" s="8">
        <v>2.9</v>
      </c>
      <c r="G76" s="8">
        <f t="shared" si="1"/>
        <v>2.93</v>
      </c>
      <c r="H76" s="76"/>
    </row>
    <row r="77" spans="1:8" x14ac:dyDescent="0.2">
      <c r="A77" s="16">
        <v>4</v>
      </c>
      <c r="B77" s="14" t="s">
        <v>104</v>
      </c>
      <c r="C77" s="18" t="s">
        <v>113</v>
      </c>
      <c r="D77" s="8">
        <v>2.2999999999999998</v>
      </c>
      <c r="E77" s="8">
        <v>2.2999999999999998</v>
      </c>
      <c r="F77" s="8">
        <v>2.2999999999999998</v>
      </c>
      <c r="G77" s="8">
        <f t="shared" si="1"/>
        <v>2.2999999999999998</v>
      </c>
      <c r="H77" s="76"/>
    </row>
    <row r="78" spans="1:8" x14ac:dyDescent="0.2">
      <c r="A78" s="16">
        <v>4</v>
      </c>
      <c r="B78" s="14" t="s">
        <v>104</v>
      </c>
      <c r="C78" s="18" t="s">
        <v>114</v>
      </c>
      <c r="D78" s="8">
        <v>2.2000000000000002</v>
      </c>
      <c r="E78" s="8">
        <v>2.2000000000000002</v>
      </c>
      <c r="F78" s="8">
        <v>2.2000000000000002</v>
      </c>
      <c r="G78" s="8">
        <f t="shared" si="1"/>
        <v>2.2000000000000002</v>
      </c>
      <c r="H78" s="76"/>
    </row>
    <row r="79" spans="1:8" x14ac:dyDescent="0.2">
      <c r="A79" s="16">
        <v>4</v>
      </c>
      <c r="B79" s="14" t="s">
        <v>104</v>
      </c>
      <c r="C79" s="18" t="s">
        <v>115</v>
      </c>
      <c r="D79" s="8">
        <v>2.8</v>
      </c>
      <c r="E79" s="8">
        <v>2.8</v>
      </c>
      <c r="F79" s="8">
        <v>2.8</v>
      </c>
      <c r="G79" s="8">
        <f t="shared" si="1"/>
        <v>2.8</v>
      </c>
      <c r="H79" s="76"/>
    </row>
    <row r="80" spans="1:8" x14ac:dyDescent="0.2">
      <c r="A80" s="16">
        <v>4</v>
      </c>
      <c r="B80" s="14" t="s">
        <v>104</v>
      </c>
      <c r="C80" s="18" t="s">
        <v>116</v>
      </c>
      <c r="D80" s="8">
        <v>2.1</v>
      </c>
      <c r="E80" s="8">
        <v>2</v>
      </c>
      <c r="F80" s="8">
        <v>2</v>
      </c>
      <c r="G80" s="8">
        <f t="shared" si="1"/>
        <v>2.0299999999999998</v>
      </c>
      <c r="H80" s="76"/>
    </row>
    <row r="81" spans="1:8" x14ac:dyDescent="0.2">
      <c r="A81" s="16">
        <v>4</v>
      </c>
      <c r="B81" s="14" t="s">
        <v>104</v>
      </c>
      <c r="C81" s="18" t="s">
        <v>117</v>
      </c>
      <c r="D81" s="8">
        <v>1.9</v>
      </c>
      <c r="E81" s="8">
        <v>2</v>
      </c>
      <c r="F81" s="8">
        <v>1.9</v>
      </c>
      <c r="G81" s="8">
        <f t="shared" si="1"/>
        <v>1.93</v>
      </c>
      <c r="H81" s="76"/>
    </row>
    <row r="82" spans="1:8" x14ac:dyDescent="0.2">
      <c r="A82" s="16">
        <v>4</v>
      </c>
      <c r="B82" s="14" t="s">
        <v>104</v>
      </c>
      <c r="C82" s="18" t="s">
        <v>118</v>
      </c>
      <c r="D82" s="8">
        <v>2.2000000000000002</v>
      </c>
      <c r="E82" s="8">
        <v>2.2999999999999998</v>
      </c>
      <c r="F82" s="8">
        <v>2.2999999999999998</v>
      </c>
      <c r="G82" s="8">
        <f t="shared" si="1"/>
        <v>2.27</v>
      </c>
      <c r="H82" s="76"/>
    </row>
    <row r="83" spans="1:8" x14ac:dyDescent="0.2">
      <c r="A83" s="16">
        <v>4</v>
      </c>
      <c r="B83" s="14" t="s">
        <v>104</v>
      </c>
      <c r="C83" s="18" t="s">
        <v>119</v>
      </c>
      <c r="D83" s="8">
        <v>1.5</v>
      </c>
      <c r="E83" s="8">
        <v>1.6</v>
      </c>
      <c r="F83" s="8">
        <v>1.6</v>
      </c>
      <c r="G83" s="8">
        <f t="shared" si="1"/>
        <v>1.57</v>
      </c>
      <c r="H83" s="76"/>
    </row>
    <row r="84" spans="1:8" x14ac:dyDescent="0.2">
      <c r="A84" s="16">
        <v>4</v>
      </c>
      <c r="B84" s="14" t="s">
        <v>104</v>
      </c>
      <c r="C84" s="18" t="s">
        <v>120</v>
      </c>
      <c r="D84" s="8">
        <v>2.6</v>
      </c>
      <c r="E84" s="8">
        <v>2.6</v>
      </c>
      <c r="F84" s="8">
        <v>2.6</v>
      </c>
      <c r="G84" s="8">
        <f t="shared" si="1"/>
        <v>2.6</v>
      </c>
      <c r="H84" s="76"/>
    </row>
    <row r="85" spans="1:8" x14ac:dyDescent="0.2">
      <c r="A85" s="16">
        <v>4</v>
      </c>
      <c r="B85" s="14" t="s">
        <v>104</v>
      </c>
      <c r="C85" s="18" t="s">
        <v>121</v>
      </c>
      <c r="D85" s="8">
        <v>3</v>
      </c>
      <c r="E85" s="8">
        <v>3</v>
      </c>
      <c r="F85" s="8">
        <v>3</v>
      </c>
      <c r="G85" s="8">
        <f t="shared" si="1"/>
        <v>3</v>
      </c>
      <c r="H85" s="76"/>
    </row>
    <row r="86" spans="1:8" x14ac:dyDescent="0.2">
      <c r="A86" s="16">
        <v>4</v>
      </c>
      <c r="B86" s="14" t="s">
        <v>104</v>
      </c>
      <c r="C86" s="18" t="s">
        <v>122</v>
      </c>
      <c r="D86" s="8" t="s">
        <v>123</v>
      </c>
      <c r="E86" s="8" t="s">
        <v>123</v>
      </c>
      <c r="F86" s="8" t="s">
        <v>123</v>
      </c>
      <c r="G86" s="8" t="s">
        <v>123</v>
      </c>
      <c r="H86" s="76"/>
    </row>
    <row r="87" spans="1:8" x14ac:dyDescent="0.2">
      <c r="A87" s="16">
        <v>4</v>
      </c>
      <c r="B87" s="14" t="s">
        <v>104</v>
      </c>
      <c r="C87" s="18" t="s">
        <v>124</v>
      </c>
      <c r="D87" s="8">
        <v>2</v>
      </c>
      <c r="E87" s="8">
        <v>2</v>
      </c>
      <c r="F87" s="8">
        <v>2</v>
      </c>
      <c r="G87" s="8">
        <f t="shared" si="1"/>
        <v>2</v>
      </c>
      <c r="H87" s="76"/>
    </row>
    <row r="88" spans="1:8" x14ac:dyDescent="0.2">
      <c r="A88" s="16">
        <v>4</v>
      </c>
      <c r="B88" s="14" t="s">
        <v>104</v>
      </c>
      <c r="C88" s="18" t="s">
        <v>125</v>
      </c>
      <c r="D88" s="8">
        <v>1.7</v>
      </c>
      <c r="E88" s="8">
        <v>1.8</v>
      </c>
      <c r="F88" s="8">
        <v>1.7</v>
      </c>
      <c r="G88" s="8">
        <f t="shared" si="1"/>
        <v>1.73</v>
      </c>
      <c r="H88" s="76"/>
    </row>
    <row r="89" spans="1:8" x14ac:dyDescent="0.2">
      <c r="A89" s="16">
        <v>4</v>
      </c>
      <c r="B89" s="14" t="s">
        <v>104</v>
      </c>
      <c r="C89" s="18" t="s">
        <v>126</v>
      </c>
      <c r="D89" s="8">
        <v>1.7</v>
      </c>
      <c r="E89" s="8">
        <v>1.8</v>
      </c>
      <c r="F89" s="8">
        <v>1.7</v>
      </c>
      <c r="G89" s="8">
        <f t="shared" si="1"/>
        <v>1.73</v>
      </c>
      <c r="H89" s="76"/>
    </row>
    <row r="90" spans="1:8" x14ac:dyDescent="0.2">
      <c r="A90" s="16">
        <v>4</v>
      </c>
      <c r="B90" s="14" t="s">
        <v>104</v>
      </c>
      <c r="C90" s="18" t="s">
        <v>127</v>
      </c>
      <c r="D90" s="8">
        <v>2</v>
      </c>
      <c r="E90" s="8">
        <v>2</v>
      </c>
      <c r="F90" s="8">
        <v>1.9</v>
      </c>
      <c r="G90" s="8">
        <f t="shared" si="1"/>
        <v>1.97</v>
      </c>
      <c r="H90" s="76"/>
    </row>
    <row r="91" spans="1:8" x14ac:dyDescent="0.2">
      <c r="A91" s="16">
        <v>4</v>
      </c>
      <c r="B91" s="14" t="s">
        <v>104</v>
      </c>
      <c r="C91" s="18" t="s">
        <v>128</v>
      </c>
      <c r="D91" s="8">
        <v>2.5</v>
      </c>
      <c r="E91" s="8">
        <v>2.5</v>
      </c>
      <c r="F91" s="8">
        <v>2.4</v>
      </c>
      <c r="G91" s="8">
        <f t="shared" si="1"/>
        <v>2.4700000000000002</v>
      </c>
      <c r="H91" s="76"/>
    </row>
    <row r="92" spans="1:8" x14ac:dyDescent="0.2">
      <c r="A92" s="16">
        <v>4</v>
      </c>
      <c r="B92" s="14" t="s">
        <v>104</v>
      </c>
      <c r="C92" s="18" t="s">
        <v>129</v>
      </c>
      <c r="D92" s="8">
        <v>2</v>
      </c>
      <c r="E92" s="8">
        <v>2</v>
      </c>
      <c r="F92" s="8">
        <v>2</v>
      </c>
      <c r="G92" s="8">
        <f t="shared" si="1"/>
        <v>2</v>
      </c>
      <c r="H92" s="76"/>
    </row>
    <row r="93" spans="1:8" x14ac:dyDescent="0.2">
      <c r="A93" s="16">
        <v>4</v>
      </c>
      <c r="B93" s="14" t="s">
        <v>104</v>
      </c>
      <c r="C93" s="18" t="s">
        <v>130</v>
      </c>
      <c r="D93" s="8">
        <v>3</v>
      </c>
      <c r="E93" s="8">
        <v>3</v>
      </c>
      <c r="F93" s="8">
        <v>3</v>
      </c>
      <c r="G93" s="8">
        <f t="shared" si="1"/>
        <v>3</v>
      </c>
      <c r="H93" s="76"/>
    </row>
    <row r="94" spans="1:8" x14ac:dyDescent="0.2">
      <c r="A94" s="16">
        <v>4</v>
      </c>
      <c r="B94" s="14" t="s">
        <v>104</v>
      </c>
      <c r="C94" s="18" t="s">
        <v>131</v>
      </c>
      <c r="D94" s="8">
        <v>2.5</v>
      </c>
      <c r="E94" s="8">
        <v>2.5</v>
      </c>
      <c r="F94" s="8">
        <v>2.5</v>
      </c>
      <c r="G94" s="8">
        <f t="shared" si="1"/>
        <v>2.5</v>
      </c>
      <c r="H94" s="76"/>
    </row>
    <row r="95" spans="1:8" x14ac:dyDescent="0.2">
      <c r="A95" s="16">
        <v>4</v>
      </c>
      <c r="B95" s="14" t="s">
        <v>104</v>
      </c>
      <c r="C95" s="18" t="s">
        <v>132</v>
      </c>
      <c r="D95" s="8">
        <v>2.1</v>
      </c>
      <c r="E95" s="8">
        <v>2.1</v>
      </c>
      <c r="F95" s="8">
        <v>2.1</v>
      </c>
      <c r="G95" s="8">
        <f t="shared" si="1"/>
        <v>2.1</v>
      </c>
      <c r="H95" s="76"/>
    </row>
    <row r="96" spans="1:8" x14ac:dyDescent="0.2">
      <c r="A96" s="16">
        <v>4</v>
      </c>
      <c r="B96" s="14" t="s">
        <v>104</v>
      </c>
      <c r="C96" s="18" t="s">
        <v>133</v>
      </c>
      <c r="D96" s="8">
        <v>2.6</v>
      </c>
      <c r="E96" s="8">
        <v>2.7</v>
      </c>
      <c r="F96" s="8">
        <v>2.6</v>
      </c>
      <c r="G96" s="8">
        <f t="shared" si="1"/>
        <v>2.63</v>
      </c>
      <c r="H96" s="76"/>
    </row>
    <row r="97" spans="1:8" x14ac:dyDescent="0.2">
      <c r="A97" s="16">
        <v>4</v>
      </c>
      <c r="B97" s="14" t="s">
        <v>104</v>
      </c>
      <c r="C97" s="18" t="s">
        <v>134</v>
      </c>
      <c r="D97" s="8">
        <v>2.2999999999999998</v>
      </c>
      <c r="E97" s="8">
        <v>2.2999999999999998</v>
      </c>
      <c r="F97" s="8">
        <v>2.2999999999999998</v>
      </c>
      <c r="G97" s="8">
        <f t="shared" si="1"/>
        <v>2.2999999999999998</v>
      </c>
      <c r="H97" s="76"/>
    </row>
    <row r="98" spans="1:8" x14ac:dyDescent="0.2">
      <c r="A98" s="17">
        <v>4</v>
      </c>
      <c r="B98" s="17" t="s">
        <v>104</v>
      </c>
      <c r="C98" s="17" t="s">
        <v>135</v>
      </c>
      <c r="D98" s="8">
        <v>2.8</v>
      </c>
      <c r="E98" s="8">
        <v>2.8</v>
      </c>
      <c r="F98" s="8">
        <v>2.8</v>
      </c>
      <c r="G98" s="8">
        <f t="shared" si="1"/>
        <v>2.8</v>
      </c>
      <c r="H98" s="76"/>
    </row>
    <row r="99" spans="1:8" x14ac:dyDescent="0.2">
      <c r="A99" s="17">
        <v>4</v>
      </c>
      <c r="B99" s="17" t="s">
        <v>104</v>
      </c>
      <c r="C99" s="17" t="s">
        <v>136</v>
      </c>
      <c r="D99" s="8">
        <v>2.5</v>
      </c>
      <c r="E99" s="8">
        <v>2.5</v>
      </c>
      <c r="F99" s="8">
        <v>2.5</v>
      </c>
      <c r="G99" s="8">
        <f t="shared" si="1"/>
        <v>2.5</v>
      </c>
      <c r="H99" s="76"/>
    </row>
    <row r="100" spans="1:8" x14ac:dyDescent="0.2">
      <c r="A100" s="17">
        <v>4</v>
      </c>
      <c r="B100" s="17" t="s">
        <v>104</v>
      </c>
      <c r="C100" s="17" t="s">
        <v>137</v>
      </c>
      <c r="D100" s="8">
        <v>2.8</v>
      </c>
      <c r="E100" s="8">
        <v>2.8</v>
      </c>
      <c r="F100" s="8">
        <v>2.7</v>
      </c>
      <c r="G100" s="8">
        <f t="shared" si="1"/>
        <v>2.77</v>
      </c>
      <c r="H100" s="76"/>
    </row>
    <row r="101" spans="1:8" x14ac:dyDescent="0.2">
      <c r="A101" s="17">
        <v>4</v>
      </c>
      <c r="B101" s="17" t="s">
        <v>104</v>
      </c>
      <c r="C101" s="17" t="s">
        <v>138</v>
      </c>
      <c r="D101" s="8">
        <v>2.52</v>
      </c>
      <c r="E101" s="8">
        <v>2.5</v>
      </c>
      <c r="F101" s="8">
        <v>2.5</v>
      </c>
      <c r="G101" s="8">
        <f t="shared" si="1"/>
        <v>2.5099999999999998</v>
      </c>
      <c r="H101" s="76"/>
    </row>
    <row r="102" spans="1:8" x14ac:dyDescent="0.2">
      <c r="A102" s="17">
        <v>4</v>
      </c>
      <c r="B102" s="17" t="s">
        <v>104</v>
      </c>
      <c r="C102" s="17" t="s">
        <v>139</v>
      </c>
      <c r="D102" s="8">
        <v>2.9</v>
      </c>
      <c r="E102" s="8">
        <v>2.9</v>
      </c>
      <c r="F102" s="8">
        <v>2.7</v>
      </c>
      <c r="G102" s="8">
        <f t="shared" si="1"/>
        <v>2.83</v>
      </c>
      <c r="H102" s="76"/>
    </row>
  </sheetData>
  <pageMargins left="0.7" right="0.7" top="0.75" bottom="0.75" header="0.3" footer="0.3"/>
  <pageSetup orientation="portrait" horizontalDpi="0" verticalDpi="0"/>
  <ignoredErrors>
    <ignoredError sqref="G9"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BD8D9-0E29-2747-9450-C0FFDAEE8016}">
  <dimension ref="A1:L102"/>
  <sheetViews>
    <sheetView topLeftCell="A29" zoomScale="82" workbookViewId="0">
      <selection activeCell="C1" sqref="C1:C1048576"/>
    </sheetView>
  </sheetViews>
  <sheetFormatPr baseColWidth="10" defaultColWidth="8.83203125" defaultRowHeight="15" x14ac:dyDescent="0.2"/>
  <cols>
    <col min="4" max="6" width="10.6640625" customWidth="1"/>
    <col min="7" max="7" width="8.83203125" bestFit="1" customWidth="1"/>
    <col min="8" max="8" width="26.5" customWidth="1"/>
  </cols>
  <sheetData>
    <row r="1" spans="1:12" ht="19" x14ac:dyDescent="0.25">
      <c r="A1" s="12" t="s">
        <v>0</v>
      </c>
      <c r="B1" s="12"/>
      <c r="C1" s="12"/>
      <c r="D1" s="12"/>
      <c r="E1" s="12"/>
      <c r="G1" s="12"/>
      <c r="H1" s="12"/>
      <c r="I1" s="12"/>
      <c r="J1" s="12"/>
      <c r="L1" s="12"/>
    </row>
    <row r="2" spans="1:12" ht="19" x14ac:dyDescent="0.25">
      <c r="A2" s="12"/>
      <c r="B2" s="12"/>
      <c r="C2" s="12"/>
      <c r="D2" s="12"/>
      <c r="E2" s="12"/>
      <c r="G2" s="12"/>
      <c r="H2" s="12"/>
      <c r="I2" s="12"/>
      <c r="J2" s="12"/>
      <c r="K2" s="12"/>
      <c r="L2" s="12"/>
    </row>
    <row r="3" spans="1:12" ht="19" x14ac:dyDescent="0.25">
      <c r="A3" s="12" t="s">
        <v>194</v>
      </c>
      <c r="B3" s="12"/>
      <c r="C3" s="12"/>
      <c r="D3" s="12"/>
      <c r="E3" s="12"/>
      <c r="G3" s="12"/>
      <c r="H3" s="12"/>
      <c r="I3" s="12"/>
      <c r="J3" s="12"/>
      <c r="K3" s="12"/>
      <c r="L3" s="12"/>
    </row>
    <row r="4" spans="1:12" ht="19" x14ac:dyDescent="0.25">
      <c r="A4" s="12"/>
      <c r="B4" s="12"/>
      <c r="C4" s="12"/>
      <c r="D4" s="12"/>
      <c r="E4" s="12"/>
      <c r="G4" s="12"/>
      <c r="H4" s="12"/>
      <c r="I4" s="12"/>
      <c r="J4" s="12"/>
      <c r="K4" s="12"/>
      <c r="L4" s="12"/>
    </row>
    <row r="5" spans="1:12" ht="19" x14ac:dyDescent="0.25">
      <c r="A5" s="12" t="s">
        <v>195</v>
      </c>
      <c r="B5" s="12"/>
      <c r="C5" s="12"/>
      <c r="D5" s="12"/>
      <c r="E5" s="12"/>
      <c r="G5" s="12"/>
      <c r="H5" s="12"/>
      <c r="I5" s="12"/>
      <c r="J5" s="12"/>
      <c r="K5" s="12"/>
      <c r="L5" s="12"/>
    </row>
    <row r="6" spans="1:12" ht="19" x14ac:dyDescent="0.25">
      <c r="A6" s="12" t="s">
        <v>3</v>
      </c>
      <c r="B6" s="12"/>
      <c r="C6" s="12"/>
      <c r="D6" s="12"/>
      <c r="E6" s="12"/>
      <c r="G6" s="12"/>
      <c r="H6" s="12"/>
      <c r="I6" s="12"/>
      <c r="J6" s="12"/>
      <c r="K6" s="12"/>
      <c r="L6" s="12"/>
    </row>
    <row r="8" spans="1:12" ht="41" thickBot="1" x14ac:dyDescent="0.25">
      <c r="A8" s="1" t="s">
        <v>4</v>
      </c>
      <c r="B8" s="2" t="s">
        <v>5</v>
      </c>
      <c r="C8" s="6" t="s">
        <v>7</v>
      </c>
      <c r="D8" s="7" t="s">
        <v>8</v>
      </c>
      <c r="E8" s="7" t="s">
        <v>8</v>
      </c>
      <c r="F8" s="7" t="s">
        <v>8</v>
      </c>
      <c r="G8" s="7" t="s">
        <v>9</v>
      </c>
      <c r="H8" s="7" t="s">
        <v>10</v>
      </c>
      <c r="J8" s="34"/>
      <c r="K8" s="34"/>
      <c r="L8" s="34"/>
    </row>
    <row r="9" spans="1:12" x14ac:dyDescent="0.2">
      <c r="A9" s="3">
        <v>2</v>
      </c>
      <c r="B9" s="3" t="s">
        <v>42</v>
      </c>
      <c r="C9" s="9">
        <v>800</v>
      </c>
      <c r="D9" s="57">
        <v>1.7</v>
      </c>
      <c r="E9" s="57">
        <v>1.8</v>
      </c>
      <c r="F9" s="8"/>
      <c r="G9" s="8">
        <f>ROUND(AVERAGE(D9:F9), 2)</f>
        <v>1.75</v>
      </c>
      <c r="H9" s="8"/>
    </row>
    <row r="10" spans="1:12" x14ac:dyDescent="0.2">
      <c r="A10" s="4">
        <v>2</v>
      </c>
      <c r="B10" s="4" t="s">
        <v>42</v>
      </c>
      <c r="C10" s="10">
        <v>801</v>
      </c>
      <c r="D10" s="57">
        <v>1.7</v>
      </c>
      <c r="E10" s="57">
        <v>1.7</v>
      </c>
      <c r="F10" s="8"/>
      <c r="G10" s="8">
        <f t="shared" ref="G10:G73" si="0">ROUND(AVERAGE(D10:F10), 2)</f>
        <v>1.7</v>
      </c>
      <c r="H10" s="8"/>
    </row>
    <row r="11" spans="1:12" x14ac:dyDescent="0.2">
      <c r="A11" s="4">
        <v>2</v>
      </c>
      <c r="B11" s="4" t="s">
        <v>42</v>
      </c>
      <c r="C11" s="10">
        <v>804</v>
      </c>
      <c r="D11" s="57">
        <v>1.9</v>
      </c>
      <c r="E11" s="57">
        <v>1.9</v>
      </c>
      <c r="F11" s="8"/>
      <c r="G11" s="8">
        <f t="shared" si="0"/>
        <v>1.9</v>
      </c>
      <c r="H11" s="8"/>
    </row>
    <row r="12" spans="1:12" x14ac:dyDescent="0.2">
      <c r="A12" s="4">
        <v>2</v>
      </c>
      <c r="B12" s="4" t="s">
        <v>42</v>
      </c>
      <c r="C12" s="10">
        <v>806</v>
      </c>
      <c r="D12" s="57">
        <v>1.6</v>
      </c>
      <c r="E12" s="57">
        <v>1.7</v>
      </c>
      <c r="F12" s="8"/>
      <c r="G12" s="8">
        <f t="shared" si="0"/>
        <v>1.65</v>
      </c>
      <c r="H12" s="8"/>
    </row>
    <row r="13" spans="1:12" x14ac:dyDescent="0.2">
      <c r="A13" s="4">
        <v>2</v>
      </c>
      <c r="B13" s="4" t="s">
        <v>42</v>
      </c>
      <c r="C13" s="10">
        <v>809</v>
      </c>
      <c r="D13" s="57">
        <v>2.5</v>
      </c>
      <c r="E13" s="57">
        <v>2.5</v>
      </c>
      <c r="F13" s="8"/>
      <c r="G13" s="8">
        <f t="shared" si="0"/>
        <v>2.5</v>
      </c>
      <c r="H13" s="8"/>
    </row>
    <row r="14" spans="1:12" x14ac:dyDescent="0.2">
      <c r="A14" s="4">
        <v>2</v>
      </c>
      <c r="B14" s="4" t="s">
        <v>42</v>
      </c>
      <c r="C14" s="10">
        <v>810</v>
      </c>
      <c r="D14" s="57">
        <v>2.2000000000000002</v>
      </c>
      <c r="E14" s="57">
        <v>2.2999999999999998</v>
      </c>
      <c r="F14" s="8"/>
      <c r="G14" s="8">
        <f t="shared" si="0"/>
        <v>2.25</v>
      </c>
      <c r="H14" s="8"/>
    </row>
    <row r="15" spans="1:12" x14ac:dyDescent="0.2">
      <c r="A15" s="4">
        <v>2</v>
      </c>
      <c r="B15" s="4" t="s">
        <v>42</v>
      </c>
      <c r="C15" s="10">
        <v>819</v>
      </c>
      <c r="D15" s="57">
        <v>2</v>
      </c>
      <c r="E15" s="57">
        <v>2</v>
      </c>
      <c r="F15" s="8"/>
      <c r="G15" s="8">
        <f t="shared" si="0"/>
        <v>2</v>
      </c>
      <c r="H15" s="8"/>
    </row>
    <row r="16" spans="1:12" x14ac:dyDescent="0.2">
      <c r="A16" s="4">
        <v>2</v>
      </c>
      <c r="B16" s="4" t="s">
        <v>42</v>
      </c>
      <c r="C16" s="10">
        <v>822</v>
      </c>
      <c r="D16" s="57">
        <v>1.9</v>
      </c>
      <c r="E16" s="57">
        <v>2</v>
      </c>
      <c r="F16" s="8"/>
      <c r="G16" s="8">
        <f t="shared" si="0"/>
        <v>1.95</v>
      </c>
      <c r="H16" s="8"/>
    </row>
    <row r="17" spans="1:8" x14ac:dyDescent="0.2">
      <c r="A17" s="4">
        <v>2</v>
      </c>
      <c r="B17" s="4" t="s">
        <v>42</v>
      </c>
      <c r="C17" s="10">
        <v>823</v>
      </c>
      <c r="D17" s="57">
        <v>2.4</v>
      </c>
      <c r="E17" s="57">
        <v>2.4</v>
      </c>
      <c r="F17" s="8"/>
      <c r="G17" s="8">
        <f t="shared" si="0"/>
        <v>2.4</v>
      </c>
      <c r="H17" s="8"/>
    </row>
    <row r="18" spans="1:8" x14ac:dyDescent="0.2">
      <c r="A18" s="4">
        <v>2</v>
      </c>
      <c r="B18" s="4" t="s">
        <v>42</v>
      </c>
      <c r="C18" s="10">
        <v>825</v>
      </c>
      <c r="D18" s="57">
        <v>1.8</v>
      </c>
      <c r="E18" s="57">
        <v>1.8</v>
      </c>
      <c r="F18" s="8"/>
      <c r="G18" s="8">
        <f t="shared" si="0"/>
        <v>1.8</v>
      </c>
      <c r="H18" s="8"/>
    </row>
    <row r="19" spans="1:8" x14ac:dyDescent="0.2">
      <c r="A19" s="4">
        <v>2</v>
      </c>
      <c r="B19" s="4" t="s">
        <v>42</v>
      </c>
      <c r="C19" s="10">
        <v>826</v>
      </c>
      <c r="D19" s="57">
        <v>1.9</v>
      </c>
      <c r="E19" s="57">
        <v>1.9</v>
      </c>
      <c r="F19" s="8"/>
      <c r="G19" s="8">
        <f t="shared" si="0"/>
        <v>1.9</v>
      </c>
      <c r="H19" s="8"/>
    </row>
    <row r="20" spans="1:8" x14ac:dyDescent="0.2">
      <c r="A20" s="4">
        <v>2</v>
      </c>
      <c r="B20" s="4" t="s">
        <v>42</v>
      </c>
      <c r="C20" s="10">
        <v>828</v>
      </c>
      <c r="D20" s="57">
        <v>1.5</v>
      </c>
      <c r="E20" s="57">
        <v>1.4</v>
      </c>
      <c r="F20" s="8"/>
      <c r="G20" s="8">
        <f t="shared" si="0"/>
        <v>1.45</v>
      </c>
      <c r="H20" s="8"/>
    </row>
    <row r="21" spans="1:8" x14ac:dyDescent="0.2">
      <c r="A21" s="4">
        <v>2</v>
      </c>
      <c r="B21" s="4" t="s">
        <v>42</v>
      </c>
      <c r="C21" s="10">
        <v>829</v>
      </c>
      <c r="D21" s="57">
        <v>1.8</v>
      </c>
      <c r="E21" s="57">
        <v>1.8</v>
      </c>
      <c r="F21" s="8"/>
      <c r="G21" s="8">
        <f t="shared" si="0"/>
        <v>1.8</v>
      </c>
      <c r="H21" s="8"/>
    </row>
    <row r="22" spans="1:8" x14ac:dyDescent="0.2">
      <c r="A22" s="4">
        <v>2</v>
      </c>
      <c r="B22" s="4" t="s">
        <v>42</v>
      </c>
      <c r="C22" s="10">
        <v>832</v>
      </c>
      <c r="D22" s="57">
        <v>1.8</v>
      </c>
      <c r="E22" s="57">
        <v>1.7</v>
      </c>
      <c r="F22" s="8"/>
      <c r="G22" s="8">
        <f t="shared" si="0"/>
        <v>1.75</v>
      </c>
      <c r="H22" s="8"/>
    </row>
    <row r="23" spans="1:8" x14ac:dyDescent="0.2">
      <c r="A23" s="4">
        <v>2</v>
      </c>
      <c r="B23" s="4" t="s">
        <v>42</v>
      </c>
      <c r="C23" s="10">
        <v>836</v>
      </c>
      <c r="D23" s="57">
        <v>2.4</v>
      </c>
      <c r="E23" s="57">
        <v>2.4</v>
      </c>
      <c r="F23" s="8"/>
      <c r="G23" s="8">
        <f t="shared" si="0"/>
        <v>2.4</v>
      </c>
      <c r="H23" s="8"/>
    </row>
    <row r="24" spans="1:8" x14ac:dyDescent="0.2">
      <c r="A24" s="4">
        <v>2</v>
      </c>
      <c r="B24" s="4" t="s">
        <v>42</v>
      </c>
      <c r="C24" s="10">
        <v>839</v>
      </c>
      <c r="D24" s="57">
        <v>1.8</v>
      </c>
      <c r="E24" s="57">
        <v>1.8</v>
      </c>
      <c r="F24" s="8"/>
      <c r="G24" s="8">
        <f t="shared" si="0"/>
        <v>1.8</v>
      </c>
      <c r="H24" s="8"/>
    </row>
    <row r="25" spans="1:8" x14ac:dyDescent="0.2">
      <c r="A25" s="4">
        <v>2</v>
      </c>
      <c r="B25" s="4" t="s">
        <v>42</v>
      </c>
      <c r="C25" s="10">
        <v>840</v>
      </c>
      <c r="D25" s="57">
        <v>1.8</v>
      </c>
      <c r="E25" s="57">
        <v>1.9</v>
      </c>
      <c r="F25" s="8"/>
      <c r="G25" s="8">
        <f t="shared" si="0"/>
        <v>1.85</v>
      </c>
      <c r="H25" s="8"/>
    </row>
    <row r="26" spans="1:8" x14ac:dyDescent="0.2">
      <c r="A26" s="4">
        <v>2</v>
      </c>
      <c r="B26" s="4" t="s">
        <v>42</v>
      </c>
      <c r="C26" s="10">
        <v>841</v>
      </c>
      <c r="D26" s="57">
        <v>1.7</v>
      </c>
      <c r="E26" s="57">
        <v>1.7</v>
      </c>
      <c r="F26" s="8"/>
      <c r="G26" s="8">
        <f t="shared" si="0"/>
        <v>1.7</v>
      </c>
      <c r="H26" s="8"/>
    </row>
    <row r="27" spans="1:8" x14ac:dyDescent="0.2">
      <c r="A27" s="4">
        <v>2</v>
      </c>
      <c r="B27" s="4" t="s">
        <v>42</v>
      </c>
      <c r="C27" s="10">
        <v>843</v>
      </c>
      <c r="D27" s="57">
        <v>1.9</v>
      </c>
      <c r="E27" s="57">
        <v>1.9</v>
      </c>
      <c r="F27" s="8"/>
      <c r="G27" s="8">
        <f t="shared" si="0"/>
        <v>1.9</v>
      </c>
      <c r="H27" s="8"/>
    </row>
    <row r="28" spans="1:8" x14ac:dyDescent="0.2">
      <c r="A28" s="4">
        <v>2</v>
      </c>
      <c r="B28" s="4" t="s">
        <v>42</v>
      </c>
      <c r="C28" s="10">
        <v>850</v>
      </c>
      <c r="D28" s="57">
        <v>1.9</v>
      </c>
      <c r="E28" s="57">
        <v>1.9</v>
      </c>
      <c r="F28" s="8"/>
      <c r="G28" s="8">
        <f t="shared" si="0"/>
        <v>1.9</v>
      </c>
      <c r="H28" s="8"/>
    </row>
    <row r="29" spans="1:8" x14ac:dyDescent="0.2">
      <c r="A29" s="4">
        <v>2</v>
      </c>
      <c r="B29" s="4" t="s">
        <v>42</v>
      </c>
      <c r="C29" s="10">
        <v>852</v>
      </c>
      <c r="D29" s="57">
        <v>1.4</v>
      </c>
      <c r="E29" s="57">
        <v>1.4</v>
      </c>
      <c r="F29" s="8"/>
      <c r="G29" s="8">
        <f t="shared" si="0"/>
        <v>1.4</v>
      </c>
      <c r="H29" s="8"/>
    </row>
    <row r="30" spans="1:8" x14ac:dyDescent="0.2">
      <c r="A30" s="4">
        <v>2</v>
      </c>
      <c r="B30" s="4" t="s">
        <v>42</v>
      </c>
      <c r="C30" s="10">
        <v>854</v>
      </c>
      <c r="D30" s="57">
        <v>2.2999999999999998</v>
      </c>
      <c r="E30" s="57">
        <v>2.2999999999999998</v>
      </c>
      <c r="F30" s="8"/>
      <c r="G30" s="8">
        <f t="shared" si="0"/>
        <v>2.2999999999999998</v>
      </c>
      <c r="H30" s="8"/>
    </row>
    <row r="31" spans="1:8" x14ac:dyDescent="0.2">
      <c r="A31" s="4">
        <v>2</v>
      </c>
      <c r="B31" s="4" t="s">
        <v>42</v>
      </c>
      <c r="C31" s="10">
        <v>855</v>
      </c>
      <c r="D31" s="57">
        <v>2.2000000000000002</v>
      </c>
      <c r="E31" s="57">
        <v>2.2000000000000002</v>
      </c>
      <c r="F31" s="8"/>
      <c r="G31" s="8">
        <f t="shared" si="0"/>
        <v>2.2000000000000002</v>
      </c>
      <c r="H31" s="8"/>
    </row>
    <row r="32" spans="1:8" x14ac:dyDescent="0.2">
      <c r="A32" s="4">
        <v>2</v>
      </c>
      <c r="B32" s="4" t="s">
        <v>42</v>
      </c>
      <c r="C32" s="10">
        <v>857</v>
      </c>
      <c r="D32" s="57">
        <v>2.1</v>
      </c>
      <c r="E32" s="57">
        <v>2.1</v>
      </c>
      <c r="F32" s="8"/>
      <c r="G32" s="8">
        <f t="shared" si="0"/>
        <v>2.1</v>
      </c>
      <c r="H32" s="8"/>
    </row>
    <row r="33" spans="1:8" x14ac:dyDescent="0.2">
      <c r="A33" s="4">
        <v>2</v>
      </c>
      <c r="B33" s="4" t="s">
        <v>42</v>
      </c>
      <c r="C33" s="10">
        <v>858</v>
      </c>
      <c r="D33" s="57">
        <v>2.9</v>
      </c>
      <c r="E33" s="57">
        <v>3</v>
      </c>
      <c r="F33" s="8"/>
      <c r="G33" s="8">
        <f t="shared" si="0"/>
        <v>2.95</v>
      </c>
      <c r="H33" s="8"/>
    </row>
    <row r="34" spans="1:8" x14ac:dyDescent="0.2">
      <c r="A34" s="4">
        <v>2</v>
      </c>
      <c r="B34" s="4" t="s">
        <v>42</v>
      </c>
      <c r="C34" s="10">
        <v>870</v>
      </c>
      <c r="D34" s="57">
        <v>2.7</v>
      </c>
      <c r="E34" s="57">
        <v>2.7</v>
      </c>
      <c r="F34" s="8"/>
      <c r="G34" s="8">
        <f t="shared" si="0"/>
        <v>2.7</v>
      </c>
      <c r="H34" s="8"/>
    </row>
    <row r="35" spans="1:8" x14ac:dyDescent="0.2">
      <c r="A35" s="4">
        <v>2</v>
      </c>
      <c r="B35" s="4" t="s">
        <v>42</v>
      </c>
      <c r="C35" s="10">
        <v>875</v>
      </c>
      <c r="D35" s="57">
        <v>2.4</v>
      </c>
      <c r="E35" s="57">
        <v>2.4</v>
      </c>
      <c r="F35" s="8"/>
      <c r="G35" s="8">
        <f t="shared" si="0"/>
        <v>2.4</v>
      </c>
      <c r="H35" s="8"/>
    </row>
    <row r="36" spans="1:8" x14ac:dyDescent="0.2">
      <c r="A36" s="4">
        <v>2</v>
      </c>
      <c r="B36" s="4" t="s">
        <v>42</v>
      </c>
      <c r="C36" s="10">
        <v>880</v>
      </c>
      <c r="D36" s="57">
        <v>2.5</v>
      </c>
      <c r="E36" s="57">
        <v>2.5</v>
      </c>
      <c r="F36" s="8"/>
      <c r="G36" s="8">
        <f t="shared" si="0"/>
        <v>2.5</v>
      </c>
      <c r="H36" s="8"/>
    </row>
    <row r="37" spans="1:8" x14ac:dyDescent="0.2">
      <c r="A37" s="4">
        <v>2</v>
      </c>
      <c r="B37" s="4" t="s">
        <v>42</v>
      </c>
      <c r="C37" s="10">
        <v>883</v>
      </c>
      <c r="D37" s="57">
        <v>1.7</v>
      </c>
      <c r="E37" s="57">
        <v>1.8</v>
      </c>
      <c r="F37" s="8"/>
      <c r="G37" s="8">
        <f t="shared" si="0"/>
        <v>1.75</v>
      </c>
      <c r="H37" s="8"/>
    </row>
    <row r="38" spans="1:8" x14ac:dyDescent="0.2">
      <c r="A38" s="4">
        <v>2</v>
      </c>
      <c r="B38" s="4" t="s">
        <v>42</v>
      </c>
      <c r="C38" s="10">
        <v>884</v>
      </c>
      <c r="D38" s="57">
        <v>1.8</v>
      </c>
      <c r="E38" s="57">
        <v>1.8</v>
      </c>
      <c r="F38" s="8"/>
      <c r="G38" s="8">
        <f t="shared" si="0"/>
        <v>1.8</v>
      </c>
      <c r="H38" s="8"/>
    </row>
    <row r="39" spans="1:8" ht="16" thickBot="1" x14ac:dyDescent="0.25">
      <c r="A39" s="5">
        <v>2</v>
      </c>
      <c r="B39" s="5" t="s">
        <v>42</v>
      </c>
      <c r="C39" s="11">
        <v>886</v>
      </c>
      <c r="D39" s="57">
        <v>2.5</v>
      </c>
      <c r="E39" s="57">
        <v>2.4</v>
      </c>
      <c r="F39" s="8"/>
      <c r="G39" s="8">
        <f t="shared" si="0"/>
        <v>2.4500000000000002</v>
      </c>
      <c r="H39" s="8"/>
    </row>
    <row r="40" spans="1:8" x14ac:dyDescent="0.2">
      <c r="A40" s="19">
        <v>3</v>
      </c>
      <c r="B40" s="20" t="s">
        <v>74</v>
      </c>
      <c r="C40" s="21">
        <v>802</v>
      </c>
      <c r="D40" s="57">
        <v>1.7</v>
      </c>
      <c r="E40" s="57">
        <v>1.7</v>
      </c>
      <c r="F40" s="8"/>
      <c r="G40" s="8">
        <f t="shared" si="0"/>
        <v>1.7</v>
      </c>
      <c r="H40" s="8"/>
    </row>
    <row r="41" spans="1:8" x14ac:dyDescent="0.2">
      <c r="A41" s="22">
        <v>3</v>
      </c>
      <c r="B41" s="23" t="s">
        <v>74</v>
      </c>
      <c r="C41" s="24">
        <v>803</v>
      </c>
      <c r="D41" s="57">
        <v>2.4</v>
      </c>
      <c r="E41" s="57">
        <v>2.4</v>
      </c>
      <c r="F41" s="8"/>
      <c r="G41" s="8">
        <f t="shared" si="0"/>
        <v>2.4</v>
      </c>
      <c r="H41" s="8"/>
    </row>
    <row r="42" spans="1:8" x14ac:dyDescent="0.2">
      <c r="A42" s="22">
        <v>3</v>
      </c>
      <c r="B42" s="23" t="s">
        <v>74</v>
      </c>
      <c r="C42" s="24">
        <v>808</v>
      </c>
      <c r="D42" s="57">
        <v>1.6</v>
      </c>
      <c r="E42" s="57">
        <v>1.6</v>
      </c>
      <c r="F42" s="8"/>
      <c r="G42" s="8">
        <f t="shared" si="0"/>
        <v>1.6</v>
      </c>
      <c r="H42" s="8"/>
    </row>
    <row r="43" spans="1:8" x14ac:dyDescent="0.2">
      <c r="A43" s="22">
        <v>3</v>
      </c>
      <c r="B43" s="23" t="s">
        <v>74</v>
      </c>
      <c r="C43" s="24">
        <v>811</v>
      </c>
      <c r="D43" s="57">
        <v>2.2999999999999998</v>
      </c>
      <c r="E43" s="57">
        <v>2.2999999999999998</v>
      </c>
      <c r="F43" s="8"/>
      <c r="G43" s="8">
        <f t="shared" si="0"/>
        <v>2.2999999999999998</v>
      </c>
      <c r="H43" s="8"/>
    </row>
    <row r="44" spans="1:8" x14ac:dyDescent="0.2">
      <c r="A44" s="22">
        <v>3</v>
      </c>
      <c r="B44" s="23" t="s">
        <v>74</v>
      </c>
      <c r="C44" s="24">
        <v>812</v>
      </c>
      <c r="D44" s="57">
        <v>2.6</v>
      </c>
      <c r="E44" s="57">
        <v>2.6</v>
      </c>
      <c r="F44" s="8"/>
      <c r="G44" s="8">
        <f t="shared" si="0"/>
        <v>2.6</v>
      </c>
      <c r="H44" s="8"/>
    </row>
    <row r="45" spans="1:8" x14ac:dyDescent="0.2">
      <c r="A45" s="22">
        <v>3</v>
      </c>
      <c r="B45" s="23" t="s">
        <v>74</v>
      </c>
      <c r="C45" s="24">
        <v>815</v>
      </c>
      <c r="D45" s="57">
        <v>2.4</v>
      </c>
      <c r="E45" s="57">
        <v>2.4</v>
      </c>
      <c r="F45" s="8"/>
      <c r="G45" s="8">
        <f t="shared" si="0"/>
        <v>2.4</v>
      </c>
      <c r="H45" s="8"/>
    </row>
    <row r="46" spans="1:8" x14ac:dyDescent="0.2">
      <c r="A46" s="22">
        <v>3</v>
      </c>
      <c r="B46" s="23" t="s">
        <v>74</v>
      </c>
      <c r="C46" s="24">
        <v>816</v>
      </c>
      <c r="D46" s="57">
        <v>2.5</v>
      </c>
      <c r="E46" s="57">
        <v>2.5</v>
      </c>
      <c r="F46" s="8"/>
      <c r="G46" s="8">
        <f t="shared" si="0"/>
        <v>2.5</v>
      </c>
      <c r="H46" s="8"/>
    </row>
    <row r="47" spans="1:8" x14ac:dyDescent="0.2">
      <c r="A47" s="22">
        <v>3</v>
      </c>
      <c r="B47" s="23" t="s">
        <v>74</v>
      </c>
      <c r="C47" s="24">
        <v>817</v>
      </c>
      <c r="D47" s="57">
        <v>1.4</v>
      </c>
      <c r="E47" s="57">
        <v>1.4</v>
      </c>
      <c r="F47" s="8"/>
      <c r="G47" s="8">
        <f t="shared" si="0"/>
        <v>1.4</v>
      </c>
      <c r="H47" s="8"/>
    </row>
    <row r="48" spans="1:8" x14ac:dyDescent="0.2">
      <c r="A48" s="22">
        <v>3</v>
      </c>
      <c r="B48" s="23" t="s">
        <v>74</v>
      </c>
      <c r="C48" s="24">
        <v>818</v>
      </c>
      <c r="D48" s="57">
        <v>2</v>
      </c>
      <c r="E48" s="57">
        <v>2</v>
      </c>
      <c r="F48" s="8"/>
      <c r="G48" s="8">
        <f t="shared" si="0"/>
        <v>2</v>
      </c>
      <c r="H48" s="8"/>
    </row>
    <row r="49" spans="1:8" x14ac:dyDescent="0.2">
      <c r="A49" s="22">
        <v>3</v>
      </c>
      <c r="B49" s="23" t="s">
        <v>74</v>
      </c>
      <c r="C49" s="24">
        <v>833</v>
      </c>
      <c r="D49" s="57">
        <v>1.7</v>
      </c>
      <c r="E49" s="57">
        <v>1.7</v>
      </c>
      <c r="F49" s="8"/>
      <c r="G49" s="8">
        <f t="shared" si="0"/>
        <v>1.7</v>
      </c>
      <c r="H49" s="8"/>
    </row>
    <row r="50" spans="1:8" x14ac:dyDescent="0.2">
      <c r="A50" s="22">
        <v>3</v>
      </c>
      <c r="B50" s="23" t="s">
        <v>74</v>
      </c>
      <c r="C50" s="24">
        <v>834</v>
      </c>
      <c r="D50" s="57">
        <v>1.2</v>
      </c>
      <c r="E50" s="57">
        <v>1.2</v>
      </c>
      <c r="F50" s="8"/>
      <c r="G50" s="8">
        <f t="shared" si="0"/>
        <v>1.2</v>
      </c>
      <c r="H50" s="8"/>
    </row>
    <row r="51" spans="1:8" x14ac:dyDescent="0.2">
      <c r="A51" s="22">
        <v>3</v>
      </c>
      <c r="B51" s="23" t="s">
        <v>74</v>
      </c>
      <c r="C51" s="24">
        <v>835</v>
      </c>
      <c r="D51" s="57">
        <v>2</v>
      </c>
      <c r="E51" s="57">
        <v>2</v>
      </c>
      <c r="F51" s="8"/>
      <c r="G51" s="8">
        <f t="shared" si="0"/>
        <v>2</v>
      </c>
      <c r="H51" s="8"/>
    </row>
    <row r="52" spans="1:8" x14ac:dyDescent="0.2">
      <c r="A52" s="22">
        <v>3</v>
      </c>
      <c r="B52" s="23" t="s">
        <v>74</v>
      </c>
      <c r="C52" s="24">
        <v>844</v>
      </c>
      <c r="D52" s="57">
        <v>1.7</v>
      </c>
      <c r="E52" s="57">
        <v>1.7</v>
      </c>
      <c r="F52" s="8"/>
      <c r="G52" s="8">
        <f t="shared" si="0"/>
        <v>1.7</v>
      </c>
      <c r="H52" s="8"/>
    </row>
    <row r="53" spans="1:8" x14ac:dyDescent="0.2">
      <c r="A53" s="22">
        <v>3</v>
      </c>
      <c r="B53" s="23" t="s">
        <v>74</v>
      </c>
      <c r="C53" s="24">
        <v>845</v>
      </c>
      <c r="D53" s="57">
        <v>1.6</v>
      </c>
      <c r="E53" s="57">
        <v>1.6</v>
      </c>
      <c r="F53" s="8"/>
      <c r="G53" s="8">
        <f t="shared" si="0"/>
        <v>1.6</v>
      </c>
      <c r="H53" s="8"/>
    </row>
    <row r="54" spans="1:8" x14ac:dyDescent="0.2">
      <c r="A54" s="22">
        <v>3</v>
      </c>
      <c r="B54" s="23" t="s">
        <v>74</v>
      </c>
      <c r="C54" s="24">
        <v>846</v>
      </c>
      <c r="D54" s="57">
        <v>2.2000000000000002</v>
      </c>
      <c r="E54" s="57">
        <v>2.2000000000000002</v>
      </c>
      <c r="F54" s="8"/>
      <c r="G54" s="8">
        <f t="shared" si="0"/>
        <v>2.2000000000000002</v>
      </c>
      <c r="H54" s="8"/>
    </row>
    <row r="55" spans="1:8" x14ac:dyDescent="0.2">
      <c r="A55" s="22">
        <v>3</v>
      </c>
      <c r="B55" s="23" t="s">
        <v>74</v>
      </c>
      <c r="C55" s="24">
        <v>849</v>
      </c>
      <c r="D55" s="57">
        <v>1.8</v>
      </c>
      <c r="E55" s="57">
        <v>1.8</v>
      </c>
      <c r="F55" s="8"/>
      <c r="G55" s="8">
        <f t="shared" si="0"/>
        <v>1.8</v>
      </c>
      <c r="H55" s="8"/>
    </row>
    <row r="56" spans="1:8" x14ac:dyDescent="0.2">
      <c r="A56" s="22">
        <v>3</v>
      </c>
      <c r="B56" s="23" t="s">
        <v>74</v>
      </c>
      <c r="C56" s="24">
        <v>856</v>
      </c>
      <c r="D56" s="57">
        <v>1.9</v>
      </c>
      <c r="E56" s="57">
        <v>1.9</v>
      </c>
      <c r="F56" s="8"/>
      <c r="G56" s="8">
        <f t="shared" si="0"/>
        <v>1.9</v>
      </c>
      <c r="H56" s="8"/>
    </row>
    <row r="57" spans="1:8" x14ac:dyDescent="0.2">
      <c r="A57" s="22">
        <v>3</v>
      </c>
      <c r="B57" s="23" t="s">
        <v>74</v>
      </c>
      <c r="C57" s="24">
        <v>859</v>
      </c>
      <c r="D57" s="57">
        <v>2.5</v>
      </c>
      <c r="E57" s="57">
        <v>2.5</v>
      </c>
      <c r="F57" s="8"/>
      <c r="G57" s="8">
        <f t="shared" si="0"/>
        <v>2.5</v>
      </c>
      <c r="H57" s="8"/>
    </row>
    <row r="58" spans="1:8" x14ac:dyDescent="0.2">
      <c r="A58" s="22">
        <v>3</v>
      </c>
      <c r="B58" s="23" t="s">
        <v>74</v>
      </c>
      <c r="C58" s="24">
        <v>861</v>
      </c>
      <c r="D58" s="57">
        <v>2</v>
      </c>
      <c r="E58" s="57">
        <v>2.1</v>
      </c>
      <c r="F58" s="8"/>
      <c r="G58" s="8">
        <f t="shared" si="0"/>
        <v>2.0499999999999998</v>
      </c>
      <c r="H58" s="8"/>
    </row>
    <row r="59" spans="1:8" x14ac:dyDescent="0.2">
      <c r="A59" s="22">
        <v>3</v>
      </c>
      <c r="B59" s="23" t="s">
        <v>74</v>
      </c>
      <c r="C59" s="24">
        <v>862</v>
      </c>
      <c r="D59" s="57">
        <v>1.6</v>
      </c>
      <c r="E59" s="57">
        <v>1.6</v>
      </c>
      <c r="F59" s="8"/>
      <c r="G59" s="8">
        <f t="shared" si="0"/>
        <v>1.6</v>
      </c>
      <c r="H59" s="8"/>
    </row>
    <row r="60" spans="1:8" x14ac:dyDescent="0.2">
      <c r="A60" s="22">
        <v>3</v>
      </c>
      <c r="B60" s="23" t="s">
        <v>74</v>
      </c>
      <c r="C60" s="24">
        <v>865</v>
      </c>
      <c r="D60" s="57">
        <v>1.7</v>
      </c>
      <c r="E60" s="57">
        <v>1.7</v>
      </c>
      <c r="F60" s="8"/>
      <c r="G60" s="8">
        <f t="shared" si="0"/>
        <v>1.7</v>
      </c>
      <c r="H60" s="8"/>
    </row>
    <row r="61" spans="1:8" x14ac:dyDescent="0.2">
      <c r="A61" s="22">
        <v>3</v>
      </c>
      <c r="B61" s="23" t="s">
        <v>74</v>
      </c>
      <c r="C61" s="24">
        <v>866</v>
      </c>
      <c r="D61" s="57">
        <v>1.9</v>
      </c>
      <c r="E61" s="57">
        <v>1.9</v>
      </c>
      <c r="F61" s="8"/>
      <c r="G61" s="8">
        <f t="shared" si="0"/>
        <v>1.9</v>
      </c>
      <c r="H61" s="8"/>
    </row>
    <row r="62" spans="1:8" x14ac:dyDescent="0.2">
      <c r="A62" s="22">
        <v>3</v>
      </c>
      <c r="B62" s="23" t="s">
        <v>74</v>
      </c>
      <c r="C62" s="24">
        <v>871</v>
      </c>
      <c r="D62" s="57">
        <v>2</v>
      </c>
      <c r="E62" s="57">
        <v>2</v>
      </c>
      <c r="F62" s="8"/>
      <c r="G62" s="8">
        <f t="shared" si="0"/>
        <v>2</v>
      </c>
      <c r="H62" s="8"/>
    </row>
    <row r="63" spans="1:8" x14ac:dyDescent="0.2">
      <c r="A63" s="22">
        <v>3</v>
      </c>
      <c r="B63" s="23" t="s">
        <v>74</v>
      </c>
      <c r="C63" s="24">
        <v>873</v>
      </c>
      <c r="D63" s="57">
        <v>1.9</v>
      </c>
      <c r="E63" s="57">
        <v>2</v>
      </c>
      <c r="F63" s="8"/>
      <c r="G63" s="8">
        <f t="shared" si="0"/>
        <v>1.95</v>
      </c>
      <c r="H63" s="8"/>
    </row>
    <row r="64" spans="1:8" x14ac:dyDescent="0.2">
      <c r="A64" s="22">
        <v>3</v>
      </c>
      <c r="B64" s="23" t="s">
        <v>74</v>
      </c>
      <c r="C64" s="24">
        <v>874</v>
      </c>
      <c r="D64" s="57">
        <v>2.2000000000000002</v>
      </c>
      <c r="E64" s="57">
        <v>2.5</v>
      </c>
      <c r="F64" s="8"/>
      <c r="G64" s="8">
        <f t="shared" si="0"/>
        <v>2.35</v>
      </c>
      <c r="H64" s="8"/>
    </row>
    <row r="65" spans="1:8" x14ac:dyDescent="0.2">
      <c r="A65" s="22">
        <v>3</v>
      </c>
      <c r="B65" s="23" t="s">
        <v>74</v>
      </c>
      <c r="C65" s="24">
        <v>877</v>
      </c>
      <c r="D65" s="57">
        <v>1.6</v>
      </c>
      <c r="E65" s="57">
        <v>1.7</v>
      </c>
      <c r="F65" s="8"/>
      <c r="G65" s="8">
        <f t="shared" si="0"/>
        <v>1.65</v>
      </c>
      <c r="H65" s="8"/>
    </row>
    <row r="66" spans="1:8" x14ac:dyDescent="0.2">
      <c r="A66" s="22">
        <v>3</v>
      </c>
      <c r="B66" s="23" t="s">
        <v>74</v>
      </c>
      <c r="C66" s="24">
        <v>879</v>
      </c>
      <c r="D66" s="57">
        <v>2</v>
      </c>
      <c r="E66" s="57">
        <v>2.1</v>
      </c>
      <c r="F66" s="8"/>
      <c r="G66" s="8">
        <f t="shared" si="0"/>
        <v>2.0499999999999998</v>
      </c>
      <c r="H66" s="8"/>
    </row>
    <row r="67" spans="1:8" x14ac:dyDescent="0.2">
      <c r="A67" s="22">
        <v>3</v>
      </c>
      <c r="B67" s="23" t="s">
        <v>74</v>
      </c>
      <c r="C67" s="24">
        <v>887</v>
      </c>
      <c r="D67" s="57">
        <v>2.4</v>
      </c>
      <c r="E67" s="57">
        <v>2.5</v>
      </c>
      <c r="F67" s="8"/>
      <c r="G67" s="8">
        <f t="shared" si="0"/>
        <v>2.4500000000000002</v>
      </c>
      <c r="H67" s="8"/>
    </row>
    <row r="68" spans="1:8" x14ac:dyDescent="0.2">
      <c r="A68" s="22">
        <v>3</v>
      </c>
      <c r="B68" s="23" t="s">
        <v>74</v>
      </c>
      <c r="C68" s="24">
        <v>888</v>
      </c>
      <c r="D68" s="57">
        <v>1.8</v>
      </c>
      <c r="E68" s="57">
        <v>1.9</v>
      </c>
      <c r="F68" s="8"/>
      <c r="G68" s="8">
        <f t="shared" si="0"/>
        <v>1.85</v>
      </c>
      <c r="H68" s="8"/>
    </row>
    <row r="69" spans="1:8" x14ac:dyDescent="0.2">
      <c r="A69" s="13">
        <v>4</v>
      </c>
      <c r="B69" s="14" t="s">
        <v>104</v>
      </c>
      <c r="C69" s="15" t="s">
        <v>105</v>
      </c>
      <c r="D69" s="57">
        <v>2.2000000000000002</v>
      </c>
      <c r="E69" s="57">
        <v>2.2000000000000002</v>
      </c>
      <c r="F69" s="8"/>
      <c r="G69" s="8">
        <f t="shared" si="0"/>
        <v>2.2000000000000002</v>
      </c>
      <c r="H69" s="8"/>
    </row>
    <row r="70" spans="1:8" x14ac:dyDescent="0.2">
      <c r="A70" s="16">
        <v>4</v>
      </c>
      <c r="B70" s="14" t="s">
        <v>104</v>
      </c>
      <c r="C70" s="18" t="s">
        <v>106</v>
      </c>
      <c r="D70" s="57">
        <v>1.8</v>
      </c>
      <c r="E70" s="57">
        <v>1.9</v>
      </c>
      <c r="F70" s="8"/>
      <c r="G70" s="8">
        <f t="shared" si="0"/>
        <v>1.85</v>
      </c>
      <c r="H70" s="8"/>
    </row>
    <row r="71" spans="1:8" x14ac:dyDescent="0.2">
      <c r="A71" s="16">
        <v>4</v>
      </c>
      <c r="B71" s="14" t="s">
        <v>104</v>
      </c>
      <c r="C71" s="18" t="s">
        <v>107</v>
      </c>
      <c r="D71" s="57">
        <v>3.2</v>
      </c>
      <c r="E71" s="57">
        <v>3.3</v>
      </c>
      <c r="F71" s="8"/>
      <c r="G71" s="8">
        <f t="shared" si="0"/>
        <v>3.25</v>
      </c>
      <c r="H71" s="8"/>
    </row>
    <row r="72" spans="1:8" x14ac:dyDescent="0.2">
      <c r="A72" s="16">
        <v>4</v>
      </c>
      <c r="B72" s="14" t="s">
        <v>104</v>
      </c>
      <c r="C72" s="18" t="s">
        <v>108</v>
      </c>
      <c r="D72" s="57">
        <v>2.6</v>
      </c>
      <c r="E72" s="57">
        <v>2.6</v>
      </c>
      <c r="F72" s="8"/>
      <c r="G72" s="8">
        <f t="shared" si="0"/>
        <v>2.6</v>
      </c>
      <c r="H72" s="8"/>
    </row>
    <row r="73" spans="1:8" x14ac:dyDescent="0.2">
      <c r="A73" s="16">
        <v>4</v>
      </c>
      <c r="B73" s="14" t="s">
        <v>104</v>
      </c>
      <c r="C73" s="18" t="s">
        <v>109</v>
      </c>
      <c r="D73" s="57">
        <v>2.2000000000000002</v>
      </c>
      <c r="E73" s="57">
        <v>2.2999999999999998</v>
      </c>
      <c r="F73" s="8"/>
      <c r="G73" s="8">
        <f t="shared" si="0"/>
        <v>2.25</v>
      </c>
      <c r="H73" s="8"/>
    </row>
    <row r="74" spans="1:8" x14ac:dyDescent="0.2">
      <c r="A74" s="16">
        <v>4</v>
      </c>
      <c r="B74" s="14" t="s">
        <v>104</v>
      </c>
      <c r="C74" s="18" t="s">
        <v>110</v>
      </c>
      <c r="D74" s="57">
        <v>2.2000000000000002</v>
      </c>
      <c r="E74" s="57">
        <v>2.2999999999999998</v>
      </c>
      <c r="F74" s="8"/>
      <c r="G74" s="8">
        <f t="shared" ref="G74:G102" si="1">ROUND(AVERAGE(D74:F74), 2)</f>
        <v>2.25</v>
      </c>
      <c r="H74" s="8"/>
    </row>
    <row r="75" spans="1:8" x14ac:dyDescent="0.2">
      <c r="A75" s="16">
        <v>4</v>
      </c>
      <c r="B75" s="14" t="s">
        <v>104</v>
      </c>
      <c r="C75" s="18" t="s">
        <v>111</v>
      </c>
      <c r="D75" s="57">
        <v>1.8</v>
      </c>
      <c r="E75" s="57">
        <v>1.9</v>
      </c>
      <c r="F75" s="8"/>
      <c r="G75" s="8">
        <f t="shared" si="1"/>
        <v>1.85</v>
      </c>
      <c r="H75" s="8"/>
    </row>
    <row r="76" spans="1:8" x14ac:dyDescent="0.2">
      <c r="A76" s="16">
        <v>4</v>
      </c>
      <c r="B76" s="14" t="s">
        <v>104</v>
      </c>
      <c r="C76" s="18" t="s">
        <v>112</v>
      </c>
      <c r="D76" s="57">
        <v>2</v>
      </c>
      <c r="E76" s="57">
        <v>2.1</v>
      </c>
      <c r="F76" s="8"/>
      <c r="G76" s="8">
        <f t="shared" si="1"/>
        <v>2.0499999999999998</v>
      </c>
      <c r="H76" s="8"/>
    </row>
    <row r="77" spans="1:8" x14ac:dyDescent="0.2">
      <c r="A77" s="16">
        <v>4</v>
      </c>
      <c r="B77" s="14" t="s">
        <v>104</v>
      </c>
      <c r="C77" s="18" t="s">
        <v>113</v>
      </c>
      <c r="D77" s="57">
        <v>2.8</v>
      </c>
      <c r="E77" s="57">
        <v>2.9</v>
      </c>
      <c r="F77" s="8"/>
      <c r="G77" s="8">
        <f t="shared" si="1"/>
        <v>2.85</v>
      </c>
      <c r="H77" s="8"/>
    </row>
    <row r="78" spans="1:8" x14ac:dyDescent="0.2">
      <c r="A78" s="16">
        <v>4</v>
      </c>
      <c r="B78" s="14" t="s">
        <v>104</v>
      </c>
      <c r="C78" s="18" t="s">
        <v>114</v>
      </c>
      <c r="D78" s="57">
        <v>2</v>
      </c>
      <c r="E78" s="57">
        <v>2.1</v>
      </c>
      <c r="F78" s="8"/>
      <c r="G78" s="8">
        <f t="shared" si="1"/>
        <v>2.0499999999999998</v>
      </c>
      <c r="H78" s="8"/>
    </row>
    <row r="79" spans="1:8" x14ac:dyDescent="0.2">
      <c r="A79" s="16">
        <v>4</v>
      </c>
      <c r="B79" s="14" t="s">
        <v>104</v>
      </c>
      <c r="C79" s="18" t="s">
        <v>115</v>
      </c>
      <c r="D79" s="57">
        <v>2.6</v>
      </c>
      <c r="E79" s="57">
        <v>2.7</v>
      </c>
      <c r="F79" s="8"/>
      <c r="G79" s="8">
        <f t="shared" si="1"/>
        <v>2.65</v>
      </c>
      <c r="H79" s="8"/>
    </row>
    <row r="80" spans="1:8" x14ac:dyDescent="0.2">
      <c r="A80" s="16">
        <v>4</v>
      </c>
      <c r="B80" s="14" t="s">
        <v>104</v>
      </c>
      <c r="C80" s="18" t="s">
        <v>116</v>
      </c>
      <c r="D80" s="57">
        <v>2.1</v>
      </c>
      <c r="E80" s="57">
        <v>2.2000000000000002</v>
      </c>
      <c r="F80" s="8"/>
      <c r="G80" s="8">
        <f t="shared" si="1"/>
        <v>2.15</v>
      </c>
      <c r="H80" s="8"/>
    </row>
    <row r="81" spans="1:8" x14ac:dyDescent="0.2">
      <c r="A81" s="16">
        <v>4</v>
      </c>
      <c r="B81" s="14" t="s">
        <v>104</v>
      </c>
      <c r="C81" s="18" t="s">
        <v>117</v>
      </c>
      <c r="D81" s="57">
        <v>1.9</v>
      </c>
      <c r="E81" s="57">
        <v>2.1</v>
      </c>
      <c r="F81" s="8"/>
      <c r="G81" s="8">
        <f t="shared" si="1"/>
        <v>2</v>
      </c>
      <c r="H81" s="8"/>
    </row>
    <row r="82" spans="1:8" x14ac:dyDescent="0.2">
      <c r="A82" s="16">
        <v>4</v>
      </c>
      <c r="B82" s="14" t="s">
        <v>104</v>
      </c>
      <c r="C82" s="18" t="s">
        <v>118</v>
      </c>
      <c r="D82" s="57">
        <v>2.1</v>
      </c>
      <c r="E82" s="57">
        <v>2.2000000000000002</v>
      </c>
      <c r="F82" s="8"/>
      <c r="G82" s="8">
        <f t="shared" si="1"/>
        <v>2.15</v>
      </c>
      <c r="H82" s="8"/>
    </row>
    <row r="83" spans="1:8" x14ac:dyDescent="0.2">
      <c r="A83" s="16">
        <v>4</v>
      </c>
      <c r="B83" s="14" t="s">
        <v>104</v>
      </c>
      <c r="C83" s="18" t="s">
        <v>119</v>
      </c>
      <c r="D83" s="57">
        <v>1</v>
      </c>
      <c r="E83" s="57">
        <v>1.1000000000000001</v>
      </c>
      <c r="F83" s="8"/>
      <c r="G83" s="8">
        <f t="shared" si="1"/>
        <v>1.05</v>
      </c>
      <c r="H83" s="8"/>
    </row>
    <row r="84" spans="1:8" x14ac:dyDescent="0.2">
      <c r="A84" s="16">
        <v>4</v>
      </c>
      <c r="B84" s="14" t="s">
        <v>104</v>
      </c>
      <c r="C84" s="18" t="s">
        <v>120</v>
      </c>
      <c r="D84" s="57">
        <v>2.4</v>
      </c>
      <c r="E84" s="57">
        <v>2.4</v>
      </c>
      <c r="F84" s="8"/>
      <c r="G84" s="8">
        <f t="shared" si="1"/>
        <v>2.4</v>
      </c>
      <c r="H84" s="8"/>
    </row>
    <row r="85" spans="1:8" x14ac:dyDescent="0.2">
      <c r="A85" s="16">
        <v>4</v>
      </c>
      <c r="B85" s="14" t="s">
        <v>104</v>
      </c>
      <c r="C85" s="18" t="s">
        <v>121</v>
      </c>
      <c r="D85" s="57">
        <v>2.4</v>
      </c>
      <c r="E85" s="57">
        <v>2.5</v>
      </c>
      <c r="F85" s="8"/>
      <c r="G85" s="8">
        <f t="shared" si="1"/>
        <v>2.4500000000000002</v>
      </c>
      <c r="H85" s="8"/>
    </row>
    <row r="86" spans="1:8" x14ac:dyDescent="0.2">
      <c r="A86" s="16">
        <v>4</v>
      </c>
      <c r="B86" s="14" t="s">
        <v>104</v>
      </c>
      <c r="C86" s="18" t="s">
        <v>122</v>
      </c>
      <c r="D86" s="57" t="s">
        <v>123</v>
      </c>
      <c r="E86" s="57" t="s">
        <v>123</v>
      </c>
      <c r="F86" s="8"/>
      <c r="G86" s="8" t="s">
        <v>123</v>
      </c>
      <c r="H86" s="8"/>
    </row>
    <row r="87" spans="1:8" x14ac:dyDescent="0.2">
      <c r="A87" s="16">
        <v>4</v>
      </c>
      <c r="B87" s="14" t="s">
        <v>104</v>
      </c>
      <c r="C87" s="18" t="s">
        <v>124</v>
      </c>
      <c r="D87" s="57">
        <v>1.8</v>
      </c>
      <c r="E87" s="57">
        <v>1.9</v>
      </c>
      <c r="F87" s="8"/>
      <c r="G87" s="8">
        <f t="shared" si="1"/>
        <v>1.85</v>
      </c>
      <c r="H87" s="8"/>
    </row>
    <row r="88" spans="1:8" x14ac:dyDescent="0.2">
      <c r="A88" s="16">
        <v>4</v>
      </c>
      <c r="B88" s="14" t="s">
        <v>104</v>
      </c>
      <c r="C88" s="18" t="s">
        <v>125</v>
      </c>
      <c r="D88" s="57">
        <v>1.9</v>
      </c>
      <c r="E88" s="57">
        <v>2</v>
      </c>
      <c r="F88" s="8"/>
      <c r="G88" s="8">
        <f t="shared" si="1"/>
        <v>1.95</v>
      </c>
      <c r="H88" s="8"/>
    </row>
    <row r="89" spans="1:8" x14ac:dyDescent="0.2">
      <c r="A89" s="16">
        <v>4</v>
      </c>
      <c r="B89" s="14" t="s">
        <v>104</v>
      </c>
      <c r="C89" s="18" t="s">
        <v>126</v>
      </c>
      <c r="D89" s="57">
        <v>1.7</v>
      </c>
      <c r="E89" s="57">
        <v>1.8</v>
      </c>
      <c r="F89" s="8"/>
      <c r="G89" s="8">
        <f t="shared" si="1"/>
        <v>1.75</v>
      </c>
      <c r="H89" s="8"/>
    </row>
    <row r="90" spans="1:8" x14ac:dyDescent="0.2">
      <c r="A90" s="16">
        <v>4</v>
      </c>
      <c r="B90" s="14" t="s">
        <v>104</v>
      </c>
      <c r="C90" s="18" t="s">
        <v>127</v>
      </c>
      <c r="D90" s="57">
        <v>1.8</v>
      </c>
      <c r="E90" s="57">
        <v>1.9</v>
      </c>
      <c r="F90" s="8"/>
      <c r="G90" s="8">
        <f t="shared" si="1"/>
        <v>1.85</v>
      </c>
      <c r="H90" s="8"/>
    </row>
    <row r="91" spans="1:8" x14ac:dyDescent="0.2">
      <c r="A91" s="16">
        <v>4</v>
      </c>
      <c r="B91" s="14" t="s">
        <v>104</v>
      </c>
      <c r="C91" s="18" t="s">
        <v>128</v>
      </c>
      <c r="D91" s="57" t="s">
        <v>123</v>
      </c>
      <c r="E91" s="57" t="s">
        <v>123</v>
      </c>
      <c r="F91" s="8"/>
      <c r="G91" s="8" t="e">
        <f t="shared" si="1"/>
        <v>#DIV/0!</v>
      </c>
      <c r="H91" s="8"/>
    </row>
    <row r="92" spans="1:8" x14ac:dyDescent="0.2">
      <c r="A92" s="16">
        <v>4</v>
      </c>
      <c r="B92" s="14" t="s">
        <v>104</v>
      </c>
      <c r="C92" s="18" t="s">
        <v>129</v>
      </c>
      <c r="D92" s="57">
        <v>2.8</v>
      </c>
      <c r="E92" s="57">
        <v>2.6</v>
      </c>
      <c r="F92" s="8"/>
      <c r="G92" s="8">
        <f t="shared" si="1"/>
        <v>2.7</v>
      </c>
      <c r="H92" s="8"/>
    </row>
    <row r="93" spans="1:8" x14ac:dyDescent="0.2">
      <c r="A93" s="16">
        <v>4</v>
      </c>
      <c r="B93" s="14" t="s">
        <v>104</v>
      </c>
      <c r="C93" s="18" t="s">
        <v>130</v>
      </c>
      <c r="D93" s="57">
        <v>2.2000000000000002</v>
      </c>
      <c r="E93" s="57">
        <v>2.2999999999999998</v>
      </c>
      <c r="F93" s="8"/>
      <c r="G93" s="8">
        <f t="shared" si="1"/>
        <v>2.25</v>
      </c>
      <c r="H93" s="8"/>
    </row>
    <row r="94" spans="1:8" x14ac:dyDescent="0.2">
      <c r="A94" s="16">
        <v>4</v>
      </c>
      <c r="B94" s="14" t="s">
        <v>104</v>
      </c>
      <c r="C94" s="18" t="s">
        <v>131</v>
      </c>
      <c r="D94" s="57">
        <v>2.4</v>
      </c>
      <c r="E94" s="57">
        <v>2.5</v>
      </c>
      <c r="F94" s="8"/>
      <c r="G94" s="8">
        <f t="shared" si="1"/>
        <v>2.4500000000000002</v>
      </c>
      <c r="H94" s="8"/>
    </row>
    <row r="95" spans="1:8" x14ac:dyDescent="0.2">
      <c r="A95" s="16">
        <v>4</v>
      </c>
      <c r="B95" s="14" t="s">
        <v>104</v>
      </c>
      <c r="C95" s="18" t="s">
        <v>132</v>
      </c>
      <c r="D95" s="57">
        <v>2.1</v>
      </c>
      <c r="E95" s="57">
        <v>1.9</v>
      </c>
      <c r="F95" s="8"/>
      <c r="G95" s="8">
        <f t="shared" si="1"/>
        <v>2</v>
      </c>
      <c r="H95" s="8"/>
    </row>
    <row r="96" spans="1:8" x14ac:dyDescent="0.2">
      <c r="A96" s="16">
        <v>4</v>
      </c>
      <c r="B96" s="14" t="s">
        <v>104</v>
      </c>
      <c r="C96" s="18" t="s">
        <v>133</v>
      </c>
      <c r="D96" s="57">
        <v>2.2999999999999998</v>
      </c>
      <c r="E96" s="57">
        <v>2.2999999999999998</v>
      </c>
      <c r="F96" s="8"/>
      <c r="G96" s="8">
        <f t="shared" si="1"/>
        <v>2.2999999999999998</v>
      </c>
      <c r="H96" s="8"/>
    </row>
    <row r="97" spans="1:8" x14ac:dyDescent="0.2">
      <c r="A97" s="16">
        <v>4</v>
      </c>
      <c r="B97" s="14" t="s">
        <v>104</v>
      </c>
      <c r="C97" s="18" t="s">
        <v>134</v>
      </c>
      <c r="D97" s="57">
        <v>2.1</v>
      </c>
      <c r="E97" s="57">
        <v>2.1</v>
      </c>
      <c r="F97" s="8"/>
      <c r="G97" s="8">
        <f t="shared" si="1"/>
        <v>2.1</v>
      </c>
      <c r="H97" s="8"/>
    </row>
    <row r="98" spans="1:8" x14ac:dyDescent="0.2">
      <c r="A98" s="17">
        <v>4</v>
      </c>
      <c r="B98" s="17" t="s">
        <v>104</v>
      </c>
      <c r="C98" s="17" t="s">
        <v>135</v>
      </c>
      <c r="D98" s="57">
        <v>2.5</v>
      </c>
      <c r="E98" s="57">
        <v>2.5</v>
      </c>
      <c r="F98" s="8"/>
      <c r="G98" s="8">
        <f t="shared" si="1"/>
        <v>2.5</v>
      </c>
      <c r="H98" s="8"/>
    </row>
    <row r="99" spans="1:8" x14ac:dyDescent="0.2">
      <c r="A99" s="17">
        <v>4</v>
      </c>
      <c r="B99" s="17" t="s">
        <v>104</v>
      </c>
      <c r="C99" s="17" t="s">
        <v>136</v>
      </c>
      <c r="D99" s="57">
        <v>2.4</v>
      </c>
      <c r="E99" s="57">
        <v>2.4</v>
      </c>
      <c r="F99" s="8"/>
      <c r="G99" s="8">
        <f t="shared" si="1"/>
        <v>2.4</v>
      </c>
      <c r="H99" s="8"/>
    </row>
    <row r="100" spans="1:8" x14ac:dyDescent="0.2">
      <c r="A100" s="17">
        <v>4</v>
      </c>
      <c r="B100" s="17" t="s">
        <v>104</v>
      </c>
      <c r="C100" s="17" t="s">
        <v>137</v>
      </c>
      <c r="D100" s="57">
        <v>2.7</v>
      </c>
      <c r="E100" s="57">
        <v>2.7</v>
      </c>
      <c r="F100" s="8"/>
      <c r="G100" s="8">
        <f t="shared" si="1"/>
        <v>2.7</v>
      </c>
      <c r="H100" s="8"/>
    </row>
    <row r="101" spans="1:8" x14ac:dyDescent="0.2">
      <c r="A101" s="17">
        <v>4</v>
      </c>
      <c r="B101" s="17" t="s">
        <v>104</v>
      </c>
      <c r="C101" s="17" t="s">
        <v>138</v>
      </c>
      <c r="D101" s="57">
        <v>2.9</v>
      </c>
      <c r="E101" s="57">
        <v>3.1</v>
      </c>
      <c r="F101" s="8"/>
      <c r="G101" s="8">
        <f t="shared" si="1"/>
        <v>3</v>
      </c>
      <c r="H101" s="8"/>
    </row>
    <row r="102" spans="1:8" x14ac:dyDescent="0.2">
      <c r="A102" s="17">
        <v>4</v>
      </c>
      <c r="B102" s="17" t="s">
        <v>104</v>
      </c>
      <c r="C102" s="17" t="s">
        <v>139</v>
      </c>
      <c r="D102" s="57">
        <v>2.9</v>
      </c>
      <c r="E102" s="57">
        <v>2.9</v>
      </c>
      <c r="F102" s="8"/>
      <c r="G102" s="8">
        <f t="shared" si="1"/>
        <v>2.9</v>
      </c>
      <c r="H102" s="8"/>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902DA-492C-4F4E-9C8A-E31011AE9FA8}">
  <dimension ref="A1:L102"/>
  <sheetViews>
    <sheetView topLeftCell="A11" zoomScale="75" workbookViewId="0">
      <selection activeCell="C1" sqref="C1:C1048576"/>
    </sheetView>
  </sheetViews>
  <sheetFormatPr baseColWidth="10" defaultColWidth="8.83203125" defaultRowHeight="15" x14ac:dyDescent="0.2"/>
  <cols>
    <col min="2" max="2" width="8" bestFit="1" customWidth="1"/>
    <col min="4" max="6" width="10.6640625" customWidth="1"/>
    <col min="7" max="7" width="8.83203125" bestFit="1" customWidth="1"/>
    <col min="8" max="8" width="26.5" customWidth="1"/>
  </cols>
  <sheetData>
    <row r="1" spans="1:12" ht="19" x14ac:dyDescent="0.25">
      <c r="A1" s="12" t="s">
        <v>0</v>
      </c>
      <c r="B1" s="12"/>
      <c r="C1" s="12"/>
      <c r="D1" s="12"/>
      <c r="E1" s="12"/>
      <c r="G1" s="12"/>
      <c r="H1" s="12"/>
      <c r="I1" s="12"/>
      <c r="J1" s="12"/>
      <c r="L1" s="12"/>
    </row>
    <row r="2" spans="1:12" ht="19" x14ac:dyDescent="0.25">
      <c r="A2" s="12"/>
      <c r="B2" s="12"/>
      <c r="C2" s="12"/>
      <c r="D2" s="12"/>
      <c r="E2" s="12"/>
      <c r="G2" s="12"/>
      <c r="H2" s="12"/>
      <c r="I2" s="12"/>
      <c r="J2" s="12"/>
      <c r="K2" s="12"/>
      <c r="L2" s="12"/>
    </row>
    <row r="3" spans="1:12" ht="19" x14ac:dyDescent="0.25">
      <c r="A3" s="12" t="s">
        <v>190</v>
      </c>
      <c r="B3" s="12"/>
      <c r="C3" s="12"/>
      <c r="D3" s="12"/>
      <c r="E3" s="12"/>
      <c r="G3" s="12"/>
      <c r="H3" s="12"/>
      <c r="I3" s="12"/>
      <c r="J3" s="12"/>
      <c r="K3" s="12"/>
      <c r="L3" s="12"/>
    </row>
    <row r="4" spans="1:12" ht="19" x14ac:dyDescent="0.25">
      <c r="A4" s="12"/>
      <c r="B4" s="12"/>
      <c r="C4" s="12"/>
      <c r="D4" s="12"/>
      <c r="E4" s="12"/>
      <c r="G4" s="12"/>
      <c r="H4" s="12"/>
      <c r="I4" s="12"/>
      <c r="J4" s="12"/>
      <c r="K4" s="12"/>
      <c r="L4" s="12"/>
    </row>
    <row r="5" spans="1:12" ht="19" x14ac:dyDescent="0.25">
      <c r="A5" s="12" t="s">
        <v>193</v>
      </c>
      <c r="B5" s="12"/>
      <c r="C5" s="12"/>
      <c r="D5" s="12"/>
      <c r="E5" s="12"/>
      <c r="G5" s="12"/>
      <c r="H5" s="12"/>
      <c r="I5" s="12"/>
      <c r="J5" s="12"/>
      <c r="K5" s="12"/>
      <c r="L5" s="12"/>
    </row>
    <row r="6" spans="1:12" ht="19" x14ac:dyDescent="0.25">
      <c r="A6" s="12" t="s">
        <v>3</v>
      </c>
      <c r="B6" s="12"/>
      <c r="C6" s="12"/>
      <c r="D6" s="12"/>
      <c r="E6" s="12"/>
      <c r="G6" s="12"/>
      <c r="H6" s="12"/>
      <c r="I6" s="12"/>
      <c r="J6" s="12"/>
      <c r="K6" s="12"/>
      <c r="L6" s="12"/>
    </row>
    <row r="8" spans="1:12" ht="41" thickBot="1" x14ac:dyDescent="0.25">
      <c r="A8" s="1" t="s">
        <v>4</v>
      </c>
      <c r="B8" s="2" t="s">
        <v>5</v>
      </c>
      <c r="C8" s="6" t="s">
        <v>7</v>
      </c>
      <c r="D8" s="7" t="s">
        <v>8</v>
      </c>
      <c r="E8" s="7" t="s">
        <v>8</v>
      </c>
      <c r="F8" s="7" t="s">
        <v>8</v>
      </c>
      <c r="G8" s="7" t="s">
        <v>9</v>
      </c>
      <c r="H8" s="7" t="s">
        <v>10</v>
      </c>
      <c r="J8" s="34"/>
      <c r="K8" s="34"/>
      <c r="L8" s="34"/>
    </row>
    <row r="9" spans="1:12" x14ac:dyDescent="0.2">
      <c r="A9" s="3">
        <v>2</v>
      </c>
      <c r="B9" s="3" t="s">
        <v>42</v>
      </c>
      <c r="C9" s="9">
        <v>800</v>
      </c>
      <c r="D9" s="57">
        <v>2</v>
      </c>
      <c r="E9" s="57">
        <v>2</v>
      </c>
      <c r="F9" s="8"/>
      <c r="G9" s="8">
        <f>ROUND(AVERAGE(D9:F9), 2)</f>
        <v>2</v>
      </c>
      <c r="H9" s="8"/>
    </row>
    <row r="10" spans="1:12" x14ac:dyDescent="0.2">
      <c r="A10" s="4">
        <v>2</v>
      </c>
      <c r="B10" s="4" t="s">
        <v>42</v>
      </c>
      <c r="C10" s="10">
        <v>801</v>
      </c>
      <c r="D10" s="57">
        <v>1.7</v>
      </c>
      <c r="E10" s="57">
        <v>1.7</v>
      </c>
      <c r="F10" s="8"/>
      <c r="G10" s="8">
        <f t="shared" ref="G10:G73" si="0">ROUND(AVERAGE(D10:F10), 2)</f>
        <v>1.7</v>
      </c>
      <c r="H10" s="8"/>
    </row>
    <row r="11" spans="1:12" x14ac:dyDescent="0.2">
      <c r="A11" s="4">
        <v>2</v>
      </c>
      <c r="B11" s="4" t="s">
        <v>42</v>
      </c>
      <c r="C11" s="10">
        <v>804</v>
      </c>
      <c r="D11" s="57">
        <v>2</v>
      </c>
      <c r="E11" s="57">
        <v>2</v>
      </c>
      <c r="F11" s="8"/>
      <c r="G11" s="8">
        <f t="shared" si="0"/>
        <v>2</v>
      </c>
      <c r="H11" s="8"/>
    </row>
    <row r="12" spans="1:12" x14ac:dyDescent="0.2">
      <c r="A12" s="4">
        <v>2</v>
      </c>
      <c r="B12" s="4" t="s">
        <v>42</v>
      </c>
      <c r="C12" s="10">
        <v>806</v>
      </c>
      <c r="D12" s="57">
        <v>1.8</v>
      </c>
      <c r="E12" s="57">
        <v>1.8</v>
      </c>
      <c r="F12" s="8"/>
      <c r="G12" s="8">
        <f t="shared" si="0"/>
        <v>1.8</v>
      </c>
      <c r="H12" s="8"/>
    </row>
    <row r="13" spans="1:12" x14ac:dyDescent="0.2">
      <c r="A13" s="4">
        <v>2</v>
      </c>
      <c r="B13" s="4" t="s">
        <v>42</v>
      </c>
      <c r="C13" s="10">
        <v>809</v>
      </c>
      <c r="D13" s="57">
        <v>2.5</v>
      </c>
      <c r="E13" s="57">
        <v>2.6</v>
      </c>
      <c r="F13" s="8"/>
      <c r="G13" s="8">
        <f t="shared" si="0"/>
        <v>2.5499999999999998</v>
      </c>
      <c r="H13" s="8"/>
    </row>
    <row r="14" spans="1:12" x14ac:dyDescent="0.2">
      <c r="A14" s="4">
        <v>2</v>
      </c>
      <c r="B14" s="4" t="s">
        <v>42</v>
      </c>
      <c r="C14" s="10">
        <v>810</v>
      </c>
      <c r="D14" s="57">
        <v>2.2999999999999998</v>
      </c>
      <c r="E14" s="57">
        <v>2.2999999999999998</v>
      </c>
      <c r="F14" s="8"/>
      <c r="G14" s="8">
        <f t="shared" si="0"/>
        <v>2.2999999999999998</v>
      </c>
      <c r="H14" s="8"/>
    </row>
    <row r="15" spans="1:12" x14ac:dyDescent="0.2">
      <c r="A15" s="4">
        <v>2</v>
      </c>
      <c r="B15" s="4" t="s">
        <v>42</v>
      </c>
      <c r="C15" s="10">
        <v>819</v>
      </c>
      <c r="D15" s="57">
        <v>2.2000000000000002</v>
      </c>
      <c r="E15" s="57">
        <v>2.2000000000000002</v>
      </c>
      <c r="F15" s="8"/>
      <c r="G15" s="8">
        <f t="shared" si="0"/>
        <v>2.2000000000000002</v>
      </c>
      <c r="H15" s="8"/>
    </row>
    <row r="16" spans="1:12" x14ac:dyDescent="0.2">
      <c r="A16" s="4">
        <v>2</v>
      </c>
      <c r="B16" s="4" t="s">
        <v>42</v>
      </c>
      <c r="C16" s="10">
        <v>822</v>
      </c>
      <c r="D16" s="57">
        <v>1.9</v>
      </c>
      <c r="E16" s="57">
        <v>2</v>
      </c>
      <c r="F16" s="8"/>
      <c r="G16" s="8">
        <f t="shared" si="0"/>
        <v>1.95</v>
      </c>
      <c r="H16" s="8"/>
    </row>
    <row r="17" spans="1:8" x14ac:dyDescent="0.2">
      <c r="A17" s="4">
        <v>2</v>
      </c>
      <c r="B17" s="4" t="s">
        <v>42</v>
      </c>
      <c r="C17" s="10">
        <v>823</v>
      </c>
      <c r="D17" s="57">
        <v>2.6</v>
      </c>
      <c r="E17" s="57">
        <v>2.6</v>
      </c>
      <c r="F17" s="8"/>
      <c r="G17" s="8">
        <f t="shared" si="0"/>
        <v>2.6</v>
      </c>
      <c r="H17" s="8"/>
    </row>
    <row r="18" spans="1:8" x14ac:dyDescent="0.2">
      <c r="A18" s="4">
        <v>2</v>
      </c>
      <c r="B18" s="4" t="s">
        <v>42</v>
      </c>
      <c r="C18" s="10">
        <v>825</v>
      </c>
      <c r="D18" s="57">
        <v>2.1</v>
      </c>
      <c r="E18" s="57">
        <v>2.1</v>
      </c>
      <c r="F18" s="8"/>
      <c r="G18" s="8">
        <f t="shared" si="0"/>
        <v>2.1</v>
      </c>
      <c r="H18" s="8"/>
    </row>
    <row r="19" spans="1:8" x14ac:dyDescent="0.2">
      <c r="A19" s="4">
        <v>2</v>
      </c>
      <c r="B19" s="4" t="s">
        <v>42</v>
      </c>
      <c r="C19" s="10">
        <v>826</v>
      </c>
      <c r="D19" s="57">
        <v>2.2000000000000002</v>
      </c>
      <c r="E19" s="57">
        <v>2.2000000000000002</v>
      </c>
      <c r="F19" s="8"/>
      <c r="G19" s="8">
        <f t="shared" si="0"/>
        <v>2.2000000000000002</v>
      </c>
      <c r="H19" s="8"/>
    </row>
    <row r="20" spans="1:8" x14ac:dyDescent="0.2">
      <c r="A20" s="4">
        <v>2</v>
      </c>
      <c r="B20" s="4" t="s">
        <v>42</v>
      </c>
      <c r="C20" s="10">
        <v>828</v>
      </c>
      <c r="D20" s="57">
        <v>1.6</v>
      </c>
      <c r="E20" s="57">
        <v>1.6</v>
      </c>
      <c r="F20" s="8"/>
      <c r="G20" s="8">
        <f t="shared" si="0"/>
        <v>1.6</v>
      </c>
      <c r="H20" s="8"/>
    </row>
    <row r="21" spans="1:8" x14ac:dyDescent="0.2">
      <c r="A21" s="4">
        <v>2</v>
      </c>
      <c r="B21" s="4" t="s">
        <v>42</v>
      </c>
      <c r="C21" s="10">
        <v>829</v>
      </c>
      <c r="D21" s="57">
        <v>2</v>
      </c>
      <c r="E21" s="57">
        <v>2</v>
      </c>
      <c r="F21" s="8"/>
      <c r="G21" s="8">
        <f t="shared" si="0"/>
        <v>2</v>
      </c>
      <c r="H21" s="8"/>
    </row>
    <row r="22" spans="1:8" x14ac:dyDescent="0.2">
      <c r="A22" s="4">
        <v>2</v>
      </c>
      <c r="B22" s="4" t="s">
        <v>42</v>
      </c>
      <c r="C22" s="10">
        <v>832</v>
      </c>
      <c r="D22" s="57">
        <v>2.2999999999999998</v>
      </c>
      <c r="E22" s="57">
        <v>2.2999999999999998</v>
      </c>
      <c r="F22" s="8"/>
      <c r="G22" s="8">
        <f t="shared" si="0"/>
        <v>2.2999999999999998</v>
      </c>
      <c r="H22" s="8"/>
    </row>
    <row r="23" spans="1:8" x14ac:dyDescent="0.2">
      <c r="A23" s="4">
        <v>2</v>
      </c>
      <c r="B23" s="4" t="s">
        <v>42</v>
      </c>
      <c r="C23" s="10">
        <v>836</v>
      </c>
      <c r="D23" s="57">
        <v>2.5</v>
      </c>
      <c r="E23" s="57">
        <v>2.5</v>
      </c>
      <c r="F23" s="8"/>
      <c r="G23" s="8">
        <f t="shared" si="0"/>
        <v>2.5</v>
      </c>
      <c r="H23" s="8"/>
    </row>
    <row r="24" spans="1:8" x14ac:dyDescent="0.2">
      <c r="A24" s="4">
        <v>2</v>
      </c>
      <c r="B24" s="4" t="s">
        <v>42</v>
      </c>
      <c r="C24" s="10">
        <v>839</v>
      </c>
      <c r="D24" s="57">
        <v>1.9</v>
      </c>
      <c r="E24" s="57">
        <v>1.9</v>
      </c>
      <c r="F24" s="8"/>
      <c r="G24" s="8">
        <f t="shared" si="0"/>
        <v>1.9</v>
      </c>
      <c r="H24" s="8"/>
    </row>
    <row r="25" spans="1:8" x14ac:dyDescent="0.2">
      <c r="A25" s="4">
        <v>2</v>
      </c>
      <c r="B25" s="4" t="s">
        <v>42</v>
      </c>
      <c r="C25" s="10">
        <v>840</v>
      </c>
      <c r="D25" s="57">
        <v>1.8</v>
      </c>
      <c r="E25" s="57">
        <v>1.9</v>
      </c>
      <c r="F25" s="8"/>
      <c r="G25" s="8">
        <f t="shared" si="0"/>
        <v>1.85</v>
      </c>
      <c r="H25" s="8"/>
    </row>
    <row r="26" spans="1:8" x14ac:dyDescent="0.2">
      <c r="A26" s="4">
        <v>2</v>
      </c>
      <c r="B26" s="4" t="s">
        <v>42</v>
      </c>
      <c r="C26" s="10">
        <v>841</v>
      </c>
      <c r="D26" s="57">
        <v>1.9</v>
      </c>
      <c r="E26" s="57">
        <v>1.9</v>
      </c>
      <c r="F26" s="8"/>
      <c r="G26" s="8">
        <f t="shared" si="0"/>
        <v>1.9</v>
      </c>
      <c r="H26" s="8"/>
    </row>
    <row r="27" spans="1:8" x14ac:dyDescent="0.2">
      <c r="A27" s="4">
        <v>2</v>
      </c>
      <c r="B27" s="4" t="s">
        <v>42</v>
      </c>
      <c r="C27" s="10">
        <v>843</v>
      </c>
      <c r="D27" s="57">
        <v>2.2000000000000002</v>
      </c>
      <c r="E27" s="57">
        <v>2.2000000000000002</v>
      </c>
      <c r="F27" s="8"/>
      <c r="G27" s="8">
        <f t="shared" si="0"/>
        <v>2.2000000000000002</v>
      </c>
      <c r="H27" s="8"/>
    </row>
    <row r="28" spans="1:8" x14ac:dyDescent="0.2">
      <c r="A28" s="4">
        <v>2</v>
      </c>
      <c r="B28" s="4" t="s">
        <v>42</v>
      </c>
      <c r="C28" s="10">
        <v>850</v>
      </c>
      <c r="D28" s="57">
        <v>2</v>
      </c>
      <c r="E28" s="57">
        <v>2.1</v>
      </c>
      <c r="F28" s="8"/>
      <c r="G28" s="8">
        <f t="shared" si="0"/>
        <v>2.0499999999999998</v>
      </c>
      <c r="H28" s="8"/>
    </row>
    <row r="29" spans="1:8" x14ac:dyDescent="0.2">
      <c r="A29" s="4">
        <v>2</v>
      </c>
      <c r="B29" s="4" t="s">
        <v>42</v>
      </c>
      <c r="C29" s="10">
        <v>852</v>
      </c>
      <c r="D29" s="57">
        <v>1.6</v>
      </c>
      <c r="E29" s="57">
        <v>1.6</v>
      </c>
      <c r="F29" s="8"/>
      <c r="G29" s="8">
        <f t="shared" si="0"/>
        <v>1.6</v>
      </c>
      <c r="H29" s="8"/>
    </row>
    <row r="30" spans="1:8" x14ac:dyDescent="0.2">
      <c r="A30" s="4">
        <v>2</v>
      </c>
      <c r="B30" s="4" t="s">
        <v>42</v>
      </c>
      <c r="C30" s="10">
        <v>854</v>
      </c>
      <c r="D30" s="57">
        <v>1.8</v>
      </c>
      <c r="E30" s="57">
        <v>1.9</v>
      </c>
      <c r="F30" s="8"/>
      <c r="G30" s="8">
        <f t="shared" si="0"/>
        <v>1.85</v>
      </c>
      <c r="H30" s="8"/>
    </row>
    <row r="31" spans="1:8" x14ac:dyDescent="0.2">
      <c r="A31" s="4">
        <v>2</v>
      </c>
      <c r="B31" s="4" t="s">
        <v>42</v>
      </c>
      <c r="C31" s="10">
        <v>855</v>
      </c>
      <c r="D31" s="57">
        <v>2.2000000000000002</v>
      </c>
      <c r="E31" s="57">
        <v>2.2000000000000002</v>
      </c>
      <c r="F31" s="8"/>
      <c r="G31" s="8">
        <f t="shared" si="0"/>
        <v>2.2000000000000002</v>
      </c>
      <c r="H31" s="8"/>
    </row>
    <row r="32" spans="1:8" x14ac:dyDescent="0.2">
      <c r="A32" s="4">
        <v>2</v>
      </c>
      <c r="B32" s="4" t="s">
        <v>42</v>
      </c>
      <c r="C32" s="10">
        <v>857</v>
      </c>
      <c r="D32" s="57">
        <v>2.1</v>
      </c>
      <c r="E32" s="57">
        <v>2.2000000000000002</v>
      </c>
      <c r="F32" s="8"/>
      <c r="G32" s="8">
        <f t="shared" si="0"/>
        <v>2.15</v>
      </c>
      <c r="H32" s="8"/>
    </row>
    <row r="33" spans="1:8" x14ac:dyDescent="0.2">
      <c r="A33" s="4">
        <v>2</v>
      </c>
      <c r="B33" s="4" t="s">
        <v>42</v>
      </c>
      <c r="C33" s="10">
        <v>858</v>
      </c>
      <c r="D33" s="57">
        <v>2.9</v>
      </c>
      <c r="E33" s="57">
        <v>2.8</v>
      </c>
      <c r="F33" s="8"/>
      <c r="G33" s="8">
        <f t="shared" si="0"/>
        <v>2.85</v>
      </c>
      <c r="H33" s="8"/>
    </row>
    <row r="34" spans="1:8" x14ac:dyDescent="0.2">
      <c r="A34" s="4">
        <v>2</v>
      </c>
      <c r="B34" s="4" t="s">
        <v>42</v>
      </c>
      <c r="C34" s="10">
        <v>870</v>
      </c>
      <c r="D34" s="57">
        <v>2.4</v>
      </c>
      <c r="E34" s="57">
        <v>2.5</v>
      </c>
      <c r="F34" s="8"/>
      <c r="G34" s="8">
        <f t="shared" si="0"/>
        <v>2.4500000000000002</v>
      </c>
      <c r="H34" s="8"/>
    </row>
    <row r="35" spans="1:8" x14ac:dyDescent="0.2">
      <c r="A35" s="4">
        <v>2</v>
      </c>
      <c r="B35" s="4" t="s">
        <v>42</v>
      </c>
      <c r="C35" s="10">
        <v>875</v>
      </c>
      <c r="D35" s="57">
        <v>2.2999999999999998</v>
      </c>
      <c r="E35" s="57">
        <v>2.2999999999999998</v>
      </c>
      <c r="F35" s="8"/>
      <c r="G35" s="8">
        <f t="shared" si="0"/>
        <v>2.2999999999999998</v>
      </c>
      <c r="H35" s="8"/>
    </row>
    <row r="36" spans="1:8" x14ac:dyDescent="0.2">
      <c r="A36" s="4">
        <v>2</v>
      </c>
      <c r="B36" s="4" t="s">
        <v>42</v>
      </c>
      <c r="C36" s="10">
        <v>880</v>
      </c>
      <c r="D36" s="57">
        <v>2.5</v>
      </c>
      <c r="E36" s="57">
        <v>2.5</v>
      </c>
      <c r="F36" s="8"/>
      <c r="G36" s="8">
        <f t="shared" si="0"/>
        <v>2.5</v>
      </c>
      <c r="H36" s="8"/>
    </row>
    <row r="37" spans="1:8" x14ac:dyDescent="0.2">
      <c r="A37" s="4">
        <v>2</v>
      </c>
      <c r="B37" s="4" t="s">
        <v>42</v>
      </c>
      <c r="C37" s="10">
        <v>883</v>
      </c>
      <c r="D37" s="57">
        <v>1.8</v>
      </c>
      <c r="E37" s="57">
        <v>1.8</v>
      </c>
      <c r="F37" s="8"/>
      <c r="G37" s="8">
        <f t="shared" si="0"/>
        <v>1.8</v>
      </c>
      <c r="H37" s="8"/>
    </row>
    <row r="38" spans="1:8" x14ac:dyDescent="0.2">
      <c r="A38" s="4">
        <v>2</v>
      </c>
      <c r="B38" s="4" t="s">
        <v>42</v>
      </c>
      <c r="C38" s="10">
        <v>884</v>
      </c>
      <c r="D38" s="57">
        <v>1.7</v>
      </c>
      <c r="E38" s="57">
        <v>1.7</v>
      </c>
      <c r="F38" s="8"/>
      <c r="G38" s="8">
        <f t="shared" si="0"/>
        <v>1.7</v>
      </c>
      <c r="H38" s="8"/>
    </row>
    <row r="39" spans="1:8" ht="16" thickBot="1" x14ac:dyDescent="0.25">
      <c r="A39" s="5">
        <v>2</v>
      </c>
      <c r="B39" s="5" t="s">
        <v>42</v>
      </c>
      <c r="C39" s="11">
        <v>886</v>
      </c>
      <c r="D39" s="57">
        <v>2.4</v>
      </c>
      <c r="E39" s="57">
        <v>2.5</v>
      </c>
      <c r="F39" s="8"/>
      <c r="G39" s="8">
        <f t="shared" si="0"/>
        <v>2.4500000000000002</v>
      </c>
      <c r="H39" s="8"/>
    </row>
    <row r="40" spans="1:8" x14ac:dyDescent="0.2">
      <c r="A40" s="19">
        <v>3</v>
      </c>
      <c r="B40" s="20" t="s">
        <v>74</v>
      </c>
      <c r="C40" s="21">
        <v>802</v>
      </c>
      <c r="D40" s="57">
        <v>1.9</v>
      </c>
      <c r="E40" s="57">
        <v>1.9</v>
      </c>
      <c r="F40" s="8"/>
      <c r="G40" s="8">
        <f t="shared" si="0"/>
        <v>1.9</v>
      </c>
      <c r="H40" s="8"/>
    </row>
    <row r="41" spans="1:8" x14ac:dyDescent="0.2">
      <c r="A41" s="22">
        <v>3</v>
      </c>
      <c r="B41" s="23" t="s">
        <v>74</v>
      </c>
      <c r="C41" s="24">
        <v>803</v>
      </c>
      <c r="D41" s="57">
        <v>2.2000000000000002</v>
      </c>
      <c r="E41" s="57">
        <v>2.2000000000000002</v>
      </c>
      <c r="F41" s="8"/>
      <c r="G41" s="8">
        <f t="shared" si="0"/>
        <v>2.2000000000000002</v>
      </c>
      <c r="H41" s="8"/>
    </row>
    <row r="42" spans="1:8" x14ac:dyDescent="0.2">
      <c r="A42" s="22">
        <v>3</v>
      </c>
      <c r="B42" s="23" t="s">
        <v>74</v>
      </c>
      <c r="C42" s="24">
        <v>808</v>
      </c>
      <c r="D42" s="57">
        <v>1.9</v>
      </c>
      <c r="E42" s="57">
        <v>1.9</v>
      </c>
      <c r="F42" s="8"/>
      <c r="G42" s="8">
        <f t="shared" si="0"/>
        <v>1.9</v>
      </c>
      <c r="H42" s="8"/>
    </row>
    <row r="43" spans="1:8" x14ac:dyDescent="0.2">
      <c r="A43" s="22">
        <v>3</v>
      </c>
      <c r="B43" s="23" t="s">
        <v>74</v>
      </c>
      <c r="C43" s="24">
        <v>811</v>
      </c>
      <c r="D43" s="57">
        <v>2.5</v>
      </c>
      <c r="E43" s="57">
        <v>2.5</v>
      </c>
      <c r="F43" s="8"/>
      <c r="G43" s="8">
        <f t="shared" si="0"/>
        <v>2.5</v>
      </c>
      <c r="H43" s="8"/>
    </row>
    <row r="44" spans="1:8" x14ac:dyDescent="0.2">
      <c r="A44" s="22">
        <v>3</v>
      </c>
      <c r="B44" s="23" t="s">
        <v>74</v>
      </c>
      <c r="C44" s="24">
        <v>812</v>
      </c>
      <c r="D44" s="57">
        <v>2.2000000000000002</v>
      </c>
      <c r="E44" s="57">
        <v>2.1</v>
      </c>
      <c r="F44" s="8"/>
      <c r="G44" s="8">
        <f t="shared" si="0"/>
        <v>2.15</v>
      </c>
      <c r="H44" s="8"/>
    </row>
    <row r="45" spans="1:8" x14ac:dyDescent="0.2">
      <c r="A45" s="22">
        <v>3</v>
      </c>
      <c r="B45" s="23" t="s">
        <v>74</v>
      </c>
      <c r="C45" s="24">
        <v>815</v>
      </c>
      <c r="D45" s="57">
        <v>2.7</v>
      </c>
      <c r="E45" s="57">
        <v>2.7</v>
      </c>
      <c r="F45" s="8"/>
      <c r="G45" s="8">
        <f t="shared" si="0"/>
        <v>2.7</v>
      </c>
      <c r="H45" s="8"/>
    </row>
    <row r="46" spans="1:8" x14ac:dyDescent="0.2">
      <c r="A46" s="22">
        <v>3</v>
      </c>
      <c r="B46" s="23" t="s">
        <v>74</v>
      </c>
      <c r="C46" s="24">
        <v>816</v>
      </c>
      <c r="D46" s="57">
        <v>2.5</v>
      </c>
      <c r="E46" s="57">
        <v>2.5</v>
      </c>
      <c r="F46" s="8"/>
      <c r="G46" s="8">
        <f t="shared" si="0"/>
        <v>2.5</v>
      </c>
      <c r="H46" s="8"/>
    </row>
    <row r="47" spans="1:8" x14ac:dyDescent="0.2">
      <c r="A47" s="22">
        <v>3</v>
      </c>
      <c r="B47" s="23" t="s">
        <v>74</v>
      </c>
      <c r="C47" s="24">
        <v>817</v>
      </c>
      <c r="D47" s="57">
        <v>1.8</v>
      </c>
      <c r="E47" s="57">
        <v>1.8</v>
      </c>
      <c r="F47" s="8"/>
      <c r="G47" s="8">
        <f t="shared" si="0"/>
        <v>1.8</v>
      </c>
      <c r="H47" s="8"/>
    </row>
    <row r="48" spans="1:8" x14ac:dyDescent="0.2">
      <c r="A48" s="22">
        <v>3</v>
      </c>
      <c r="B48" s="23" t="s">
        <v>74</v>
      </c>
      <c r="C48" s="24">
        <v>818</v>
      </c>
      <c r="D48" s="57">
        <v>2.2000000000000002</v>
      </c>
      <c r="E48" s="57">
        <v>2.2999999999999998</v>
      </c>
      <c r="F48" s="8"/>
      <c r="G48" s="8">
        <f t="shared" si="0"/>
        <v>2.25</v>
      </c>
      <c r="H48" s="8"/>
    </row>
    <row r="49" spans="1:8" x14ac:dyDescent="0.2">
      <c r="A49" s="22">
        <v>3</v>
      </c>
      <c r="B49" s="23" t="s">
        <v>74</v>
      </c>
      <c r="C49" s="24">
        <v>833</v>
      </c>
      <c r="D49" s="57">
        <v>1.9</v>
      </c>
      <c r="E49" s="57">
        <v>1.9</v>
      </c>
      <c r="F49" s="8"/>
      <c r="G49" s="8">
        <f t="shared" si="0"/>
        <v>1.9</v>
      </c>
      <c r="H49" s="8"/>
    </row>
    <row r="50" spans="1:8" x14ac:dyDescent="0.2">
      <c r="A50" s="22">
        <v>3</v>
      </c>
      <c r="B50" s="23" t="s">
        <v>74</v>
      </c>
      <c r="C50" s="24">
        <v>834</v>
      </c>
      <c r="D50" s="57">
        <v>1.9</v>
      </c>
      <c r="E50" s="57">
        <v>1.9</v>
      </c>
      <c r="F50" s="8"/>
      <c r="G50" s="8">
        <f t="shared" si="0"/>
        <v>1.9</v>
      </c>
      <c r="H50" s="8"/>
    </row>
    <row r="51" spans="1:8" x14ac:dyDescent="0.2">
      <c r="A51" s="22">
        <v>3</v>
      </c>
      <c r="B51" s="23" t="s">
        <v>74</v>
      </c>
      <c r="C51" s="24">
        <v>835</v>
      </c>
      <c r="D51" s="57">
        <v>2.2999999999999998</v>
      </c>
      <c r="E51" s="57">
        <v>2.2999999999999998</v>
      </c>
      <c r="F51" s="8"/>
      <c r="G51" s="8">
        <f t="shared" si="0"/>
        <v>2.2999999999999998</v>
      </c>
      <c r="H51" s="8"/>
    </row>
    <row r="52" spans="1:8" x14ac:dyDescent="0.2">
      <c r="A52" s="22">
        <v>3</v>
      </c>
      <c r="B52" s="23" t="s">
        <v>74</v>
      </c>
      <c r="C52" s="24">
        <v>844</v>
      </c>
      <c r="D52" s="57">
        <v>1.8</v>
      </c>
      <c r="E52" s="57">
        <v>1.8</v>
      </c>
      <c r="F52" s="8"/>
      <c r="G52" s="8">
        <f t="shared" si="0"/>
        <v>1.8</v>
      </c>
      <c r="H52" s="8"/>
    </row>
    <row r="53" spans="1:8" x14ac:dyDescent="0.2">
      <c r="A53" s="22">
        <v>3</v>
      </c>
      <c r="B53" s="23" t="s">
        <v>74</v>
      </c>
      <c r="C53" s="24">
        <v>845</v>
      </c>
      <c r="D53" s="57">
        <v>1.9</v>
      </c>
      <c r="E53" s="57">
        <v>1.9</v>
      </c>
      <c r="F53" s="8"/>
      <c r="G53" s="8">
        <f t="shared" si="0"/>
        <v>1.9</v>
      </c>
      <c r="H53" s="8"/>
    </row>
    <row r="54" spans="1:8" x14ac:dyDescent="0.2">
      <c r="A54" s="22">
        <v>3</v>
      </c>
      <c r="B54" s="23" t="s">
        <v>74</v>
      </c>
      <c r="C54" s="24">
        <v>846</v>
      </c>
      <c r="D54" s="57">
        <v>2.2999999999999998</v>
      </c>
      <c r="E54" s="57">
        <v>2.2999999999999998</v>
      </c>
      <c r="F54" s="8"/>
      <c r="G54" s="8">
        <f t="shared" si="0"/>
        <v>2.2999999999999998</v>
      </c>
      <c r="H54" s="8"/>
    </row>
    <row r="55" spans="1:8" x14ac:dyDescent="0.2">
      <c r="A55" s="22">
        <v>3</v>
      </c>
      <c r="B55" s="23" t="s">
        <v>74</v>
      </c>
      <c r="C55" s="24">
        <v>849</v>
      </c>
      <c r="D55" s="57">
        <v>2</v>
      </c>
      <c r="E55" s="57">
        <v>2</v>
      </c>
      <c r="F55" s="8"/>
      <c r="G55" s="8">
        <f t="shared" si="0"/>
        <v>2</v>
      </c>
      <c r="H55" s="8"/>
    </row>
    <row r="56" spans="1:8" x14ac:dyDescent="0.2">
      <c r="A56" s="22">
        <v>3</v>
      </c>
      <c r="B56" s="23" t="s">
        <v>74</v>
      </c>
      <c r="C56" s="24">
        <v>856</v>
      </c>
      <c r="D56" s="57">
        <v>1.9</v>
      </c>
      <c r="E56" s="57">
        <v>1.8</v>
      </c>
      <c r="F56" s="8"/>
      <c r="G56" s="8">
        <f t="shared" si="0"/>
        <v>1.85</v>
      </c>
      <c r="H56" s="8"/>
    </row>
    <row r="57" spans="1:8" x14ac:dyDescent="0.2">
      <c r="A57" s="22">
        <v>3</v>
      </c>
      <c r="B57" s="23" t="s">
        <v>74</v>
      </c>
      <c r="C57" s="24">
        <v>859</v>
      </c>
      <c r="D57" s="57">
        <v>2.2999999999999998</v>
      </c>
      <c r="E57" s="57">
        <v>2.2999999999999998</v>
      </c>
      <c r="F57" s="8"/>
      <c r="G57" s="8">
        <f t="shared" si="0"/>
        <v>2.2999999999999998</v>
      </c>
      <c r="H57" s="8"/>
    </row>
    <row r="58" spans="1:8" x14ac:dyDescent="0.2">
      <c r="A58" s="22">
        <v>3</v>
      </c>
      <c r="B58" s="23" t="s">
        <v>74</v>
      </c>
      <c r="C58" s="24">
        <v>861</v>
      </c>
      <c r="D58" s="57">
        <v>1.8</v>
      </c>
      <c r="E58" s="57">
        <v>1.8</v>
      </c>
      <c r="F58" s="8"/>
      <c r="G58" s="8">
        <f t="shared" si="0"/>
        <v>1.8</v>
      </c>
      <c r="H58" s="8"/>
    </row>
    <row r="59" spans="1:8" x14ac:dyDescent="0.2">
      <c r="A59" s="22">
        <v>3</v>
      </c>
      <c r="B59" s="23" t="s">
        <v>74</v>
      </c>
      <c r="C59" s="24">
        <v>862</v>
      </c>
      <c r="D59" s="57">
        <v>1.7</v>
      </c>
      <c r="E59" s="57">
        <v>1.7</v>
      </c>
      <c r="F59" s="8"/>
      <c r="G59" s="8">
        <f t="shared" si="0"/>
        <v>1.7</v>
      </c>
      <c r="H59" s="8"/>
    </row>
    <row r="60" spans="1:8" x14ac:dyDescent="0.2">
      <c r="A60" s="22">
        <v>3</v>
      </c>
      <c r="B60" s="23" t="s">
        <v>74</v>
      </c>
      <c r="C60" s="24">
        <v>865</v>
      </c>
      <c r="D60" s="57">
        <v>1.7</v>
      </c>
      <c r="E60" s="57">
        <v>1.6</v>
      </c>
      <c r="F60" s="8"/>
      <c r="G60" s="8">
        <f t="shared" si="0"/>
        <v>1.65</v>
      </c>
      <c r="H60" s="8"/>
    </row>
    <row r="61" spans="1:8" x14ac:dyDescent="0.2">
      <c r="A61" s="22">
        <v>3</v>
      </c>
      <c r="B61" s="23" t="s">
        <v>74</v>
      </c>
      <c r="C61" s="24">
        <v>866</v>
      </c>
      <c r="D61" s="57">
        <v>1.8</v>
      </c>
      <c r="E61" s="57">
        <v>1.8</v>
      </c>
      <c r="F61" s="8"/>
      <c r="G61" s="8">
        <f t="shared" si="0"/>
        <v>1.8</v>
      </c>
      <c r="H61" s="8"/>
    </row>
    <row r="62" spans="1:8" x14ac:dyDescent="0.2">
      <c r="A62" s="22">
        <v>3</v>
      </c>
      <c r="B62" s="23" t="s">
        <v>74</v>
      </c>
      <c r="C62" s="24">
        <v>871</v>
      </c>
      <c r="D62" s="57">
        <v>1.9</v>
      </c>
      <c r="E62" s="57">
        <v>1.9</v>
      </c>
      <c r="F62" s="8"/>
      <c r="G62" s="8">
        <f t="shared" si="0"/>
        <v>1.9</v>
      </c>
      <c r="H62" s="8"/>
    </row>
    <row r="63" spans="1:8" x14ac:dyDescent="0.2">
      <c r="A63" s="22">
        <v>3</v>
      </c>
      <c r="B63" s="23" t="s">
        <v>74</v>
      </c>
      <c r="C63" s="24">
        <v>873</v>
      </c>
      <c r="D63" s="57">
        <v>1.6</v>
      </c>
      <c r="E63" s="57">
        <v>1.6</v>
      </c>
      <c r="F63" s="8"/>
      <c r="G63" s="8">
        <f t="shared" si="0"/>
        <v>1.6</v>
      </c>
      <c r="H63" s="8"/>
    </row>
    <row r="64" spans="1:8" x14ac:dyDescent="0.2">
      <c r="A64" s="22">
        <v>3</v>
      </c>
      <c r="B64" s="23" t="s">
        <v>74</v>
      </c>
      <c r="C64" s="24">
        <v>874</v>
      </c>
      <c r="D64" s="57">
        <v>1.8</v>
      </c>
      <c r="E64" s="57">
        <v>1.9</v>
      </c>
      <c r="F64" s="8"/>
      <c r="G64" s="8">
        <f t="shared" si="0"/>
        <v>1.85</v>
      </c>
      <c r="H64" s="8"/>
    </row>
    <row r="65" spans="1:8" x14ac:dyDescent="0.2">
      <c r="A65" s="22">
        <v>3</v>
      </c>
      <c r="B65" s="23" t="s">
        <v>74</v>
      </c>
      <c r="C65" s="24">
        <v>877</v>
      </c>
      <c r="D65" s="57">
        <v>1.5</v>
      </c>
      <c r="E65" s="57">
        <v>1.4</v>
      </c>
      <c r="F65" s="8"/>
      <c r="G65" s="8">
        <f t="shared" si="0"/>
        <v>1.45</v>
      </c>
      <c r="H65" s="8"/>
    </row>
    <row r="66" spans="1:8" x14ac:dyDescent="0.2">
      <c r="A66" s="22">
        <v>3</v>
      </c>
      <c r="B66" s="23" t="s">
        <v>74</v>
      </c>
      <c r="C66" s="24">
        <v>879</v>
      </c>
      <c r="D66" s="57">
        <v>2.2000000000000002</v>
      </c>
      <c r="E66" s="57">
        <v>2.2000000000000002</v>
      </c>
      <c r="F66" s="8"/>
      <c r="G66" s="8">
        <f t="shared" si="0"/>
        <v>2.2000000000000002</v>
      </c>
      <c r="H66" s="8"/>
    </row>
    <row r="67" spans="1:8" x14ac:dyDescent="0.2">
      <c r="A67" s="22">
        <v>3</v>
      </c>
      <c r="B67" s="23" t="s">
        <v>74</v>
      </c>
      <c r="C67" s="24">
        <v>887</v>
      </c>
      <c r="D67" s="57">
        <v>2.5</v>
      </c>
      <c r="E67" s="57">
        <v>2.6</v>
      </c>
      <c r="F67" s="8"/>
      <c r="G67" s="8">
        <f t="shared" si="0"/>
        <v>2.5499999999999998</v>
      </c>
      <c r="H67" s="8"/>
    </row>
    <row r="68" spans="1:8" x14ac:dyDescent="0.2">
      <c r="A68" s="22">
        <v>3</v>
      </c>
      <c r="B68" s="23" t="s">
        <v>74</v>
      </c>
      <c r="C68" s="24">
        <v>888</v>
      </c>
      <c r="D68" s="57">
        <v>1.7</v>
      </c>
      <c r="E68" s="57">
        <v>1.8</v>
      </c>
      <c r="F68" s="8"/>
      <c r="G68" s="8">
        <f t="shared" si="0"/>
        <v>1.75</v>
      </c>
      <c r="H68" s="8"/>
    </row>
    <row r="69" spans="1:8" x14ac:dyDescent="0.2">
      <c r="A69" s="13">
        <v>4</v>
      </c>
      <c r="B69" s="14" t="s">
        <v>104</v>
      </c>
      <c r="C69" s="15" t="s">
        <v>105</v>
      </c>
      <c r="D69" s="57">
        <v>2.7</v>
      </c>
      <c r="E69" s="57">
        <v>2.8</v>
      </c>
      <c r="F69" s="8"/>
      <c r="G69" s="8">
        <f t="shared" si="0"/>
        <v>2.75</v>
      </c>
      <c r="H69" s="8"/>
    </row>
    <row r="70" spans="1:8" x14ac:dyDescent="0.2">
      <c r="A70" s="16">
        <v>4</v>
      </c>
      <c r="B70" s="14" t="s">
        <v>104</v>
      </c>
      <c r="C70" s="18" t="s">
        <v>106</v>
      </c>
      <c r="D70" s="57">
        <v>2.1</v>
      </c>
      <c r="E70" s="57">
        <v>2</v>
      </c>
      <c r="F70" s="8"/>
      <c r="G70" s="8">
        <f t="shared" si="0"/>
        <v>2.0499999999999998</v>
      </c>
      <c r="H70" s="8"/>
    </row>
    <row r="71" spans="1:8" x14ac:dyDescent="0.2">
      <c r="A71" s="16">
        <v>4</v>
      </c>
      <c r="B71" s="14" t="s">
        <v>104</v>
      </c>
      <c r="C71" s="18" t="s">
        <v>107</v>
      </c>
      <c r="D71" s="57">
        <v>3.1</v>
      </c>
      <c r="E71" s="57">
        <v>3.1</v>
      </c>
      <c r="F71" s="8" t="s">
        <v>191</v>
      </c>
      <c r="G71" s="8">
        <f t="shared" si="0"/>
        <v>3.1</v>
      </c>
      <c r="H71" s="8"/>
    </row>
    <row r="72" spans="1:8" x14ac:dyDescent="0.2">
      <c r="A72" s="16">
        <v>4</v>
      </c>
      <c r="B72" s="14" t="s">
        <v>104</v>
      </c>
      <c r="C72" s="18" t="s">
        <v>108</v>
      </c>
      <c r="D72" s="57">
        <v>2.4</v>
      </c>
      <c r="E72" s="57">
        <v>2.4</v>
      </c>
      <c r="F72" s="8"/>
      <c r="G72" s="8">
        <f t="shared" si="0"/>
        <v>2.4</v>
      </c>
      <c r="H72" s="8"/>
    </row>
    <row r="73" spans="1:8" x14ac:dyDescent="0.2">
      <c r="A73" s="16">
        <v>4</v>
      </c>
      <c r="B73" s="14" t="s">
        <v>104</v>
      </c>
      <c r="C73" s="18" t="s">
        <v>109</v>
      </c>
      <c r="D73" s="57">
        <v>2.6</v>
      </c>
      <c r="E73" s="57">
        <v>2.6</v>
      </c>
      <c r="F73" s="8" t="s">
        <v>191</v>
      </c>
      <c r="G73" s="8">
        <f t="shared" si="0"/>
        <v>2.6</v>
      </c>
      <c r="H73" s="8"/>
    </row>
    <row r="74" spans="1:8" x14ac:dyDescent="0.2">
      <c r="A74" s="16">
        <v>4</v>
      </c>
      <c r="B74" s="14" t="s">
        <v>104</v>
      </c>
      <c r="C74" s="18" t="s">
        <v>110</v>
      </c>
      <c r="D74" s="57">
        <v>2.2000000000000002</v>
      </c>
      <c r="E74" s="57">
        <v>2.2000000000000002</v>
      </c>
      <c r="F74" s="8" t="s">
        <v>191</v>
      </c>
      <c r="G74" s="8">
        <f t="shared" ref="G74:G102" si="1">ROUND(AVERAGE(D74:F74), 2)</f>
        <v>2.2000000000000002</v>
      </c>
      <c r="H74" s="8"/>
    </row>
    <row r="75" spans="1:8" x14ac:dyDescent="0.2">
      <c r="A75" s="16">
        <v>4</v>
      </c>
      <c r="B75" s="14" t="s">
        <v>104</v>
      </c>
      <c r="C75" s="18" t="s">
        <v>111</v>
      </c>
      <c r="D75" s="57">
        <v>2.4</v>
      </c>
      <c r="E75" s="57">
        <v>2.4</v>
      </c>
      <c r="F75" s="8"/>
      <c r="G75" s="8">
        <f t="shared" si="1"/>
        <v>2.4</v>
      </c>
      <c r="H75" s="8"/>
    </row>
    <row r="76" spans="1:8" x14ac:dyDescent="0.2">
      <c r="A76" s="16">
        <v>4</v>
      </c>
      <c r="B76" s="14" t="s">
        <v>104</v>
      </c>
      <c r="C76" s="18" t="s">
        <v>112</v>
      </c>
      <c r="D76" s="57">
        <v>2.5</v>
      </c>
      <c r="E76" s="57">
        <v>2.5</v>
      </c>
      <c r="F76" s="8"/>
      <c r="G76" s="8">
        <f t="shared" si="1"/>
        <v>2.5</v>
      </c>
      <c r="H76" s="8"/>
    </row>
    <row r="77" spans="1:8" x14ac:dyDescent="0.2">
      <c r="A77" s="16">
        <v>4</v>
      </c>
      <c r="B77" s="14" t="s">
        <v>104</v>
      </c>
      <c r="C77" s="18" t="s">
        <v>113</v>
      </c>
      <c r="D77" s="57">
        <v>2.8</v>
      </c>
      <c r="E77" s="57">
        <v>2.8</v>
      </c>
      <c r="F77" s="8"/>
      <c r="G77" s="8">
        <f t="shared" si="1"/>
        <v>2.8</v>
      </c>
      <c r="H77" s="8"/>
    </row>
    <row r="78" spans="1:8" x14ac:dyDescent="0.2">
      <c r="A78" s="16">
        <v>4</v>
      </c>
      <c r="B78" s="14" t="s">
        <v>104</v>
      </c>
      <c r="C78" s="18" t="s">
        <v>114</v>
      </c>
      <c r="D78" s="57">
        <v>2.6</v>
      </c>
      <c r="E78" s="57">
        <v>2.6</v>
      </c>
      <c r="F78" s="8"/>
      <c r="G78" s="8">
        <f t="shared" si="1"/>
        <v>2.6</v>
      </c>
      <c r="H78" s="8"/>
    </row>
    <row r="79" spans="1:8" x14ac:dyDescent="0.2">
      <c r="A79" s="16">
        <v>4</v>
      </c>
      <c r="B79" s="14" t="s">
        <v>104</v>
      </c>
      <c r="C79" s="18" t="s">
        <v>115</v>
      </c>
      <c r="D79" s="57">
        <v>2.9</v>
      </c>
      <c r="E79" s="57">
        <v>2.9</v>
      </c>
      <c r="F79" s="8" t="s">
        <v>192</v>
      </c>
      <c r="G79" s="8">
        <f t="shared" si="1"/>
        <v>2.9</v>
      </c>
      <c r="H79" s="8"/>
    </row>
    <row r="80" spans="1:8" x14ac:dyDescent="0.2">
      <c r="A80" s="16">
        <v>4</v>
      </c>
      <c r="B80" s="14" t="s">
        <v>104</v>
      </c>
      <c r="C80" s="18" t="s">
        <v>116</v>
      </c>
      <c r="D80" s="57">
        <v>2.5</v>
      </c>
      <c r="E80" s="57">
        <v>2.5</v>
      </c>
      <c r="F80" s="8" t="s">
        <v>192</v>
      </c>
      <c r="G80" s="8">
        <f t="shared" si="1"/>
        <v>2.5</v>
      </c>
      <c r="H80" s="8"/>
    </row>
    <row r="81" spans="1:8" x14ac:dyDescent="0.2">
      <c r="A81" s="16">
        <v>4</v>
      </c>
      <c r="B81" s="14" t="s">
        <v>104</v>
      </c>
      <c r="C81" s="18" t="s">
        <v>117</v>
      </c>
      <c r="D81" s="57">
        <v>2.2999999999999998</v>
      </c>
      <c r="E81" s="57">
        <v>2.4</v>
      </c>
      <c r="F81" s="8" t="s">
        <v>191</v>
      </c>
      <c r="G81" s="8">
        <f t="shared" si="1"/>
        <v>2.35</v>
      </c>
      <c r="H81" s="8"/>
    </row>
    <row r="82" spans="1:8" x14ac:dyDescent="0.2">
      <c r="A82" s="16">
        <v>4</v>
      </c>
      <c r="B82" s="14" t="s">
        <v>104</v>
      </c>
      <c r="C82" s="18" t="s">
        <v>118</v>
      </c>
      <c r="D82" s="57">
        <v>2.4</v>
      </c>
      <c r="E82" s="57">
        <v>2.2999999999999998</v>
      </c>
      <c r="F82" s="8" t="s">
        <v>192</v>
      </c>
      <c r="G82" s="8">
        <f t="shared" si="1"/>
        <v>2.35</v>
      </c>
      <c r="H82" s="8"/>
    </row>
    <row r="83" spans="1:8" x14ac:dyDescent="0.2">
      <c r="A83" s="16">
        <v>4</v>
      </c>
      <c r="B83" s="14" t="s">
        <v>104</v>
      </c>
      <c r="C83" s="18" t="s">
        <v>119</v>
      </c>
      <c r="D83" s="57">
        <v>1.5</v>
      </c>
      <c r="E83" s="57">
        <v>1.6</v>
      </c>
      <c r="F83" s="8"/>
      <c r="G83" s="8">
        <f t="shared" si="1"/>
        <v>1.55</v>
      </c>
      <c r="H83" s="8"/>
    </row>
    <row r="84" spans="1:8" x14ac:dyDescent="0.2">
      <c r="A84" s="16">
        <v>4</v>
      </c>
      <c r="B84" s="14" t="s">
        <v>104</v>
      </c>
      <c r="C84" s="18" t="s">
        <v>120</v>
      </c>
      <c r="D84" s="57">
        <v>2.5</v>
      </c>
      <c r="E84" s="57">
        <v>2.6</v>
      </c>
      <c r="F84" s="8"/>
      <c r="G84" s="8">
        <f t="shared" si="1"/>
        <v>2.5499999999999998</v>
      </c>
      <c r="H84" s="8"/>
    </row>
    <row r="85" spans="1:8" x14ac:dyDescent="0.2">
      <c r="A85" s="16">
        <v>4</v>
      </c>
      <c r="B85" s="14" t="s">
        <v>104</v>
      </c>
      <c r="C85" s="18" t="s">
        <v>121</v>
      </c>
      <c r="D85" s="57">
        <v>2.7</v>
      </c>
      <c r="E85" s="57">
        <v>2.7</v>
      </c>
      <c r="F85" s="8" t="s">
        <v>192</v>
      </c>
      <c r="G85" s="8">
        <f t="shared" si="1"/>
        <v>2.7</v>
      </c>
      <c r="H85" s="8"/>
    </row>
    <row r="86" spans="1:8" x14ac:dyDescent="0.2">
      <c r="A86" s="16">
        <v>4</v>
      </c>
      <c r="B86" s="14" t="s">
        <v>104</v>
      </c>
      <c r="C86" s="18" t="s">
        <v>122</v>
      </c>
      <c r="D86" s="57" t="s">
        <v>123</v>
      </c>
      <c r="E86" s="57" t="s">
        <v>123</v>
      </c>
      <c r="F86" s="8"/>
      <c r="G86" s="8" t="s">
        <v>123</v>
      </c>
      <c r="H86" s="8"/>
    </row>
    <row r="87" spans="1:8" x14ac:dyDescent="0.2">
      <c r="A87" s="16">
        <v>4</v>
      </c>
      <c r="B87" s="14" t="s">
        <v>104</v>
      </c>
      <c r="C87" s="18" t="s">
        <v>124</v>
      </c>
      <c r="D87" s="57">
        <v>2.1</v>
      </c>
      <c r="E87" s="57">
        <v>2.2000000000000002</v>
      </c>
      <c r="F87" s="8"/>
      <c r="G87" s="8">
        <f t="shared" si="1"/>
        <v>2.15</v>
      </c>
      <c r="H87" s="8"/>
    </row>
    <row r="88" spans="1:8" x14ac:dyDescent="0.2">
      <c r="A88" s="16">
        <v>4</v>
      </c>
      <c r="B88" s="14" t="s">
        <v>104</v>
      </c>
      <c r="C88" s="18" t="s">
        <v>125</v>
      </c>
      <c r="D88" s="57">
        <v>2.1</v>
      </c>
      <c r="E88" s="57">
        <v>2.1</v>
      </c>
      <c r="F88" s="8"/>
      <c r="G88" s="8">
        <f t="shared" si="1"/>
        <v>2.1</v>
      </c>
      <c r="H88" s="8"/>
    </row>
    <row r="89" spans="1:8" x14ac:dyDescent="0.2">
      <c r="A89" s="16">
        <v>4</v>
      </c>
      <c r="B89" s="14" t="s">
        <v>104</v>
      </c>
      <c r="C89" s="18" t="s">
        <v>126</v>
      </c>
      <c r="D89" s="57">
        <v>1.9</v>
      </c>
      <c r="E89" s="57">
        <v>1.9</v>
      </c>
      <c r="F89" s="8"/>
      <c r="G89" s="8">
        <f t="shared" si="1"/>
        <v>1.9</v>
      </c>
      <c r="H89" s="8"/>
    </row>
    <row r="90" spans="1:8" x14ac:dyDescent="0.2">
      <c r="A90" s="16">
        <v>4</v>
      </c>
      <c r="B90" s="14" t="s">
        <v>104</v>
      </c>
      <c r="C90" s="18" t="s">
        <v>127</v>
      </c>
      <c r="D90" s="57">
        <v>2</v>
      </c>
      <c r="E90" s="57">
        <v>1.9</v>
      </c>
      <c r="F90" s="8"/>
      <c r="G90" s="8">
        <f t="shared" si="1"/>
        <v>1.95</v>
      </c>
      <c r="H90" s="8"/>
    </row>
    <row r="91" spans="1:8" x14ac:dyDescent="0.2">
      <c r="A91" s="16">
        <v>4</v>
      </c>
      <c r="B91" s="14" t="s">
        <v>104</v>
      </c>
      <c r="C91" s="18" t="s">
        <v>128</v>
      </c>
      <c r="D91" s="57">
        <v>2.9</v>
      </c>
      <c r="E91" s="57">
        <v>2.9</v>
      </c>
      <c r="F91" s="8"/>
      <c r="G91" s="8">
        <f t="shared" si="1"/>
        <v>2.9</v>
      </c>
      <c r="H91" s="8"/>
    </row>
    <row r="92" spans="1:8" x14ac:dyDescent="0.2">
      <c r="A92" s="16">
        <v>4</v>
      </c>
      <c r="B92" s="14" t="s">
        <v>104</v>
      </c>
      <c r="C92" s="18" t="s">
        <v>129</v>
      </c>
      <c r="D92" s="57">
        <v>2.1</v>
      </c>
      <c r="E92" s="57">
        <v>2.1</v>
      </c>
      <c r="F92" s="8"/>
      <c r="G92" s="8">
        <f t="shared" si="1"/>
        <v>2.1</v>
      </c>
      <c r="H92" s="8"/>
    </row>
    <row r="93" spans="1:8" x14ac:dyDescent="0.2">
      <c r="A93" s="16">
        <v>4</v>
      </c>
      <c r="B93" s="14" t="s">
        <v>104</v>
      </c>
      <c r="C93" s="18" t="s">
        <v>130</v>
      </c>
      <c r="D93" s="57">
        <v>2.5</v>
      </c>
      <c r="E93" s="57">
        <v>2.4</v>
      </c>
      <c r="F93" s="8"/>
      <c r="G93" s="8">
        <f t="shared" si="1"/>
        <v>2.4500000000000002</v>
      </c>
      <c r="H93" s="8"/>
    </row>
    <row r="94" spans="1:8" x14ac:dyDescent="0.2">
      <c r="A94" s="16">
        <v>4</v>
      </c>
      <c r="B94" s="14" t="s">
        <v>104</v>
      </c>
      <c r="C94" s="18" t="s">
        <v>131</v>
      </c>
      <c r="D94" s="57">
        <v>2.8</v>
      </c>
      <c r="E94" s="57">
        <v>2.9</v>
      </c>
      <c r="F94" s="8"/>
      <c r="G94" s="8">
        <f t="shared" si="1"/>
        <v>2.85</v>
      </c>
      <c r="H94" s="8"/>
    </row>
    <row r="95" spans="1:8" x14ac:dyDescent="0.2">
      <c r="A95" s="16">
        <v>4</v>
      </c>
      <c r="B95" s="14" t="s">
        <v>104</v>
      </c>
      <c r="C95" s="18" t="s">
        <v>132</v>
      </c>
      <c r="D95" s="57">
        <v>2</v>
      </c>
      <c r="E95" s="57">
        <v>2</v>
      </c>
      <c r="F95" s="8"/>
      <c r="G95" s="8">
        <f t="shared" si="1"/>
        <v>2</v>
      </c>
      <c r="H95" s="8"/>
    </row>
    <row r="96" spans="1:8" x14ac:dyDescent="0.2">
      <c r="A96" s="16">
        <v>4</v>
      </c>
      <c r="B96" s="14" t="s">
        <v>104</v>
      </c>
      <c r="C96" s="18" t="s">
        <v>133</v>
      </c>
      <c r="D96" s="57">
        <v>2.5</v>
      </c>
      <c r="E96" s="57">
        <v>2.4</v>
      </c>
      <c r="F96" s="8"/>
      <c r="G96" s="8">
        <f t="shared" si="1"/>
        <v>2.4500000000000002</v>
      </c>
      <c r="H96" s="8"/>
    </row>
    <row r="97" spans="1:8" x14ac:dyDescent="0.2">
      <c r="A97" s="16">
        <v>4</v>
      </c>
      <c r="B97" s="14" t="s">
        <v>104</v>
      </c>
      <c r="C97" s="18" t="s">
        <v>134</v>
      </c>
      <c r="D97" s="57">
        <v>2.1</v>
      </c>
      <c r="E97" s="57">
        <v>2.1</v>
      </c>
      <c r="F97" s="8"/>
      <c r="G97" s="8">
        <f t="shared" si="1"/>
        <v>2.1</v>
      </c>
      <c r="H97" s="8"/>
    </row>
    <row r="98" spans="1:8" x14ac:dyDescent="0.2">
      <c r="A98" s="17">
        <v>4</v>
      </c>
      <c r="B98" s="17" t="s">
        <v>104</v>
      </c>
      <c r="C98" s="17" t="s">
        <v>135</v>
      </c>
      <c r="D98" s="57">
        <v>2.5</v>
      </c>
      <c r="E98" s="57">
        <v>2.5</v>
      </c>
      <c r="F98" s="8"/>
      <c r="G98" s="8">
        <f t="shared" si="1"/>
        <v>2.5</v>
      </c>
      <c r="H98" s="8"/>
    </row>
    <row r="99" spans="1:8" x14ac:dyDescent="0.2">
      <c r="A99" s="17">
        <v>4</v>
      </c>
      <c r="B99" s="17" t="s">
        <v>104</v>
      </c>
      <c r="C99" s="17" t="s">
        <v>136</v>
      </c>
      <c r="D99" s="57">
        <v>2.2999999999999998</v>
      </c>
      <c r="E99" s="57">
        <v>2.4</v>
      </c>
      <c r="F99" s="8"/>
      <c r="G99" s="8">
        <f t="shared" si="1"/>
        <v>2.35</v>
      </c>
      <c r="H99" s="8"/>
    </row>
    <row r="100" spans="1:8" x14ac:dyDescent="0.2">
      <c r="A100" s="17">
        <v>4</v>
      </c>
      <c r="B100" s="17" t="s">
        <v>104</v>
      </c>
      <c r="C100" s="17" t="s">
        <v>137</v>
      </c>
      <c r="D100" s="57">
        <v>2.8</v>
      </c>
      <c r="E100" s="57">
        <v>2.8</v>
      </c>
      <c r="F100" s="8"/>
      <c r="G100" s="8">
        <f t="shared" si="1"/>
        <v>2.8</v>
      </c>
      <c r="H100" s="8"/>
    </row>
    <row r="101" spans="1:8" x14ac:dyDescent="0.2">
      <c r="A101" s="17">
        <v>4</v>
      </c>
      <c r="B101" s="17" t="s">
        <v>104</v>
      </c>
      <c r="C101" s="17" t="s">
        <v>138</v>
      </c>
      <c r="D101" s="57">
        <v>3.2</v>
      </c>
      <c r="E101" s="57">
        <v>3.1</v>
      </c>
      <c r="F101" s="8"/>
      <c r="G101" s="8">
        <f t="shared" si="1"/>
        <v>3.15</v>
      </c>
      <c r="H101" s="8"/>
    </row>
    <row r="102" spans="1:8" x14ac:dyDescent="0.2">
      <c r="A102" s="17">
        <v>4</v>
      </c>
      <c r="B102" s="17" t="s">
        <v>104</v>
      </c>
      <c r="C102" s="17" t="s">
        <v>139</v>
      </c>
      <c r="D102" s="57">
        <v>2.2000000000000002</v>
      </c>
      <c r="E102" s="57">
        <v>2.2999999999999998</v>
      </c>
      <c r="F102" s="8"/>
      <c r="G102" s="8">
        <f t="shared" si="1"/>
        <v>2.25</v>
      </c>
      <c r="H102" s="8"/>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42941-5894-7A43-A535-39626F24B4A5}">
  <dimension ref="A1:T116"/>
  <sheetViews>
    <sheetView zoomScale="81" workbookViewId="0">
      <selection activeCell="J30" sqref="J30"/>
    </sheetView>
  </sheetViews>
  <sheetFormatPr baseColWidth="10" defaultRowHeight="15" x14ac:dyDescent="0.2"/>
  <cols>
    <col min="7" max="7" width="8.83203125" bestFit="1" customWidth="1"/>
  </cols>
  <sheetData>
    <row r="1" spans="1:20" ht="19" x14ac:dyDescent="0.25">
      <c r="A1" s="35" t="s">
        <v>0</v>
      </c>
      <c r="B1" s="35"/>
      <c r="C1" s="35"/>
      <c r="D1" s="35"/>
      <c r="E1" s="35"/>
      <c r="F1" s="35"/>
      <c r="G1" s="12"/>
      <c r="H1" s="35"/>
      <c r="I1" s="35"/>
      <c r="J1" s="35"/>
      <c r="K1" s="35"/>
      <c r="L1" s="36"/>
      <c r="M1" s="35"/>
      <c r="N1" s="36"/>
      <c r="O1" s="36"/>
      <c r="P1" s="36"/>
      <c r="Q1" s="36"/>
      <c r="R1" s="36"/>
      <c r="S1" s="36"/>
      <c r="T1" s="36"/>
    </row>
    <row r="2" spans="1:20" ht="19" x14ac:dyDescent="0.25">
      <c r="A2" s="35"/>
      <c r="B2" s="35"/>
      <c r="C2" s="35"/>
      <c r="D2" s="35"/>
      <c r="E2" s="35"/>
      <c r="F2" s="36"/>
      <c r="G2" s="12"/>
      <c r="H2" s="35"/>
      <c r="I2" s="35"/>
      <c r="J2" s="35"/>
      <c r="K2" s="35"/>
      <c r="L2" s="35"/>
      <c r="M2" s="36"/>
      <c r="N2" s="36"/>
      <c r="O2" s="36"/>
      <c r="P2" s="36"/>
      <c r="Q2" s="36"/>
      <c r="R2" s="36"/>
      <c r="S2" s="36"/>
    </row>
    <row r="3" spans="1:20" ht="19" x14ac:dyDescent="0.25">
      <c r="A3" s="35" t="s">
        <v>1</v>
      </c>
      <c r="B3" s="35"/>
      <c r="C3" s="35"/>
      <c r="D3" s="35"/>
      <c r="E3" s="35"/>
      <c r="F3" s="36"/>
      <c r="G3" s="12"/>
      <c r="H3" s="35"/>
      <c r="I3" s="35"/>
      <c r="J3" s="35"/>
      <c r="K3" s="35"/>
      <c r="L3" s="35"/>
      <c r="M3" s="36"/>
      <c r="N3" s="36"/>
      <c r="O3" s="36"/>
      <c r="P3" s="36"/>
      <c r="Q3" s="36"/>
      <c r="R3" s="36"/>
      <c r="S3" s="36"/>
    </row>
    <row r="4" spans="1:20" ht="19" x14ac:dyDescent="0.25">
      <c r="A4" s="35"/>
      <c r="B4" s="35"/>
      <c r="C4" s="35"/>
      <c r="D4" s="35"/>
      <c r="E4" s="35"/>
      <c r="F4" s="36"/>
      <c r="G4" s="12"/>
      <c r="H4" s="35"/>
      <c r="I4" s="35"/>
      <c r="J4" s="35"/>
      <c r="K4" s="35"/>
      <c r="L4" s="35"/>
      <c r="M4" s="36"/>
      <c r="N4" s="36"/>
      <c r="O4" s="36"/>
      <c r="P4" s="36"/>
      <c r="Q4" s="36"/>
      <c r="R4" s="36"/>
      <c r="S4" s="36"/>
    </row>
    <row r="5" spans="1:20" ht="19" x14ac:dyDescent="0.25">
      <c r="A5" s="35" t="s">
        <v>2</v>
      </c>
      <c r="B5" s="35"/>
      <c r="C5" s="35"/>
      <c r="D5" s="35"/>
      <c r="E5" s="35"/>
      <c r="F5" s="36"/>
      <c r="G5" s="12"/>
      <c r="H5" s="35"/>
      <c r="I5" s="35"/>
      <c r="J5" s="35"/>
      <c r="K5" s="35"/>
      <c r="L5" s="35"/>
      <c r="M5" s="36"/>
      <c r="N5" s="36"/>
      <c r="O5" s="36"/>
      <c r="P5" s="36"/>
      <c r="Q5" s="36"/>
      <c r="R5" s="36"/>
      <c r="S5" s="36"/>
    </row>
    <row r="6" spans="1:20" ht="19" x14ac:dyDescent="0.25">
      <c r="A6" s="35" t="s">
        <v>3</v>
      </c>
      <c r="B6" s="35"/>
      <c r="C6" s="35"/>
      <c r="D6" s="35"/>
      <c r="E6" s="35"/>
      <c r="F6" s="36"/>
      <c r="G6" s="12"/>
      <c r="H6" s="35"/>
      <c r="I6" s="35"/>
      <c r="J6" s="35"/>
      <c r="K6" s="35"/>
      <c r="L6" s="35"/>
      <c r="M6" s="36"/>
      <c r="N6" s="36"/>
      <c r="O6" s="36"/>
      <c r="P6" s="36"/>
      <c r="Q6" s="36"/>
      <c r="R6" s="36"/>
      <c r="S6" s="36"/>
    </row>
    <row r="7" spans="1:20" x14ac:dyDescent="0.2">
      <c r="A7" s="36"/>
      <c r="B7" s="36"/>
      <c r="C7" s="36"/>
      <c r="D7" s="36"/>
      <c r="E7" s="36"/>
      <c r="F7" s="36"/>
      <c r="H7" s="36"/>
      <c r="I7" s="36"/>
      <c r="J7" s="36"/>
      <c r="K7" s="36"/>
      <c r="L7" s="36"/>
      <c r="M7" s="36"/>
      <c r="N7" s="36"/>
      <c r="O7" s="36"/>
      <c r="P7" s="36"/>
      <c r="Q7" s="36"/>
      <c r="R7" s="36"/>
      <c r="S7" s="36"/>
    </row>
    <row r="8" spans="1:20" ht="28" thickBot="1" x14ac:dyDescent="0.25">
      <c r="A8" s="37" t="s">
        <v>4</v>
      </c>
      <c r="B8" s="38" t="s">
        <v>5</v>
      </c>
      <c r="C8" s="39" t="s">
        <v>7</v>
      </c>
      <c r="D8" s="40" t="s">
        <v>8</v>
      </c>
      <c r="E8" s="41" t="s">
        <v>8</v>
      </c>
      <c r="F8" s="41" t="s">
        <v>8</v>
      </c>
      <c r="G8" s="7" t="s">
        <v>9</v>
      </c>
      <c r="H8" s="41" t="s">
        <v>10</v>
      </c>
      <c r="I8" s="36"/>
      <c r="J8" s="42"/>
      <c r="K8" s="42"/>
      <c r="L8" s="42"/>
      <c r="M8" s="42"/>
      <c r="N8" s="42"/>
      <c r="O8" s="42"/>
      <c r="P8" s="42"/>
      <c r="Q8" s="42"/>
      <c r="R8" s="42"/>
      <c r="S8" s="42"/>
    </row>
    <row r="9" spans="1:20" x14ac:dyDescent="0.2">
      <c r="A9" s="43">
        <v>2</v>
      </c>
      <c r="B9" s="44" t="s">
        <v>42</v>
      </c>
      <c r="C9" s="45">
        <v>800</v>
      </c>
      <c r="D9" s="46">
        <v>2</v>
      </c>
      <c r="E9" s="47">
        <v>2</v>
      </c>
      <c r="F9" s="47"/>
      <c r="G9" s="8">
        <f>ROUND(AVERAGE(D9:F9), 2)</f>
        <v>2</v>
      </c>
      <c r="H9" s="47"/>
      <c r="I9" s="36"/>
      <c r="J9" s="36"/>
      <c r="K9" s="36"/>
      <c r="L9" s="36"/>
      <c r="M9" s="36"/>
      <c r="N9" s="36"/>
      <c r="O9" s="36"/>
      <c r="P9" s="36"/>
      <c r="Q9" s="36"/>
      <c r="R9" s="36"/>
      <c r="S9" s="36"/>
    </row>
    <row r="10" spans="1:20" x14ac:dyDescent="0.2">
      <c r="A10" s="43">
        <v>2</v>
      </c>
      <c r="B10" s="44" t="s">
        <v>42</v>
      </c>
      <c r="C10" s="45">
        <v>801</v>
      </c>
      <c r="D10" s="46">
        <v>1.6</v>
      </c>
      <c r="E10" s="47">
        <v>1.6</v>
      </c>
      <c r="F10" s="47"/>
      <c r="G10" s="8">
        <f t="shared" ref="G10:G73" si="0">ROUND(AVERAGE(D10:F10), 2)</f>
        <v>1.6</v>
      </c>
      <c r="H10" s="47"/>
      <c r="I10" s="36"/>
      <c r="J10" s="36"/>
      <c r="K10" s="36"/>
      <c r="L10" s="36"/>
      <c r="M10" s="36"/>
      <c r="N10" s="36"/>
      <c r="O10" s="36"/>
      <c r="P10" s="36"/>
      <c r="Q10" s="36"/>
      <c r="R10" s="36"/>
      <c r="S10" s="36"/>
    </row>
    <row r="11" spans="1:20" x14ac:dyDescent="0.2">
      <c r="A11" s="43">
        <v>2</v>
      </c>
      <c r="B11" s="44" t="s">
        <v>42</v>
      </c>
      <c r="C11" s="45">
        <v>804</v>
      </c>
      <c r="D11" s="46">
        <v>2.7</v>
      </c>
      <c r="E11" s="47">
        <v>2.7</v>
      </c>
      <c r="F11" s="47"/>
      <c r="G11" s="8">
        <f t="shared" si="0"/>
        <v>2.7</v>
      </c>
      <c r="H11" s="47"/>
      <c r="I11" s="36"/>
      <c r="J11" s="36"/>
      <c r="K11" s="36"/>
      <c r="L11" s="36"/>
      <c r="M11" s="36"/>
      <c r="N11" s="36"/>
      <c r="O11" s="36"/>
      <c r="P11" s="36"/>
      <c r="Q11" s="36"/>
      <c r="R11" s="36"/>
      <c r="S11" s="36"/>
    </row>
    <row r="12" spans="1:20" x14ac:dyDescent="0.2">
      <c r="A12" s="43">
        <v>2</v>
      </c>
      <c r="B12" s="44" t="s">
        <v>42</v>
      </c>
      <c r="C12" s="45">
        <v>806</v>
      </c>
      <c r="D12" s="46">
        <v>2.2999999999999998</v>
      </c>
      <c r="E12" s="47">
        <v>2.2999999999999998</v>
      </c>
      <c r="F12" s="47"/>
      <c r="G12" s="8">
        <f t="shared" si="0"/>
        <v>2.2999999999999998</v>
      </c>
      <c r="H12" s="47"/>
      <c r="I12" s="36"/>
      <c r="J12" s="36"/>
      <c r="K12" s="36"/>
      <c r="L12" s="36"/>
      <c r="M12" s="36"/>
      <c r="N12" s="36"/>
      <c r="O12" s="36"/>
      <c r="P12" s="36"/>
      <c r="Q12" s="36"/>
      <c r="R12" s="36"/>
      <c r="S12" s="36"/>
    </row>
    <row r="13" spans="1:20" x14ac:dyDescent="0.2">
      <c r="A13" s="43">
        <v>2</v>
      </c>
      <c r="B13" s="44" t="s">
        <v>42</v>
      </c>
      <c r="C13" s="45">
        <v>809</v>
      </c>
      <c r="D13" s="46">
        <v>2.9</v>
      </c>
      <c r="E13" s="47">
        <v>2.9</v>
      </c>
      <c r="F13" s="47"/>
      <c r="G13" s="8">
        <f t="shared" si="0"/>
        <v>2.9</v>
      </c>
      <c r="H13" s="47"/>
      <c r="I13" s="36"/>
      <c r="J13" s="36"/>
      <c r="K13" s="36"/>
      <c r="L13" s="36"/>
      <c r="M13" s="36"/>
      <c r="N13" s="36"/>
      <c r="O13" s="36"/>
      <c r="P13" s="36"/>
      <c r="Q13" s="36"/>
      <c r="R13" s="36"/>
      <c r="S13" s="36"/>
    </row>
    <row r="14" spans="1:20" x14ac:dyDescent="0.2">
      <c r="A14" s="43">
        <v>2</v>
      </c>
      <c r="B14" s="44" t="s">
        <v>42</v>
      </c>
      <c r="C14" s="45">
        <v>810</v>
      </c>
      <c r="D14" s="46">
        <v>4.0999999999999996</v>
      </c>
      <c r="E14" s="47">
        <v>4.0999999999999996</v>
      </c>
      <c r="F14" s="47"/>
      <c r="G14" s="8">
        <f t="shared" si="0"/>
        <v>4.0999999999999996</v>
      </c>
      <c r="H14" s="47"/>
      <c r="I14" s="36"/>
      <c r="J14" s="36"/>
      <c r="K14" s="36"/>
      <c r="L14" s="36"/>
      <c r="M14" s="36"/>
      <c r="N14" s="36"/>
      <c r="O14" s="36"/>
      <c r="P14" s="36"/>
      <c r="Q14" s="36"/>
      <c r="R14" s="36"/>
      <c r="S14" s="36"/>
    </row>
    <row r="15" spans="1:20" x14ac:dyDescent="0.2">
      <c r="A15" s="43">
        <v>2</v>
      </c>
      <c r="B15" s="44" t="s">
        <v>42</v>
      </c>
      <c r="C15" s="45">
        <v>819</v>
      </c>
      <c r="D15" s="67" t="s">
        <v>123</v>
      </c>
      <c r="E15" s="68" t="s">
        <v>123</v>
      </c>
      <c r="F15" s="47"/>
      <c r="G15" s="8" t="s">
        <v>123</v>
      </c>
      <c r="H15" s="47"/>
      <c r="I15" s="36"/>
      <c r="J15" s="36"/>
      <c r="K15" s="36"/>
      <c r="L15" s="36"/>
      <c r="M15" s="36"/>
      <c r="N15" s="36"/>
      <c r="O15" s="36"/>
      <c r="P15" s="36"/>
      <c r="Q15" s="36"/>
      <c r="R15" s="36"/>
      <c r="S15" s="36"/>
    </row>
    <row r="16" spans="1:20" x14ac:dyDescent="0.2">
      <c r="A16" s="43">
        <v>2</v>
      </c>
      <c r="B16" s="44" t="s">
        <v>42</v>
      </c>
      <c r="C16" s="45">
        <v>822</v>
      </c>
      <c r="D16" s="46">
        <v>2.1</v>
      </c>
      <c r="E16" s="47">
        <v>2.1</v>
      </c>
      <c r="F16" s="47"/>
      <c r="G16" s="8">
        <f t="shared" si="0"/>
        <v>2.1</v>
      </c>
      <c r="H16" s="47"/>
      <c r="I16" s="36"/>
      <c r="J16" s="36"/>
      <c r="K16" s="36"/>
      <c r="L16" s="36"/>
      <c r="M16" s="36"/>
      <c r="N16" s="36"/>
      <c r="O16" s="36"/>
      <c r="P16" s="36"/>
      <c r="Q16" s="36"/>
      <c r="R16" s="36"/>
      <c r="S16" s="36"/>
    </row>
    <row r="17" spans="1:19" x14ac:dyDescent="0.2">
      <c r="A17" s="43">
        <v>2</v>
      </c>
      <c r="B17" s="44" t="s">
        <v>42</v>
      </c>
      <c r="C17" s="45">
        <v>823</v>
      </c>
      <c r="D17" s="46">
        <v>3.3</v>
      </c>
      <c r="E17" s="47">
        <v>3.2</v>
      </c>
      <c r="F17" s="47"/>
      <c r="G17" s="8">
        <f t="shared" si="0"/>
        <v>3.25</v>
      </c>
      <c r="H17" s="47"/>
      <c r="I17" s="36"/>
      <c r="J17" s="36"/>
      <c r="K17" s="36"/>
      <c r="L17" s="36"/>
      <c r="M17" s="36"/>
      <c r="N17" s="36"/>
      <c r="O17" s="36"/>
      <c r="P17" s="36"/>
      <c r="Q17" s="36"/>
      <c r="R17" s="36"/>
      <c r="S17" s="36"/>
    </row>
    <row r="18" spans="1:19" x14ac:dyDescent="0.2">
      <c r="A18" s="43">
        <v>2</v>
      </c>
      <c r="B18" s="44" t="s">
        <v>42</v>
      </c>
      <c r="C18" s="45">
        <v>825</v>
      </c>
      <c r="D18" s="46">
        <v>2</v>
      </c>
      <c r="E18" s="47">
        <v>1.9</v>
      </c>
      <c r="F18" s="47"/>
      <c r="G18" s="8">
        <f t="shared" si="0"/>
        <v>1.95</v>
      </c>
      <c r="H18" s="47"/>
      <c r="I18" s="36"/>
      <c r="J18" s="36"/>
      <c r="K18" s="36"/>
      <c r="L18" s="36"/>
      <c r="M18" s="36"/>
      <c r="N18" s="36"/>
      <c r="O18" s="36"/>
      <c r="P18" s="36"/>
      <c r="Q18" s="36"/>
      <c r="R18" s="36"/>
      <c r="S18" s="36"/>
    </row>
    <row r="19" spans="1:19" x14ac:dyDescent="0.2">
      <c r="A19" s="43">
        <v>2</v>
      </c>
      <c r="B19" s="44" t="s">
        <v>42</v>
      </c>
      <c r="C19" s="45">
        <v>826</v>
      </c>
      <c r="D19" s="46">
        <v>2.6</v>
      </c>
      <c r="E19" s="47">
        <v>2.6</v>
      </c>
      <c r="F19" s="47"/>
      <c r="G19" s="8">
        <f t="shared" si="0"/>
        <v>2.6</v>
      </c>
      <c r="H19" s="47"/>
      <c r="I19" s="36"/>
      <c r="J19" s="36"/>
      <c r="K19" s="36"/>
      <c r="L19" s="36"/>
      <c r="M19" s="36"/>
      <c r="N19" s="36"/>
      <c r="O19" s="36"/>
      <c r="P19" s="36"/>
      <c r="Q19" s="36"/>
      <c r="R19" s="36"/>
      <c r="S19" s="36"/>
    </row>
    <row r="20" spans="1:19" x14ac:dyDescent="0.2">
      <c r="A20" s="43">
        <v>2</v>
      </c>
      <c r="B20" s="44" t="s">
        <v>42</v>
      </c>
      <c r="C20" s="45">
        <v>828</v>
      </c>
      <c r="D20" s="46">
        <v>1.9</v>
      </c>
      <c r="E20" s="47">
        <v>2</v>
      </c>
      <c r="F20" s="47"/>
      <c r="G20" s="8">
        <f t="shared" si="0"/>
        <v>1.95</v>
      </c>
      <c r="H20" s="47"/>
      <c r="I20" s="36"/>
      <c r="J20" s="36"/>
      <c r="K20" s="36"/>
      <c r="L20" s="36"/>
      <c r="M20" s="36"/>
      <c r="N20" s="36"/>
      <c r="O20" s="36"/>
      <c r="P20" s="36"/>
      <c r="Q20" s="36"/>
      <c r="R20" s="36"/>
      <c r="S20" s="36"/>
    </row>
    <row r="21" spans="1:19" x14ac:dyDescent="0.2">
      <c r="A21" s="43">
        <v>2</v>
      </c>
      <c r="B21" s="44" t="s">
        <v>42</v>
      </c>
      <c r="C21" s="45">
        <v>829</v>
      </c>
      <c r="D21" s="46">
        <v>2.9</v>
      </c>
      <c r="E21" s="47">
        <v>2.8</v>
      </c>
      <c r="F21" s="47"/>
      <c r="G21" s="8">
        <f t="shared" si="0"/>
        <v>2.85</v>
      </c>
      <c r="H21" s="47"/>
      <c r="I21" s="36"/>
      <c r="J21" s="36"/>
      <c r="K21" s="36"/>
      <c r="L21" s="36"/>
      <c r="M21" s="36"/>
      <c r="N21" s="36"/>
      <c r="O21" s="36"/>
      <c r="P21" s="36"/>
      <c r="Q21" s="36"/>
      <c r="R21" s="36"/>
      <c r="S21" s="36"/>
    </row>
    <row r="22" spans="1:19" x14ac:dyDescent="0.2">
      <c r="A22" s="43">
        <v>2</v>
      </c>
      <c r="B22" s="44" t="s">
        <v>42</v>
      </c>
      <c r="C22" s="45">
        <v>832</v>
      </c>
      <c r="D22" s="46">
        <v>2.4</v>
      </c>
      <c r="E22" s="47">
        <v>2.4</v>
      </c>
      <c r="F22" s="47"/>
      <c r="G22" s="8">
        <f t="shared" si="0"/>
        <v>2.4</v>
      </c>
      <c r="H22" s="47"/>
      <c r="I22" s="36"/>
      <c r="J22" s="36"/>
      <c r="K22" s="36"/>
      <c r="L22" s="36"/>
      <c r="M22" s="36"/>
      <c r="N22" s="36"/>
      <c r="O22" s="36"/>
      <c r="P22" s="36"/>
      <c r="Q22" s="36"/>
      <c r="R22" s="36"/>
      <c r="S22" s="36"/>
    </row>
    <row r="23" spans="1:19" x14ac:dyDescent="0.2">
      <c r="A23" s="43">
        <v>2</v>
      </c>
      <c r="B23" s="44" t="s">
        <v>42</v>
      </c>
      <c r="C23" s="45">
        <v>836</v>
      </c>
      <c r="D23" s="46">
        <v>3</v>
      </c>
      <c r="E23" s="47">
        <v>2.9</v>
      </c>
      <c r="F23" s="47"/>
      <c r="G23" s="8">
        <f t="shared" si="0"/>
        <v>2.95</v>
      </c>
      <c r="H23" s="47"/>
      <c r="I23" s="36"/>
      <c r="J23" s="36"/>
      <c r="K23" s="36"/>
      <c r="L23" s="36"/>
      <c r="M23" s="36"/>
      <c r="N23" s="36"/>
      <c r="O23" s="36"/>
      <c r="P23" s="36"/>
      <c r="Q23" s="36"/>
      <c r="R23" s="36"/>
      <c r="S23" s="36"/>
    </row>
    <row r="24" spans="1:19" x14ac:dyDescent="0.2">
      <c r="A24" s="43">
        <v>2</v>
      </c>
      <c r="B24" s="44" t="s">
        <v>42</v>
      </c>
      <c r="C24" s="45">
        <v>839</v>
      </c>
      <c r="D24" s="46">
        <v>2.2999999999999998</v>
      </c>
      <c r="E24" s="47">
        <v>2.2000000000000002</v>
      </c>
      <c r="F24" s="47"/>
      <c r="G24" s="8">
        <f t="shared" si="0"/>
        <v>2.25</v>
      </c>
      <c r="H24" s="47"/>
      <c r="I24" s="36"/>
      <c r="J24" s="36"/>
      <c r="K24" s="36"/>
      <c r="L24" s="36"/>
      <c r="M24" s="36"/>
      <c r="N24" s="36"/>
      <c r="O24" s="36"/>
      <c r="P24" s="36"/>
      <c r="Q24" s="36"/>
      <c r="R24" s="36"/>
      <c r="S24" s="36"/>
    </row>
    <row r="25" spans="1:19" x14ac:dyDescent="0.2">
      <c r="A25" s="43">
        <v>2</v>
      </c>
      <c r="B25" s="44" t="s">
        <v>42</v>
      </c>
      <c r="C25" s="45">
        <v>840</v>
      </c>
      <c r="D25" s="46">
        <v>2.2000000000000002</v>
      </c>
      <c r="E25" s="47">
        <v>2.1</v>
      </c>
      <c r="F25" s="47"/>
      <c r="G25" s="8">
        <f t="shared" si="0"/>
        <v>2.15</v>
      </c>
      <c r="H25" s="47"/>
      <c r="I25" s="36"/>
      <c r="J25" s="36"/>
      <c r="K25" s="36"/>
      <c r="L25" s="36"/>
      <c r="M25" s="36"/>
      <c r="N25" s="36"/>
      <c r="O25" s="36"/>
      <c r="P25" s="36"/>
      <c r="Q25" s="36"/>
      <c r="R25" s="36"/>
      <c r="S25" s="36"/>
    </row>
    <row r="26" spans="1:19" x14ac:dyDescent="0.2">
      <c r="A26" s="43">
        <v>2</v>
      </c>
      <c r="B26" s="44" t="s">
        <v>42</v>
      </c>
      <c r="C26" s="45">
        <v>841</v>
      </c>
      <c r="D26" s="46">
        <v>2.2999999999999998</v>
      </c>
      <c r="E26" s="47">
        <v>2.2999999999999998</v>
      </c>
      <c r="F26" s="47"/>
      <c r="G26" s="8">
        <f t="shared" si="0"/>
        <v>2.2999999999999998</v>
      </c>
      <c r="H26" s="47"/>
      <c r="I26" s="36"/>
      <c r="J26" s="36"/>
      <c r="K26" s="36"/>
      <c r="L26" s="36"/>
      <c r="M26" s="36"/>
      <c r="N26" s="36"/>
      <c r="O26" s="36"/>
      <c r="P26" s="36"/>
      <c r="Q26" s="36"/>
      <c r="R26" s="36"/>
      <c r="S26" s="36"/>
    </row>
    <row r="27" spans="1:19" x14ac:dyDescent="0.2">
      <c r="A27" s="43">
        <v>2</v>
      </c>
      <c r="B27" s="44" t="s">
        <v>42</v>
      </c>
      <c r="C27" s="45">
        <v>843</v>
      </c>
      <c r="D27" s="46">
        <v>2.9</v>
      </c>
      <c r="E27" s="47">
        <v>2.9</v>
      </c>
      <c r="G27" s="8">
        <f t="shared" si="0"/>
        <v>2.9</v>
      </c>
      <c r="H27" s="47"/>
      <c r="I27" s="36"/>
      <c r="J27" s="36"/>
      <c r="K27" s="36"/>
      <c r="L27" s="36"/>
      <c r="M27" s="36"/>
      <c r="N27" s="36"/>
      <c r="O27" s="36"/>
      <c r="P27" s="36"/>
      <c r="Q27" s="36"/>
      <c r="R27" s="36"/>
      <c r="S27" s="36"/>
    </row>
    <row r="28" spans="1:19" x14ac:dyDescent="0.2">
      <c r="A28" s="43">
        <v>2</v>
      </c>
      <c r="B28" s="44" t="s">
        <v>42</v>
      </c>
      <c r="C28" s="45">
        <v>850</v>
      </c>
      <c r="D28" s="46">
        <v>2</v>
      </c>
      <c r="E28" s="47">
        <v>2.2999999999999998</v>
      </c>
      <c r="F28" s="47"/>
      <c r="G28" s="8">
        <f t="shared" si="0"/>
        <v>2.15</v>
      </c>
      <c r="H28" s="47"/>
      <c r="I28" s="36"/>
      <c r="J28" s="36"/>
      <c r="K28" s="36"/>
      <c r="L28" s="36"/>
      <c r="M28" s="36"/>
      <c r="N28" s="36"/>
      <c r="O28" s="36"/>
      <c r="P28" s="36"/>
      <c r="Q28" s="36"/>
      <c r="R28" s="36"/>
      <c r="S28" s="36"/>
    </row>
    <row r="29" spans="1:19" x14ac:dyDescent="0.2">
      <c r="A29" s="43">
        <v>2</v>
      </c>
      <c r="B29" s="44" t="s">
        <v>42</v>
      </c>
      <c r="C29" s="45">
        <v>852</v>
      </c>
      <c r="D29" s="46">
        <v>1.7</v>
      </c>
      <c r="E29" s="47">
        <v>1.7</v>
      </c>
      <c r="F29" s="47"/>
      <c r="G29" s="8">
        <f t="shared" si="0"/>
        <v>1.7</v>
      </c>
      <c r="H29" s="47"/>
      <c r="I29" s="36"/>
      <c r="J29" s="36"/>
      <c r="K29" s="36"/>
      <c r="L29" s="36"/>
      <c r="M29" s="36"/>
      <c r="N29" s="36"/>
      <c r="O29" s="36"/>
      <c r="P29" s="36"/>
      <c r="Q29" s="36"/>
      <c r="R29" s="36"/>
      <c r="S29" s="36"/>
    </row>
    <row r="30" spans="1:19" x14ac:dyDescent="0.2">
      <c r="A30" s="43">
        <v>2</v>
      </c>
      <c r="B30" s="44" t="s">
        <v>42</v>
      </c>
      <c r="C30" s="45">
        <v>854</v>
      </c>
      <c r="D30" s="46">
        <v>2</v>
      </c>
      <c r="E30" s="47">
        <v>1.9</v>
      </c>
      <c r="F30" s="47"/>
      <c r="G30" s="8">
        <f t="shared" si="0"/>
        <v>1.95</v>
      </c>
      <c r="H30" s="47"/>
      <c r="I30" s="36"/>
      <c r="J30" s="36"/>
      <c r="K30" s="36"/>
      <c r="L30" s="36"/>
      <c r="M30" s="36"/>
      <c r="N30" s="36"/>
      <c r="O30" s="36"/>
      <c r="P30" s="36"/>
      <c r="Q30" s="36"/>
      <c r="R30" s="36"/>
      <c r="S30" s="36"/>
    </row>
    <row r="31" spans="1:19" x14ac:dyDescent="0.2">
      <c r="A31" s="43">
        <v>2</v>
      </c>
      <c r="B31" s="44" t="s">
        <v>42</v>
      </c>
      <c r="C31" s="45">
        <v>855</v>
      </c>
      <c r="D31" s="46">
        <v>3.1</v>
      </c>
      <c r="E31" s="47">
        <v>3</v>
      </c>
      <c r="F31" s="47"/>
      <c r="G31" s="8">
        <f t="shared" si="0"/>
        <v>3.05</v>
      </c>
      <c r="H31" s="47"/>
      <c r="I31" s="36"/>
      <c r="J31" s="36"/>
      <c r="K31" s="36"/>
      <c r="L31" s="36"/>
      <c r="M31" s="36"/>
      <c r="N31" s="36"/>
      <c r="O31" s="36"/>
      <c r="P31" s="36"/>
      <c r="Q31" s="36"/>
      <c r="R31" s="36"/>
      <c r="S31" s="36"/>
    </row>
    <row r="32" spans="1:19" x14ac:dyDescent="0.2">
      <c r="A32" s="43">
        <v>2</v>
      </c>
      <c r="B32" s="44" t="s">
        <v>42</v>
      </c>
      <c r="C32" s="45">
        <v>857</v>
      </c>
      <c r="D32" s="46">
        <v>2.2999999999999998</v>
      </c>
      <c r="E32" s="47">
        <v>2.2000000000000002</v>
      </c>
      <c r="F32" s="47"/>
      <c r="G32" s="8">
        <f t="shared" si="0"/>
        <v>2.25</v>
      </c>
      <c r="H32" s="47"/>
      <c r="I32" s="36"/>
      <c r="J32" s="36"/>
      <c r="K32" s="36"/>
      <c r="L32" s="36"/>
      <c r="M32" s="36"/>
      <c r="N32" s="36"/>
      <c r="O32" s="36"/>
      <c r="P32" s="36"/>
      <c r="Q32" s="36"/>
      <c r="R32" s="36"/>
      <c r="S32" s="36"/>
    </row>
    <row r="33" spans="1:19" x14ac:dyDescent="0.2">
      <c r="A33" s="43">
        <v>2</v>
      </c>
      <c r="B33" s="44" t="s">
        <v>42</v>
      </c>
      <c r="C33" s="45">
        <v>858</v>
      </c>
      <c r="D33" s="46">
        <v>3.2</v>
      </c>
      <c r="E33" s="47">
        <v>3.2</v>
      </c>
      <c r="F33" s="47"/>
      <c r="G33" s="8">
        <f t="shared" si="0"/>
        <v>3.2</v>
      </c>
      <c r="H33" s="47"/>
      <c r="I33" s="36"/>
      <c r="J33" s="36"/>
      <c r="K33" s="36"/>
      <c r="L33" s="36"/>
      <c r="M33" s="36"/>
      <c r="N33" s="36"/>
      <c r="O33" s="36"/>
      <c r="P33" s="36"/>
      <c r="Q33" s="36"/>
      <c r="R33" s="36"/>
      <c r="S33" s="36"/>
    </row>
    <row r="34" spans="1:19" x14ac:dyDescent="0.2">
      <c r="A34" s="43">
        <v>2</v>
      </c>
      <c r="B34" s="44" t="s">
        <v>42</v>
      </c>
      <c r="C34" s="45">
        <v>870</v>
      </c>
      <c r="D34" s="46">
        <v>2.7</v>
      </c>
      <c r="E34" s="47">
        <v>2.6</v>
      </c>
      <c r="F34" s="47"/>
      <c r="G34" s="8">
        <f t="shared" si="0"/>
        <v>2.65</v>
      </c>
      <c r="H34" s="47"/>
      <c r="I34" s="36"/>
      <c r="J34" s="36"/>
      <c r="K34" s="36"/>
      <c r="L34" s="36"/>
      <c r="M34" s="36"/>
      <c r="N34" s="36"/>
      <c r="O34" s="36"/>
      <c r="P34" s="36"/>
      <c r="Q34" s="36"/>
      <c r="R34" s="36"/>
      <c r="S34" s="36"/>
    </row>
    <row r="35" spans="1:19" x14ac:dyDescent="0.2">
      <c r="A35" s="43">
        <v>2</v>
      </c>
      <c r="B35" s="44" t="s">
        <v>42</v>
      </c>
      <c r="C35" s="45">
        <v>875</v>
      </c>
      <c r="D35" s="46">
        <v>2.1</v>
      </c>
      <c r="E35" s="47">
        <v>2.1</v>
      </c>
      <c r="F35" s="47"/>
      <c r="G35" s="8">
        <f t="shared" si="0"/>
        <v>2.1</v>
      </c>
      <c r="H35" s="47"/>
      <c r="I35" s="36"/>
      <c r="J35" s="36"/>
      <c r="K35" s="36"/>
      <c r="L35" s="36"/>
      <c r="M35" s="36"/>
      <c r="N35" s="36"/>
      <c r="O35" s="36"/>
      <c r="P35" s="36"/>
      <c r="Q35" s="36"/>
      <c r="R35" s="36"/>
      <c r="S35" s="36"/>
    </row>
    <row r="36" spans="1:19" x14ac:dyDescent="0.2">
      <c r="A36" s="43">
        <v>2</v>
      </c>
      <c r="B36" s="44" t="s">
        <v>42</v>
      </c>
      <c r="C36" s="45">
        <v>880</v>
      </c>
      <c r="D36" s="46">
        <v>2.2000000000000002</v>
      </c>
      <c r="E36" s="47">
        <v>2.1</v>
      </c>
      <c r="F36" s="47"/>
      <c r="G36" s="8">
        <f t="shared" si="0"/>
        <v>2.15</v>
      </c>
      <c r="H36" s="47"/>
      <c r="I36" s="36"/>
      <c r="J36" s="36"/>
      <c r="K36" s="36"/>
      <c r="L36" s="36"/>
      <c r="M36" s="36"/>
      <c r="N36" s="36"/>
      <c r="O36" s="36"/>
      <c r="P36" s="36"/>
      <c r="Q36" s="36"/>
      <c r="R36" s="36"/>
      <c r="S36" s="36"/>
    </row>
    <row r="37" spans="1:19" x14ac:dyDescent="0.2">
      <c r="A37" s="43">
        <v>2</v>
      </c>
      <c r="B37" s="44" t="s">
        <v>42</v>
      </c>
      <c r="C37" s="45">
        <v>883</v>
      </c>
      <c r="D37" s="46">
        <v>2</v>
      </c>
      <c r="E37" s="47">
        <v>1.9</v>
      </c>
      <c r="F37" s="47"/>
      <c r="G37" s="8">
        <f t="shared" si="0"/>
        <v>1.95</v>
      </c>
      <c r="H37" s="47"/>
      <c r="I37" s="36"/>
      <c r="J37" s="36"/>
      <c r="K37" s="36"/>
      <c r="L37" s="36"/>
      <c r="M37" s="36"/>
      <c r="N37" s="36"/>
      <c r="O37" s="36"/>
      <c r="P37" s="36"/>
      <c r="Q37" s="36"/>
      <c r="R37" s="36"/>
      <c r="S37" s="36"/>
    </row>
    <row r="38" spans="1:19" x14ac:dyDescent="0.2">
      <c r="A38" s="43">
        <v>2</v>
      </c>
      <c r="B38" s="44" t="s">
        <v>42</v>
      </c>
      <c r="C38" s="45">
        <v>884</v>
      </c>
      <c r="D38" s="46">
        <v>2.1</v>
      </c>
      <c r="E38" s="47">
        <v>2.1</v>
      </c>
      <c r="F38" s="47"/>
      <c r="G38" s="8">
        <f t="shared" si="0"/>
        <v>2.1</v>
      </c>
      <c r="H38" s="47"/>
      <c r="I38" s="36"/>
      <c r="J38" s="36"/>
      <c r="K38" s="36"/>
      <c r="L38" s="36"/>
      <c r="M38" s="36"/>
      <c r="N38" s="36"/>
      <c r="O38" s="36"/>
      <c r="P38" s="36"/>
      <c r="Q38" s="36"/>
      <c r="R38" s="36"/>
      <c r="S38" s="36"/>
    </row>
    <row r="39" spans="1:19" ht="16" thickBot="1" x14ac:dyDescent="0.25">
      <c r="A39" s="48">
        <v>2</v>
      </c>
      <c r="B39" s="49" t="s">
        <v>42</v>
      </c>
      <c r="C39" s="50">
        <v>886</v>
      </c>
      <c r="D39" s="46">
        <v>2.1</v>
      </c>
      <c r="E39" s="47">
        <v>2.1</v>
      </c>
      <c r="F39" s="47"/>
      <c r="G39" s="8">
        <f t="shared" si="0"/>
        <v>2.1</v>
      </c>
      <c r="H39" s="47"/>
      <c r="I39" s="36"/>
      <c r="J39" s="36"/>
      <c r="K39" s="36"/>
      <c r="L39" s="36"/>
      <c r="M39" s="36"/>
      <c r="N39" s="36"/>
      <c r="O39" s="36"/>
      <c r="P39" s="36"/>
      <c r="Q39" s="36"/>
      <c r="R39" s="36"/>
      <c r="S39" s="36"/>
    </row>
    <row r="40" spans="1:19" x14ac:dyDescent="0.2">
      <c r="A40" s="58">
        <v>3</v>
      </c>
      <c r="B40" s="58" t="s">
        <v>74</v>
      </c>
      <c r="C40" s="59">
        <v>802</v>
      </c>
      <c r="D40" s="46">
        <v>2.5</v>
      </c>
      <c r="E40" s="47">
        <v>2.5</v>
      </c>
      <c r="F40" s="47"/>
      <c r="G40" s="8">
        <f t="shared" si="0"/>
        <v>2.5</v>
      </c>
      <c r="H40" s="47"/>
      <c r="I40" s="36"/>
      <c r="J40" s="36"/>
      <c r="K40" s="36"/>
      <c r="L40" s="36"/>
      <c r="M40" s="36"/>
      <c r="N40" s="36"/>
      <c r="O40" s="36"/>
      <c r="P40" s="36"/>
      <c r="Q40" s="36"/>
      <c r="R40" s="36"/>
      <c r="S40" s="36"/>
    </row>
    <row r="41" spans="1:19" x14ac:dyDescent="0.2">
      <c r="A41" s="58">
        <v>3</v>
      </c>
      <c r="B41" s="58" t="s">
        <v>74</v>
      </c>
      <c r="C41" s="59">
        <v>803</v>
      </c>
      <c r="D41" s="46">
        <v>3.6</v>
      </c>
      <c r="E41" s="47">
        <v>3.6</v>
      </c>
      <c r="F41" s="47"/>
      <c r="G41" s="8">
        <f t="shared" si="0"/>
        <v>3.6</v>
      </c>
      <c r="H41" s="47"/>
      <c r="I41" s="36"/>
      <c r="J41" s="36"/>
      <c r="K41" s="36"/>
      <c r="L41" s="36"/>
      <c r="M41" s="36"/>
      <c r="N41" s="36"/>
      <c r="O41" s="36"/>
      <c r="P41" s="36"/>
      <c r="Q41" s="36"/>
      <c r="R41" s="36"/>
      <c r="S41" s="36"/>
    </row>
    <row r="42" spans="1:19" x14ac:dyDescent="0.2">
      <c r="A42" s="58">
        <v>3</v>
      </c>
      <c r="B42" s="58" t="s">
        <v>74</v>
      </c>
      <c r="C42" s="59">
        <v>808</v>
      </c>
      <c r="D42" s="70" t="s">
        <v>123</v>
      </c>
      <c r="E42" s="71" t="s">
        <v>123</v>
      </c>
      <c r="F42" s="47"/>
      <c r="G42" s="8" t="s">
        <v>123</v>
      </c>
      <c r="H42" s="47"/>
      <c r="I42" s="36"/>
      <c r="J42" s="36"/>
      <c r="K42" s="36"/>
      <c r="L42" s="36"/>
      <c r="M42" s="36"/>
      <c r="N42" s="36"/>
      <c r="O42" s="36"/>
      <c r="P42" s="36"/>
      <c r="Q42" s="36"/>
      <c r="R42" s="36"/>
      <c r="S42" s="36"/>
    </row>
    <row r="43" spans="1:19" x14ac:dyDescent="0.2">
      <c r="A43" s="58">
        <v>3</v>
      </c>
      <c r="B43" s="58" t="s">
        <v>74</v>
      </c>
      <c r="C43" s="59">
        <v>811</v>
      </c>
      <c r="D43" s="46">
        <v>3.1</v>
      </c>
      <c r="E43" s="47">
        <v>3.1</v>
      </c>
      <c r="F43" s="47"/>
      <c r="G43" s="8">
        <f t="shared" si="0"/>
        <v>3.1</v>
      </c>
      <c r="H43" s="47"/>
      <c r="I43" s="36"/>
      <c r="J43" s="36"/>
      <c r="K43" s="36"/>
      <c r="L43" s="36"/>
      <c r="M43" s="36"/>
      <c r="N43" s="36"/>
      <c r="O43" s="36"/>
      <c r="P43" s="36"/>
      <c r="Q43" s="36"/>
      <c r="R43" s="36"/>
      <c r="S43" s="36"/>
    </row>
    <row r="44" spans="1:19" x14ac:dyDescent="0.2">
      <c r="A44" s="58">
        <v>3</v>
      </c>
      <c r="B44" s="58" t="s">
        <v>74</v>
      </c>
      <c r="C44" s="59">
        <v>812</v>
      </c>
      <c r="D44" s="46">
        <v>1.9</v>
      </c>
      <c r="E44" s="47">
        <v>1.8</v>
      </c>
      <c r="F44" s="47"/>
      <c r="G44" s="8">
        <f t="shared" si="0"/>
        <v>1.85</v>
      </c>
      <c r="H44" s="47"/>
      <c r="I44" s="36"/>
      <c r="J44" s="36"/>
      <c r="K44" s="36"/>
      <c r="L44" s="36"/>
      <c r="M44" s="36"/>
      <c r="N44" s="36"/>
      <c r="O44" s="36"/>
      <c r="P44" s="36"/>
      <c r="Q44" s="36"/>
      <c r="R44" s="36"/>
      <c r="S44" s="36"/>
    </row>
    <row r="45" spans="1:19" x14ac:dyDescent="0.2">
      <c r="A45" s="58">
        <v>3</v>
      </c>
      <c r="B45" s="58" t="s">
        <v>74</v>
      </c>
      <c r="C45" s="59">
        <v>815</v>
      </c>
      <c r="D45" s="46">
        <v>2.1</v>
      </c>
      <c r="E45" s="47">
        <v>2.1</v>
      </c>
      <c r="F45" s="47"/>
      <c r="G45" s="8">
        <f t="shared" si="0"/>
        <v>2.1</v>
      </c>
      <c r="H45" s="47"/>
      <c r="I45" s="36"/>
      <c r="J45" s="36"/>
      <c r="K45" s="36"/>
      <c r="L45" s="36"/>
      <c r="M45" s="36"/>
      <c r="N45" s="36"/>
      <c r="O45" s="36"/>
      <c r="P45" s="36"/>
      <c r="Q45" s="36"/>
      <c r="R45" s="36"/>
      <c r="S45" s="36"/>
    </row>
    <row r="46" spans="1:19" x14ac:dyDescent="0.2">
      <c r="A46" s="58">
        <v>3</v>
      </c>
      <c r="B46" s="58" t="s">
        <v>74</v>
      </c>
      <c r="C46" s="59">
        <v>816</v>
      </c>
      <c r="D46" s="46">
        <v>2.4</v>
      </c>
      <c r="E46" s="47">
        <v>2.4</v>
      </c>
      <c r="F46" s="47"/>
      <c r="G46" s="8">
        <f t="shared" si="0"/>
        <v>2.4</v>
      </c>
      <c r="H46" s="47"/>
      <c r="I46" s="36"/>
      <c r="J46" s="36"/>
      <c r="K46" s="36"/>
      <c r="L46" s="36"/>
      <c r="M46" s="36"/>
      <c r="N46" s="36"/>
      <c r="O46" s="36"/>
      <c r="P46" s="36"/>
      <c r="Q46" s="36"/>
      <c r="R46" s="36"/>
      <c r="S46" s="36"/>
    </row>
    <row r="47" spans="1:19" x14ac:dyDescent="0.2">
      <c r="A47" s="58">
        <v>3</v>
      </c>
      <c r="B47" s="58" t="s">
        <v>74</v>
      </c>
      <c r="C47" s="59">
        <v>817</v>
      </c>
      <c r="D47" s="46">
        <v>2.2000000000000002</v>
      </c>
      <c r="E47" s="47">
        <v>2.1</v>
      </c>
      <c r="F47" s="47"/>
      <c r="G47" s="8">
        <f t="shared" si="0"/>
        <v>2.15</v>
      </c>
      <c r="H47" s="47"/>
      <c r="I47" s="36"/>
      <c r="J47" s="36"/>
      <c r="K47" s="36"/>
      <c r="L47" s="36"/>
      <c r="M47" s="36"/>
      <c r="N47" s="36"/>
      <c r="O47" s="36"/>
      <c r="P47" s="36"/>
      <c r="Q47" s="36"/>
      <c r="R47" s="36"/>
      <c r="S47" s="36"/>
    </row>
    <row r="48" spans="1:19" x14ac:dyDescent="0.2">
      <c r="A48" s="58">
        <v>3</v>
      </c>
      <c r="B48" s="58" t="s">
        <v>74</v>
      </c>
      <c r="C48" s="59">
        <v>818</v>
      </c>
      <c r="D48" s="46">
        <v>2.8</v>
      </c>
      <c r="E48" s="47">
        <v>2.8</v>
      </c>
      <c r="F48" s="47"/>
      <c r="G48" s="8">
        <f t="shared" si="0"/>
        <v>2.8</v>
      </c>
      <c r="H48" s="47"/>
      <c r="I48" s="36"/>
      <c r="J48" s="36"/>
      <c r="K48" s="36"/>
      <c r="L48" s="36"/>
      <c r="M48" s="36"/>
      <c r="N48" s="36"/>
      <c r="O48" s="36"/>
      <c r="P48" s="36"/>
      <c r="Q48" s="36"/>
      <c r="R48" s="36"/>
      <c r="S48" s="36"/>
    </row>
    <row r="49" spans="1:19" x14ac:dyDescent="0.2">
      <c r="A49" s="58">
        <v>3</v>
      </c>
      <c r="B49" s="58" t="s">
        <v>74</v>
      </c>
      <c r="C49" s="59">
        <v>833</v>
      </c>
      <c r="D49" s="46">
        <v>2.1</v>
      </c>
      <c r="E49" s="47">
        <v>2.2000000000000002</v>
      </c>
      <c r="F49" s="47"/>
      <c r="G49" s="8">
        <f t="shared" si="0"/>
        <v>2.15</v>
      </c>
      <c r="H49" s="47"/>
      <c r="I49" s="36"/>
      <c r="J49" s="36"/>
      <c r="K49" s="36"/>
      <c r="L49" s="36"/>
      <c r="M49" s="36"/>
      <c r="N49" s="36"/>
      <c r="O49" s="36"/>
      <c r="P49" s="36"/>
      <c r="Q49" s="36"/>
      <c r="R49" s="36"/>
      <c r="S49" s="36"/>
    </row>
    <row r="50" spans="1:19" x14ac:dyDescent="0.2">
      <c r="A50" s="58">
        <v>3</v>
      </c>
      <c r="B50" s="58" t="s">
        <v>74</v>
      </c>
      <c r="C50" s="59">
        <v>834</v>
      </c>
      <c r="D50" s="70" t="s">
        <v>123</v>
      </c>
      <c r="E50" s="71" t="s">
        <v>123</v>
      </c>
      <c r="F50" s="47"/>
      <c r="G50" s="8" t="s">
        <v>123</v>
      </c>
      <c r="H50" s="47"/>
      <c r="I50" s="36"/>
      <c r="J50" s="36"/>
      <c r="K50" s="36"/>
      <c r="L50" s="36"/>
      <c r="M50" s="36"/>
      <c r="N50" s="36"/>
      <c r="O50" s="36"/>
      <c r="P50" s="36"/>
      <c r="Q50" s="36"/>
      <c r="R50" s="36"/>
      <c r="S50" s="36"/>
    </row>
    <row r="51" spans="1:19" x14ac:dyDescent="0.2">
      <c r="A51" s="58">
        <v>3</v>
      </c>
      <c r="B51" s="58" t="s">
        <v>74</v>
      </c>
      <c r="C51" s="59">
        <v>835</v>
      </c>
      <c r="D51" s="46">
        <v>2.7</v>
      </c>
      <c r="E51" s="47">
        <v>2.1</v>
      </c>
      <c r="F51" s="47"/>
      <c r="G51" s="8">
        <f t="shared" si="0"/>
        <v>2.4</v>
      </c>
      <c r="H51" s="47"/>
      <c r="I51" s="36"/>
      <c r="J51" s="36"/>
      <c r="K51" s="36"/>
      <c r="L51" s="36"/>
      <c r="M51" s="36"/>
      <c r="N51" s="36"/>
      <c r="O51" s="36"/>
      <c r="P51" s="36"/>
      <c r="Q51" s="36"/>
      <c r="R51" s="36"/>
      <c r="S51" s="36"/>
    </row>
    <row r="52" spans="1:19" x14ac:dyDescent="0.2">
      <c r="A52" s="58">
        <v>3</v>
      </c>
      <c r="B52" s="58" t="s">
        <v>74</v>
      </c>
      <c r="C52" s="59">
        <v>844</v>
      </c>
      <c r="D52" s="46">
        <v>2.2999999999999998</v>
      </c>
      <c r="E52" s="47">
        <v>2.2000000000000002</v>
      </c>
      <c r="F52" s="47"/>
      <c r="G52" s="8">
        <f t="shared" si="0"/>
        <v>2.25</v>
      </c>
      <c r="H52" s="47"/>
      <c r="I52" s="36"/>
      <c r="J52" s="36"/>
      <c r="K52" s="36"/>
      <c r="L52" s="36"/>
      <c r="M52" s="36"/>
      <c r="N52" s="36"/>
      <c r="O52" s="36"/>
      <c r="P52" s="36"/>
      <c r="Q52" s="36"/>
      <c r="R52" s="36"/>
      <c r="S52" s="36"/>
    </row>
    <row r="53" spans="1:19" x14ac:dyDescent="0.2">
      <c r="A53" s="58">
        <v>3</v>
      </c>
      <c r="B53" s="58" t="s">
        <v>74</v>
      </c>
      <c r="C53" s="59">
        <v>845</v>
      </c>
      <c r="D53" s="46">
        <v>2.2000000000000002</v>
      </c>
      <c r="E53" s="47">
        <v>2.2000000000000002</v>
      </c>
      <c r="F53" s="47"/>
      <c r="G53" s="8">
        <f t="shared" si="0"/>
        <v>2.2000000000000002</v>
      </c>
      <c r="H53" s="47"/>
      <c r="I53" s="36"/>
      <c r="J53" s="36"/>
      <c r="K53" s="36"/>
      <c r="L53" s="36"/>
      <c r="M53" s="36"/>
      <c r="N53" s="36"/>
      <c r="O53" s="36"/>
      <c r="P53" s="36"/>
      <c r="Q53" s="36"/>
      <c r="R53" s="36"/>
      <c r="S53" s="36"/>
    </row>
    <row r="54" spans="1:19" x14ac:dyDescent="0.2">
      <c r="A54" s="58">
        <v>3</v>
      </c>
      <c r="B54" s="58" t="s">
        <v>74</v>
      </c>
      <c r="C54" s="59">
        <v>846</v>
      </c>
      <c r="D54" s="46">
        <v>3.3</v>
      </c>
      <c r="E54" s="47">
        <v>3.3</v>
      </c>
      <c r="F54" s="47"/>
      <c r="G54" s="8">
        <f t="shared" si="0"/>
        <v>3.3</v>
      </c>
      <c r="H54" s="47"/>
      <c r="I54" s="36"/>
      <c r="J54" s="36"/>
      <c r="K54" s="36"/>
      <c r="L54" s="36"/>
      <c r="M54" s="36"/>
      <c r="N54" s="36"/>
      <c r="O54" s="36"/>
      <c r="P54" s="36"/>
      <c r="Q54" s="36"/>
      <c r="R54" s="36"/>
      <c r="S54" s="36"/>
    </row>
    <row r="55" spans="1:19" x14ac:dyDescent="0.2">
      <c r="A55" s="58">
        <v>3</v>
      </c>
      <c r="B55" s="58" t="s">
        <v>74</v>
      </c>
      <c r="C55" s="59">
        <v>849</v>
      </c>
      <c r="D55" s="46">
        <v>2.4</v>
      </c>
      <c r="E55" s="47">
        <v>2.2999999999999998</v>
      </c>
      <c r="F55" s="47"/>
      <c r="G55" s="8">
        <f t="shared" si="0"/>
        <v>2.35</v>
      </c>
      <c r="H55" s="47"/>
      <c r="I55" s="36"/>
      <c r="J55" s="36"/>
      <c r="K55" s="36"/>
      <c r="L55" s="36"/>
      <c r="M55" s="36"/>
      <c r="N55" s="36"/>
      <c r="O55" s="36"/>
      <c r="P55" s="36"/>
      <c r="Q55" s="36"/>
      <c r="R55" s="36"/>
      <c r="S55" s="36"/>
    </row>
    <row r="56" spans="1:19" x14ac:dyDescent="0.2">
      <c r="A56" s="58">
        <v>3</v>
      </c>
      <c r="B56" s="58" t="s">
        <v>74</v>
      </c>
      <c r="C56" s="59">
        <v>856</v>
      </c>
      <c r="D56" s="46">
        <v>2.2000000000000002</v>
      </c>
      <c r="E56" s="47">
        <v>2.1</v>
      </c>
      <c r="F56" s="47"/>
      <c r="G56" s="8">
        <f t="shared" si="0"/>
        <v>2.15</v>
      </c>
      <c r="H56" s="47"/>
      <c r="I56" s="36"/>
      <c r="J56" s="36"/>
      <c r="K56" s="36"/>
      <c r="L56" s="36"/>
      <c r="M56" s="36"/>
      <c r="N56" s="36"/>
      <c r="O56" s="36"/>
      <c r="P56" s="36"/>
      <c r="Q56" s="36"/>
      <c r="R56" s="36"/>
      <c r="S56" s="36"/>
    </row>
    <row r="57" spans="1:19" x14ac:dyDescent="0.2">
      <c r="A57" s="58">
        <v>3</v>
      </c>
      <c r="B57" s="58" t="s">
        <v>74</v>
      </c>
      <c r="C57" s="59">
        <v>859</v>
      </c>
      <c r="D57" s="46">
        <v>2.2000000000000002</v>
      </c>
      <c r="E57" s="47">
        <v>2.2000000000000002</v>
      </c>
      <c r="F57" s="47"/>
      <c r="G57" s="8">
        <f t="shared" si="0"/>
        <v>2.2000000000000002</v>
      </c>
      <c r="H57" s="47"/>
      <c r="I57" s="36"/>
      <c r="J57" s="36"/>
      <c r="K57" s="36"/>
      <c r="L57" s="36"/>
      <c r="M57" s="36"/>
      <c r="N57" s="36"/>
      <c r="O57" s="36"/>
      <c r="P57" s="36"/>
      <c r="Q57" s="36"/>
      <c r="R57" s="36"/>
      <c r="S57" s="36"/>
    </row>
    <row r="58" spans="1:19" x14ac:dyDescent="0.2">
      <c r="A58" s="58">
        <v>3</v>
      </c>
      <c r="B58" s="58" t="s">
        <v>74</v>
      </c>
      <c r="C58" s="59">
        <v>861</v>
      </c>
      <c r="D58" s="46">
        <v>2.6</v>
      </c>
      <c r="E58" s="47">
        <v>2.6</v>
      </c>
      <c r="F58" s="47"/>
      <c r="G58" s="8">
        <f t="shared" si="0"/>
        <v>2.6</v>
      </c>
      <c r="H58" s="47"/>
      <c r="I58" s="36"/>
      <c r="J58" s="36"/>
      <c r="K58" s="36"/>
      <c r="L58" s="36"/>
      <c r="M58" s="36"/>
      <c r="N58" s="36"/>
      <c r="O58" s="36"/>
      <c r="P58" s="36"/>
      <c r="Q58" s="36"/>
      <c r="R58" s="36"/>
      <c r="S58" s="36"/>
    </row>
    <row r="59" spans="1:19" x14ac:dyDescent="0.2">
      <c r="A59" s="58">
        <v>3</v>
      </c>
      <c r="B59" s="58" t="s">
        <v>74</v>
      </c>
      <c r="C59" s="59">
        <v>862</v>
      </c>
      <c r="D59" s="46">
        <v>2.6</v>
      </c>
      <c r="E59" s="47">
        <v>2.5</v>
      </c>
      <c r="F59" s="47"/>
      <c r="G59" s="8">
        <f t="shared" si="0"/>
        <v>2.5499999999999998</v>
      </c>
      <c r="H59" s="47"/>
      <c r="I59" s="36"/>
      <c r="J59" s="36"/>
      <c r="K59" s="36"/>
      <c r="L59" s="36"/>
      <c r="M59" s="36"/>
      <c r="N59" s="36"/>
      <c r="O59" s="36"/>
      <c r="P59" s="36"/>
      <c r="Q59" s="36"/>
      <c r="R59" s="36"/>
      <c r="S59" s="36"/>
    </row>
    <row r="60" spans="1:19" x14ac:dyDescent="0.2">
      <c r="A60" s="58">
        <v>3</v>
      </c>
      <c r="B60" s="58" t="s">
        <v>74</v>
      </c>
      <c r="C60" s="59">
        <v>865</v>
      </c>
      <c r="D60" s="46">
        <v>1.9</v>
      </c>
      <c r="E60" s="47">
        <v>1.8</v>
      </c>
      <c r="F60" s="47"/>
      <c r="G60" s="8">
        <f t="shared" si="0"/>
        <v>1.85</v>
      </c>
      <c r="H60" s="47"/>
      <c r="I60" s="36"/>
      <c r="J60" s="36"/>
      <c r="K60" s="36"/>
      <c r="L60" s="36"/>
      <c r="M60" s="36"/>
      <c r="N60" s="36"/>
      <c r="O60" s="36"/>
      <c r="P60" s="36"/>
      <c r="Q60" s="36"/>
      <c r="R60" s="36"/>
      <c r="S60" s="36"/>
    </row>
    <row r="61" spans="1:19" x14ac:dyDescent="0.2">
      <c r="A61" s="58">
        <v>3</v>
      </c>
      <c r="B61" s="58" t="s">
        <v>74</v>
      </c>
      <c r="C61" s="59">
        <v>866</v>
      </c>
      <c r="D61" s="46">
        <v>2.5</v>
      </c>
      <c r="E61" s="47">
        <v>2.5</v>
      </c>
      <c r="F61" s="47"/>
      <c r="G61" s="8">
        <f t="shared" si="0"/>
        <v>2.5</v>
      </c>
      <c r="H61" s="47"/>
      <c r="I61" s="36"/>
      <c r="J61" s="36"/>
      <c r="K61" s="36"/>
      <c r="L61" s="36"/>
      <c r="M61" s="36"/>
      <c r="N61" s="36"/>
      <c r="O61" s="36"/>
      <c r="P61" s="36"/>
      <c r="Q61" s="36"/>
      <c r="R61" s="36"/>
      <c r="S61" s="36"/>
    </row>
    <row r="62" spans="1:19" x14ac:dyDescent="0.2">
      <c r="A62" s="58">
        <v>3</v>
      </c>
      <c r="B62" s="58" t="s">
        <v>74</v>
      </c>
      <c r="C62" s="59">
        <v>871</v>
      </c>
      <c r="D62" s="46">
        <v>2.7</v>
      </c>
      <c r="E62" s="47">
        <v>2.7</v>
      </c>
      <c r="F62" s="47"/>
      <c r="G62" s="8">
        <f t="shared" si="0"/>
        <v>2.7</v>
      </c>
      <c r="H62" s="47"/>
      <c r="I62" s="36"/>
      <c r="J62" s="36"/>
      <c r="K62" s="36"/>
      <c r="L62" s="36"/>
      <c r="M62" s="36"/>
      <c r="N62" s="36"/>
      <c r="O62" s="36"/>
      <c r="P62" s="36"/>
      <c r="Q62" s="36"/>
      <c r="R62" s="36"/>
      <c r="S62" s="36"/>
    </row>
    <row r="63" spans="1:19" x14ac:dyDescent="0.2">
      <c r="A63" s="58">
        <v>3</v>
      </c>
      <c r="B63" s="58" t="s">
        <v>74</v>
      </c>
      <c r="C63" s="59">
        <v>873</v>
      </c>
      <c r="D63" s="46">
        <v>2.2000000000000002</v>
      </c>
      <c r="E63" s="47">
        <v>2.2000000000000002</v>
      </c>
      <c r="F63" s="47"/>
      <c r="G63" s="8">
        <f t="shared" si="0"/>
        <v>2.2000000000000002</v>
      </c>
      <c r="H63" s="47"/>
      <c r="I63" s="36"/>
      <c r="J63" s="36"/>
      <c r="K63" s="36"/>
      <c r="L63" s="36"/>
      <c r="M63" s="36"/>
      <c r="N63" s="36"/>
      <c r="O63" s="36"/>
      <c r="P63" s="36"/>
      <c r="Q63" s="36"/>
      <c r="R63" s="36"/>
      <c r="S63" s="36"/>
    </row>
    <row r="64" spans="1:19" x14ac:dyDescent="0.2">
      <c r="A64" s="58">
        <v>3</v>
      </c>
      <c r="B64" s="58" t="s">
        <v>74</v>
      </c>
      <c r="C64" s="59">
        <v>874</v>
      </c>
      <c r="D64" s="46">
        <v>2.1</v>
      </c>
      <c r="E64" s="47">
        <v>2</v>
      </c>
      <c r="F64" s="47"/>
      <c r="G64" s="8">
        <f t="shared" si="0"/>
        <v>2.0499999999999998</v>
      </c>
      <c r="H64" s="47"/>
      <c r="I64" s="36"/>
      <c r="J64" s="36"/>
      <c r="K64" s="36"/>
      <c r="L64" s="36"/>
      <c r="M64" s="36"/>
      <c r="N64" s="36"/>
      <c r="O64" s="36"/>
      <c r="P64" s="36"/>
      <c r="Q64" s="36"/>
      <c r="R64" s="36"/>
      <c r="S64" s="36"/>
    </row>
    <row r="65" spans="1:19" x14ac:dyDescent="0.2">
      <c r="A65" s="58">
        <v>3</v>
      </c>
      <c r="B65" s="58" t="s">
        <v>74</v>
      </c>
      <c r="C65" s="59">
        <v>877</v>
      </c>
      <c r="D65" s="46">
        <v>1.1000000000000001</v>
      </c>
      <c r="E65" s="47">
        <v>1.1000000000000001</v>
      </c>
      <c r="F65" s="47"/>
      <c r="G65" s="8">
        <f t="shared" si="0"/>
        <v>1.1000000000000001</v>
      </c>
      <c r="H65" s="47"/>
      <c r="I65" s="36"/>
      <c r="J65" s="36"/>
      <c r="K65" s="36"/>
      <c r="L65" s="36"/>
      <c r="M65" s="36"/>
      <c r="N65" s="36"/>
      <c r="O65" s="36"/>
      <c r="P65" s="36"/>
      <c r="Q65" s="36"/>
      <c r="R65" s="36"/>
      <c r="S65" s="36"/>
    </row>
    <row r="66" spans="1:19" x14ac:dyDescent="0.2">
      <c r="A66" s="58">
        <v>3</v>
      </c>
      <c r="B66" s="58" t="s">
        <v>74</v>
      </c>
      <c r="C66" s="59">
        <v>879</v>
      </c>
      <c r="D66" s="46">
        <v>2.9</v>
      </c>
      <c r="E66" s="47">
        <v>2.8</v>
      </c>
      <c r="F66" s="47"/>
      <c r="G66" s="8">
        <f t="shared" si="0"/>
        <v>2.85</v>
      </c>
      <c r="H66" s="47"/>
      <c r="I66" s="36"/>
      <c r="J66" s="36"/>
      <c r="K66" s="36"/>
      <c r="L66" s="36"/>
      <c r="M66" s="36"/>
      <c r="N66" s="36"/>
      <c r="O66" s="36"/>
      <c r="P66" s="36"/>
      <c r="Q66" s="36"/>
      <c r="R66" s="36"/>
      <c r="S66" s="36"/>
    </row>
    <row r="67" spans="1:19" x14ac:dyDescent="0.2">
      <c r="A67" s="58">
        <v>3</v>
      </c>
      <c r="B67" s="58" t="s">
        <v>74</v>
      </c>
      <c r="C67" s="59">
        <v>887</v>
      </c>
      <c r="D67" s="46">
        <v>2.4</v>
      </c>
      <c r="E67" s="47">
        <v>2.4</v>
      </c>
      <c r="F67" s="47"/>
      <c r="G67" s="8">
        <f t="shared" si="0"/>
        <v>2.4</v>
      </c>
      <c r="H67" s="47"/>
      <c r="I67" s="36"/>
      <c r="J67" s="36"/>
      <c r="K67" s="36"/>
      <c r="L67" s="36"/>
      <c r="M67" s="36"/>
      <c r="N67" s="36"/>
      <c r="O67" s="36"/>
      <c r="P67" s="36"/>
      <c r="Q67" s="36"/>
      <c r="R67" s="36"/>
      <c r="S67" s="36"/>
    </row>
    <row r="68" spans="1:19" x14ac:dyDescent="0.2">
      <c r="A68" s="58">
        <v>3</v>
      </c>
      <c r="B68" s="58" t="s">
        <v>74</v>
      </c>
      <c r="C68" s="59">
        <v>888</v>
      </c>
      <c r="D68" s="70" t="s">
        <v>123</v>
      </c>
      <c r="E68" s="71" t="s">
        <v>123</v>
      </c>
      <c r="F68" s="47"/>
      <c r="G68" s="8" t="s">
        <v>123</v>
      </c>
      <c r="H68" s="47"/>
      <c r="I68" s="36"/>
      <c r="J68" s="36"/>
      <c r="K68" s="36"/>
      <c r="L68" s="36"/>
      <c r="M68" s="36"/>
      <c r="N68" s="36"/>
      <c r="O68" s="36"/>
      <c r="P68" s="36"/>
      <c r="Q68" s="36"/>
      <c r="R68" s="36"/>
      <c r="S68" s="36"/>
    </row>
    <row r="69" spans="1:19" x14ac:dyDescent="0.2">
      <c r="A69" s="51">
        <v>4</v>
      </c>
      <c r="B69" s="51" t="s">
        <v>104</v>
      </c>
      <c r="C69" s="52" t="s">
        <v>105</v>
      </c>
      <c r="D69" s="46">
        <v>4.3</v>
      </c>
      <c r="E69" s="47">
        <v>4.3</v>
      </c>
      <c r="F69" s="47"/>
      <c r="G69" s="8">
        <f t="shared" si="0"/>
        <v>4.3</v>
      </c>
      <c r="H69" s="47"/>
      <c r="I69" s="36"/>
      <c r="J69" s="36"/>
      <c r="K69" s="36"/>
      <c r="L69" s="36"/>
      <c r="M69" s="36"/>
      <c r="N69" s="36"/>
      <c r="O69" s="36"/>
      <c r="P69" s="36"/>
      <c r="Q69" s="36"/>
      <c r="R69" s="36"/>
      <c r="S69" s="36"/>
    </row>
    <row r="70" spans="1:19" x14ac:dyDescent="0.2">
      <c r="A70" s="51">
        <v>4</v>
      </c>
      <c r="B70" s="51" t="s">
        <v>104</v>
      </c>
      <c r="C70" s="52" t="s">
        <v>106</v>
      </c>
      <c r="D70" s="46">
        <v>1.5</v>
      </c>
      <c r="E70" s="47">
        <v>1.8</v>
      </c>
      <c r="F70" s="47">
        <v>1.6</v>
      </c>
      <c r="G70" s="8">
        <f t="shared" si="0"/>
        <v>1.63</v>
      </c>
      <c r="H70" s="47"/>
      <c r="I70" s="36"/>
      <c r="J70" s="36"/>
      <c r="K70" s="36"/>
      <c r="L70" s="36"/>
      <c r="M70" s="36"/>
      <c r="N70" s="36"/>
      <c r="O70" s="36"/>
      <c r="P70" s="36"/>
      <c r="Q70" s="36"/>
      <c r="R70" s="36"/>
      <c r="S70" s="36"/>
    </row>
    <row r="71" spans="1:19" x14ac:dyDescent="0.2">
      <c r="A71" s="51">
        <v>4</v>
      </c>
      <c r="B71" s="51" t="s">
        <v>104</v>
      </c>
      <c r="C71" s="52" t="s">
        <v>107</v>
      </c>
      <c r="D71" s="46">
        <v>4.3</v>
      </c>
      <c r="E71" s="47">
        <v>4.3</v>
      </c>
      <c r="F71" s="47"/>
      <c r="G71" s="8">
        <f t="shared" si="0"/>
        <v>4.3</v>
      </c>
      <c r="H71" s="47"/>
      <c r="I71" s="36"/>
      <c r="J71" s="36"/>
      <c r="K71" s="36"/>
      <c r="L71" s="36"/>
      <c r="M71" s="36"/>
      <c r="N71" s="36"/>
      <c r="O71" s="36"/>
      <c r="P71" s="36"/>
      <c r="Q71" s="36"/>
      <c r="R71" s="36"/>
      <c r="S71" s="36"/>
    </row>
    <row r="72" spans="1:19" x14ac:dyDescent="0.2">
      <c r="A72" s="51">
        <v>4</v>
      </c>
      <c r="B72" s="51" t="s">
        <v>104</v>
      </c>
      <c r="C72" s="52" t="s">
        <v>108</v>
      </c>
      <c r="D72" s="46">
        <v>2.7</v>
      </c>
      <c r="E72" s="47">
        <v>2.7</v>
      </c>
      <c r="F72" s="47"/>
      <c r="G72" s="8">
        <f t="shared" si="0"/>
        <v>2.7</v>
      </c>
      <c r="H72" s="47"/>
      <c r="I72" s="36"/>
      <c r="J72" s="36"/>
      <c r="K72" s="36"/>
      <c r="L72" s="36"/>
      <c r="M72" s="36"/>
      <c r="N72" s="36"/>
      <c r="O72" s="36"/>
      <c r="P72" s="36"/>
      <c r="Q72" s="36"/>
      <c r="R72" s="36"/>
      <c r="S72" s="36"/>
    </row>
    <row r="73" spans="1:19" x14ac:dyDescent="0.2">
      <c r="A73" s="51">
        <v>4</v>
      </c>
      <c r="B73" s="51" t="s">
        <v>104</v>
      </c>
      <c r="C73" s="52" t="s">
        <v>109</v>
      </c>
      <c r="D73" s="46">
        <v>3.7</v>
      </c>
      <c r="E73" s="47">
        <v>3.7</v>
      </c>
      <c r="F73" s="47"/>
      <c r="G73" s="8">
        <f t="shared" si="0"/>
        <v>3.7</v>
      </c>
      <c r="H73" s="47"/>
      <c r="I73" s="36"/>
      <c r="J73" s="36"/>
      <c r="K73" s="36"/>
      <c r="L73" s="36"/>
      <c r="M73" s="36"/>
      <c r="N73" s="36"/>
      <c r="O73" s="36"/>
      <c r="P73" s="36"/>
      <c r="Q73" s="36"/>
      <c r="R73" s="36"/>
      <c r="S73" s="36"/>
    </row>
    <row r="74" spans="1:19" x14ac:dyDescent="0.2">
      <c r="A74" s="51">
        <v>4</v>
      </c>
      <c r="B74" s="51" t="s">
        <v>104</v>
      </c>
      <c r="C74" s="52" t="s">
        <v>110</v>
      </c>
      <c r="D74" s="46">
        <v>3.6</v>
      </c>
      <c r="E74" s="47">
        <v>3.6</v>
      </c>
      <c r="F74" s="47"/>
      <c r="G74" s="8">
        <f t="shared" ref="G74:G102" si="1">ROUND(AVERAGE(D74:F74), 2)</f>
        <v>3.6</v>
      </c>
      <c r="H74" s="47"/>
      <c r="I74" s="36"/>
      <c r="J74" s="36"/>
      <c r="K74" s="36"/>
      <c r="L74" s="36"/>
      <c r="M74" s="36"/>
      <c r="N74" s="36"/>
      <c r="O74" s="36"/>
      <c r="P74" s="36"/>
      <c r="Q74" s="36"/>
      <c r="R74" s="36"/>
      <c r="S74" s="36"/>
    </row>
    <row r="75" spans="1:19" x14ac:dyDescent="0.2">
      <c r="A75" s="51">
        <v>4</v>
      </c>
      <c r="B75" s="51" t="s">
        <v>104</v>
      </c>
      <c r="C75" s="52" t="s">
        <v>111</v>
      </c>
      <c r="D75" s="46">
        <v>2.7</v>
      </c>
      <c r="E75" s="47">
        <v>2.6</v>
      </c>
      <c r="F75" s="47"/>
      <c r="G75" s="8">
        <f t="shared" si="1"/>
        <v>2.65</v>
      </c>
      <c r="H75" s="47"/>
      <c r="I75" s="36"/>
      <c r="J75" s="36"/>
      <c r="K75" s="36"/>
      <c r="L75" s="36"/>
      <c r="M75" s="36"/>
      <c r="N75" s="36"/>
      <c r="O75" s="36"/>
      <c r="P75" s="36"/>
      <c r="Q75" s="36"/>
      <c r="R75" s="36"/>
      <c r="S75" s="36"/>
    </row>
    <row r="76" spans="1:19" x14ac:dyDescent="0.2">
      <c r="A76" s="51">
        <v>4</v>
      </c>
      <c r="B76" s="51" t="s">
        <v>104</v>
      </c>
      <c r="C76" s="52" t="s">
        <v>112</v>
      </c>
      <c r="D76" s="46">
        <v>4.0999999999999996</v>
      </c>
      <c r="E76" s="47">
        <v>4.0999999999999996</v>
      </c>
      <c r="F76" s="47"/>
      <c r="G76" s="8">
        <f t="shared" si="1"/>
        <v>4.0999999999999996</v>
      </c>
      <c r="H76" s="47"/>
      <c r="I76" s="36"/>
      <c r="J76" s="36"/>
      <c r="K76" s="36"/>
      <c r="L76" s="36"/>
      <c r="M76" s="36"/>
      <c r="N76" s="36"/>
      <c r="O76" s="36"/>
      <c r="P76" s="36"/>
      <c r="Q76" s="36"/>
      <c r="R76" s="36"/>
      <c r="S76" s="36"/>
    </row>
    <row r="77" spans="1:19" x14ac:dyDescent="0.2">
      <c r="A77" s="51">
        <v>4</v>
      </c>
      <c r="B77" s="51" t="s">
        <v>104</v>
      </c>
      <c r="C77" s="52" t="s">
        <v>113</v>
      </c>
      <c r="D77" s="46">
        <v>3.6</v>
      </c>
      <c r="E77" s="47">
        <v>3.6</v>
      </c>
      <c r="F77" s="47"/>
      <c r="G77" s="8">
        <f t="shared" si="1"/>
        <v>3.6</v>
      </c>
      <c r="H77" s="47"/>
      <c r="I77" s="36"/>
      <c r="J77" s="36"/>
      <c r="K77" s="36"/>
      <c r="L77" s="36"/>
      <c r="M77" s="36"/>
      <c r="N77" s="36"/>
      <c r="O77" s="36"/>
      <c r="P77" s="36"/>
      <c r="Q77" s="36"/>
      <c r="R77" s="36"/>
      <c r="S77" s="36"/>
    </row>
    <row r="78" spans="1:19" x14ac:dyDescent="0.2">
      <c r="A78" s="51">
        <v>4</v>
      </c>
      <c r="B78" s="51" t="s">
        <v>104</v>
      </c>
      <c r="C78" s="52" t="s">
        <v>114</v>
      </c>
      <c r="D78" s="46">
        <v>2.9</v>
      </c>
      <c r="E78" s="47">
        <v>2.8</v>
      </c>
      <c r="F78" s="47"/>
      <c r="G78" s="8">
        <f t="shared" si="1"/>
        <v>2.85</v>
      </c>
      <c r="H78" s="47"/>
      <c r="I78" s="36"/>
      <c r="J78" s="36"/>
      <c r="K78" s="36"/>
      <c r="L78" s="36"/>
      <c r="M78" s="36"/>
      <c r="N78" s="36"/>
      <c r="O78" s="36"/>
      <c r="P78" s="36"/>
      <c r="Q78" s="36"/>
      <c r="R78" s="36"/>
      <c r="S78" s="36"/>
    </row>
    <row r="79" spans="1:19" x14ac:dyDescent="0.2">
      <c r="A79" s="51">
        <v>4</v>
      </c>
      <c r="B79" s="51" t="s">
        <v>104</v>
      </c>
      <c r="C79" s="52" t="s">
        <v>115</v>
      </c>
      <c r="D79" s="46">
        <v>3.6</v>
      </c>
      <c r="E79" s="47">
        <v>3.5</v>
      </c>
      <c r="F79" s="47"/>
      <c r="G79" s="8">
        <f t="shared" si="1"/>
        <v>3.55</v>
      </c>
      <c r="H79" s="47"/>
      <c r="I79" s="36"/>
      <c r="J79" s="36"/>
      <c r="K79" s="36"/>
      <c r="L79" s="36"/>
      <c r="M79" s="36"/>
      <c r="N79" s="36"/>
      <c r="O79" s="36"/>
      <c r="P79" s="36"/>
      <c r="Q79" s="36"/>
      <c r="R79" s="36"/>
      <c r="S79" s="36"/>
    </row>
    <row r="80" spans="1:19" x14ac:dyDescent="0.2">
      <c r="A80" s="51">
        <v>4</v>
      </c>
      <c r="B80" s="51" t="s">
        <v>104</v>
      </c>
      <c r="C80" s="52" t="s">
        <v>116</v>
      </c>
      <c r="D80" s="46">
        <v>3</v>
      </c>
      <c r="E80" s="47">
        <v>3</v>
      </c>
      <c r="F80" s="47"/>
      <c r="G80" s="8">
        <f t="shared" si="1"/>
        <v>3</v>
      </c>
      <c r="H80" s="47"/>
      <c r="I80" s="36"/>
      <c r="J80" s="36"/>
      <c r="K80" s="36"/>
      <c r="L80" s="36"/>
      <c r="M80" s="36"/>
      <c r="N80" s="36"/>
      <c r="O80" s="36"/>
      <c r="P80" s="36"/>
      <c r="Q80" s="36"/>
      <c r="R80" s="36"/>
      <c r="S80" s="36"/>
    </row>
    <row r="81" spans="1:19" x14ac:dyDescent="0.2">
      <c r="A81" s="51">
        <v>4</v>
      </c>
      <c r="B81" s="51" t="s">
        <v>104</v>
      </c>
      <c r="C81" s="52" t="s">
        <v>117</v>
      </c>
      <c r="D81" s="46">
        <v>2.9</v>
      </c>
      <c r="E81" s="47">
        <v>3</v>
      </c>
      <c r="F81" s="47"/>
      <c r="G81" s="8">
        <f t="shared" si="1"/>
        <v>2.95</v>
      </c>
      <c r="H81" s="47"/>
      <c r="I81" s="36"/>
      <c r="J81" s="36"/>
      <c r="K81" s="36"/>
      <c r="L81" s="36"/>
      <c r="M81" s="36"/>
      <c r="N81" s="36"/>
      <c r="O81" s="36"/>
      <c r="P81" s="36"/>
      <c r="Q81" s="36"/>
      <c r="R81" s="36"/>
      <c r="S81" s="36"/>
    </row>
    <row r="82" spans="1:19" x14ac:dyDescent="0.2">
      <c r="A82" s="51">
        <v>4</v>
      </c>
      <c r="B82" s="51" t="s">
        <v>104</v>
      </c>
      <c r="C82" s="52" t="s">
        <v>118</v>
      </c>
      <c r="D82" s="46">
        <v>3</v>
      </c>
      <c r="E82" s="47">
        <v>3</v>
      </c>
      <c r="F82" s="47"/>
      <c r="G82" s="8">
        <f t="shared" si="1"/>
        <v>3</v>
      </c>
      <c r="H82" s="47"/>
      <c r="I82" s="36"/>
      <c r="J82" s="36"/>
      <c r="K82" s="36"/>
      <c r="L82" s="36"/>
      <c r="M82" s="36"/>
      <c r="N82" s="36"/>
      <c r="O82" s="36"/>
      <c r="P82" s="36"/>
      <c r="Q82" s="36"/>
      <c r="R82" s="36"/>
      <c r="S82" s="36"/>
    </row>
    <row r="83" spans="1:19" x14ac:dyDescent="0.2">
      <c r="A83" s="51">
        <v>4</v>
      </c>
      <c r="B83" s="51" t="s">
        <v>104</v>
      </c>
      <c r="C83" s="52" t="s">
        <v>119</v>
      </c>
      <c r="D83" s="46">
        <v>1.9</v>
      </c>
      <c r="E83" s="47">
        <v>1.9</v>
      </c>
      <c r="F83" s="47"/>
      <c r="G83" s="8">
        <f t="shared" si="1"/>
        <v>1.9</v>
      </c>
      <c r="H83" s="47"/>
      <c r="I83" s="36"/>
      <c r="J83" s="36"/>
      <c r="K83" s="36"/>
      <c r="L83" s="36"/>
      <c r="M83" s="36"/>
      <c r="N83" s="36"/>
      <c r="O83" s="36"/>
      <c r="P83" s="36"/>
      <c r="Q83" s="36"/>
      <c r="R83" s="36"/>
      <c r="S83" s="36"/>
    </row>
    <row r="84" spans="1:19" x14ac:dyDescent="0.2">
      <c r="A84" s="51">
        <v>4</v>
      </c>
      <c r="B84" s="51" t="s">
        <v>104</v>
      </c>
      <c r="C84" s="52" t="s">
        <v>120</v>
      </c>
      <c r="D84" s="46">
        <v>2.7</v>
      </c>
      <c r="E84" s="47">
        <v>2.6</v>
      </c>
      <c r="F84" s="47"/>
      <c r="G84" s="8">
        <f t="shared" si="1"/>
        <v>2.65</v>
      </c>
      <c r="H84" s="47"/>
      <c r="I84" s="36"/>
      <c r="J84" s="36"/>
      <c r="K84" s="36"/>
      <c r="L84" s="36"/>
      <c r="M84" s="36"/>
      <c r="N84" s="36"/>
      <c r="O84" s="36"/>
      <c r="P84" s="36"/>
      <c r="Q84" s="36"/>
      <c r="R84" s="36"/>
      <c r="S84" s="36"/>
    </row>
    <row r="85" spans="1:19" x14ac:dyDescent="0.2">
      <c r="A85" s="51">
        <v>4</v>
      </c>
      <c r="B85" s="51" t="s">
        <v>104</v>
      </c>
      <c r="C85" s="52" t="s">
        <v>121</v>
      </c>
      <c r="D85" s="46">
        <v>2.9</v>
      </c>
      <c r="E85" s="47">
        <v>2.9</v>
      </c>
      <c r="F85" s="47"/>
      <c r="G85" s="8">
        <f t="shared" si="1"/>
        <v>2.9</v>
      </c>
      <c r="H85" s="47"/>
      <c r="I85" s="36"/>
      <c r="J85" s="36"/>
      <c r="K85" s="36"/>
      <c r="L85" s="36"/>
      <c r="M85" s="36"/>
      <c r="N85" s="36"/>
      <c r="O85" s="36"/>
      <c r="P85" s="36"/>
      <c r="Q85" s="36"/>
      <c r="R85" s="36"/>
      <c r="S85" s="36"/>
    </row>
    <row r="86" spans="1:19" x14ac:dyDescent="0.2">
      <c r="A86" s="51">
        <v>4</v>
      </c>
      <c r="B86" s="51" t="s">
        <v>104</v>
      </c>
      <c r="C86" s="52" t="s">
        <v>122</v>
      </c>
      <c r="D86" s="46" t="s">
        <v>123</v>
      </c>
      <c r="E86" s="47" t="s">
        <v>123</v>
      </c>
      <c r="F86" s="47"/>
      <c r="G86" s="8" t="s">
        <v>123</v>
      </c>
      <c r="H86" s="47"/>
      <c r="I86" s="36"/>
      <c r="J86" s="36"/>
      <c r="K86" s="36"/>
      <c r="L86" s="36"/>
      <c r="M86" s="36"/>
      <c r="N86" s="36"/>
      <c r="O86" s="36"/>
      <c r="P86" s="36"/>
      <c r="Q86" s="36"/>
      <c r="R86" s="36"/>
      <c r="S86" s="36"/>
    </row>
    <row r="87" spans="1:19" x14ac:dyDescent="0.2">
      <c r="A87" s="51">
        <v>4</v>
      </c>
      <c r="B87" s="51" t="s">
        <v>104</v>
      </c>
      <c r="C87" s="52" t="s">
        <v>124</v>
      </c>
      <c r="D87" s="46">
        <v>3</v>
      </c>
      <c r="E87" s="47">
        <v>3</v>
      </c>
      <c r="F87" s="47"/>
      <c r="G87" s="8">
        <f t="shared" si="1"/>
        <v>3</v>
      </c>
      <c r="H87" s="47"/>
      <c r="I87" s="36"/>
      <c r="J87" s="36"/>
      <c r="K87" s="36"/>
      <c r="L87" s="36"/>
      <c r="M87" s="36"/>
      <c r="N87" s="36"/>
      <c r="O87" s="36"/>
      <c r="P87" s="36"/>
      <c r="Q87" s="36"/>
      <c r="R87" s="36"/>
      <c r="S87" s="36"/>
    </row>
    <row r="88" spans="1:19" x14ac:dyDescent="0.2">
      <c r="A88" s="51">
        <v>4</v>
      </c>
      <c r="B88" s="51" t="s">
        <v>104</v>
      </c>
      <c r="C88" s="52" t="s">
        <v>125</v>
      </c>
      <c r="D88" s="46">
        <v>2</v>
      </c>
      <c r="E88" s="47">
        <v>2</v>
      </c>
      <c r="F88" s="47"/>
      <c r="G88" s="8">
        <f t="shared" si="1"/>
        <v>2</v>
      </c>
      <c r="H88" s="47"/>
      <c r="I88" s="36"/>
      <c r="J88" s="36"/>
      <c r="K88" s="36"/>
      <c r="L88" s="36"/>
      <c r="M88" s="36"/>
      <c r="N88" s="36"/>
      <c r="O88" s="36"/>
      <c r="P88" s="36"/>
      <c r="Q88" s="36"/>
      <c r="R88" s="36"/>
      <c r="S88" s="36"/>
    </row>
    <row r="89" spans="1:19" x14ac:dyDescent="0.2">
      <c r="A89" s="51">
        <v>4</v>
      </c>
      <c r="B89" s="51" t="s">
        <v>104</v>
      </c>
      <c r="C89" s="52" t="s">
        <v>126</v>
      </c>
      <c r="D89" s="46">
        <v>2.1</v>
      </c>
      <c r="E89" s="47">
        <v>2</v>
      </c>
      <c r="F89" s="47"/>
      <c r="G89" s="8">
        <f t="shared" si="1"/>
        <v>2.0499999999999998</v>
      </c>
      <c r="H89" s="47"/>
      <c r="I89" s="36"/>
      <c r="J89" s="36"/>
      <c r="K89" s="36"/>
      <c r="L89" s="36"/>
      <c r="M89" s="36"/>
      <c r="N89" s="36"/>
      <c r="O89" s="36"/>
      <c r="P89" s="36"/>
      <c r="Q89" s="36"/>
      <c r="R89" s="36"/>
      <c r="S89" s="36"/>
    </row>
    <row r="90" spans="1:19" x14ac:dyDescent="0.2">
      <c r="A90" s="51">
        <v>4</v>
      </c>
      <c r="B90" s="51" t="s">
        <v>104</v>
      </c>
      <c r="C90" s="52" t="s">
        <v>127</v>
      </c>
      <c r="D90" s="46">
        <v>3.9</v>
      </c>
      <c r="E90" s="47">
        <v>3.9</v>
      </c>
      <c r="F90" s="47"/>
      <c r="G90" s="8">
        <f t="shared" si="1"/>
        <v>3.9</v>
      </c>
      <c r="H90" s="47"/>
      <c r="I90" s="36"/>
      <c r="J90" s="36"/>
      <c r="K90" s="36"/>
      <c r="L90" s="36"/>
      <c r="M90" s="36"/>
      <c r="N90" s="36"/>
      <c r="O90" s="36"/>
      <c r="P90" s="36"/>
      <c r="Q90" s="36"/>
      <c r="R90" s="36"/>
      <c r="S90" s="36"/>
    </row>
    <row r="91" spans="1:19" x14ac:dyDescent="0.2">
      <c r="A91" s="51">
        <v>4</v>
      </c>
      <c r="B91" s="51" t="s">
        <v>104</v>
      </c>
      <c r="C91" s="52" t="s">
        <v>128</v>
      </c>
      <c r="D91" s="46">
        <v>3.2</v>
      </c>
      <c r="E91" s="47">
        <v>3.2</v>
      </c>
      <c r="F91" s="47"/>
      <c r="G91" s="8">
        <f t="shared" si="1"/>
        <v>3.2</v>
      </c>
      <c r="H91" s="47"/>
      <c r="I91" s="36"/>
      <c r="J91" s="36"/>
      <c r="K91" s="36"/>
      <c r="L91" s="36"/>
      <c r="M91" s="36"/>
      <c r="N91" s="36"/>
      <c r="O91" s="36"/>
      <c r="P91" s="36"/>
      <c r="Q91" s="36"/>
      <c r="R91" s="36"/>
      <c r="S91" s="36"/>
    </row>
    <row r="92" spans="1:19" x14ac:dyDescent="0.2">
      <c r="A92" s="51">
        <v>4</v>
      </c>
      <c r="B92" s="51" t="s">
        <v>104</v>
      </c>
      <c r="C92" s="52" t="s">
        <v>129</v>
      </c>
      <c r="D92" s="46">
        <v>2.7</v>
      </c>
      <c r="E92" s="47">
        <v>2.7</v>
      </c>
      <c r="F92" s="47"/>
      <c r="G92" s="8">
        <f t="shared" si="1"/>
        <v>2.7</v>
      </c>
      <c r="H92" s="47"/>
      <c r="I92" s="36"/>
      <c r="J92" s="36"/>
      <c r="K92" s="36"/>
      <c r="L92" s="36"/>
      <c r="M92" s="36"/>
      <c r="N92" s="36"/>
      <c r="O92" s="36"/>
      <c r="P92" s="36"/>
      <c r="Q92" s="36"/>
      <c r="R92" s="36"/>
      <c r="S92" s="36"/>
    </row>
    <row r="93" spans="1:19" x14ac:dyDescent="0.2">
      <c r="A93" s="51">
        <v>4</v>
      </c>
      <c r="B93" s="51" t="s">
        <v>104</v>
      </c>
      <c r="C93" s="52" t="s">
        <v>130</v>
      </c>
      <c r="D93" s="46">
        <v>3</v>
      </c>
      <c r="E93" s="47">
        <v>2.9</v>
      </c>
      <c r="F93" s="47"/>
      <c r="G93" s="8">
        <f t="shared" si="1"/>
        <v>2.95</v>
      </c>
      <c r="H93" s="47"/>
      <c r="I93" s="36"/>
      <c r="J93" s="36"/>
      <c r="K93" s="36"/>
      <c r="L93" s="36"/>
      <c r="M93" s="36"/>
      <c r="N93" s="36"/>
      <c r="O93" s="36"/>
      <c r="P93" s="36"/>
      <c r="Q93" s="36"/>
      <c r="R93" s="36"/>
      <c r="S93" s="36"/>
    </row>
    <row r="94" spans="1:19" x14ac:dyDescent="0.2">
      <c r="A94" s="51">
        <v>4</v>
      </c>
      <c r="B94" s="51" t="s">
        <v>104</v>
      </c>
      <c r="C94" s="52" t="s">
        <v>131</v>
      </c>
      <c r="D94" s="46">
        <v>2.8</v>
      </c>
      <c r="E94" s="47">
        <v>2.9</v>
      </c>
      <c r="F94" s="47"/>
      <c r="G94" s="8">
        <f t="shared" si="1"/>
        <v>2.85</v>
      </c>
      <c r="H94" s="47"/>
      <c r="I94" s="36"/>
      <c r="J94" s="36"/>
      <c r="K94" s="36"/>
      <c r="L94" s="36"/>
      <c r="M94" s="36"/>
      <c r="N94" s="36"/>
      <c r="O94" s="36"/>
      <c r="P94" s="36"/>
      <c r="Q94" s="36"/>
      <c r="R94" s="36"/>
      <c r="S94" s="36"/>
    </row>
    <row r="95" spans="1:19" x14ac:dyDescent="0.2">
      <c r="A95" s="51">
        <v>4</v>
      </c>
      <c r="B95" s="51" t="s">
        <v>104</v>
      </c>
      <c r="C95" s="52" t="s">
        <v>132</v>
      </c>
      <c r="D95" s="46">
        <v>2.5</v>
      </c>
      <c r="E95" s="47">
        <v>2.5</v>
      </c>
      <c r="F95" s="47"/>
      <c r="G95" s="8">
        <f t="shared" si="1"/>
        <v>2.5</v>
      </c>
      <c r="H95" s="47"/>
      <c r="I95" s="36"/>
      <c r="J95" s="36"/>
      <c r="K95" s="36"/>
      <c r="L95" s="36"/>
      <c r="M95" s="36"/>
      <c r="N95" s="36"/>
      <c r="O95" s="36"/>
      <c r="P95" s="36"/>
      <c r="Q95" s="36"/>
      <c r="R95" s="36"/>
      <c r="S95" s="36"/>
    </row>
    <row r="96" spans="1:19" x14ac:dyDescent="0.2">
      <c r="A96" s="51">
        <v>4</v>
      </c>
      <c r="B96" s="51" t="s">
        <v>104</v>
      </c>
      <c r="C96" s="52" t="s">
        <v>133</v>
      </c>
      <c r="D96" s="46">
        <v>2.8</v>
      </c>
      <c r="E96" s="47">
        <v>2.8</v>
      </c>
      <c r="F96" s="47"/>
      <c r="G96" s="8">
        <f t="shared" si="1"/>
        <v>2.8</v>
      </c>
      <c r="H96" s="47"/>
      <c r="I96" s="36"/>
      <c r="J96" s="36"/>
      <c r="K96" s="36"/>
      <c r="L96" s="36"/>
      <c r="M96" s="36"/>
      <c r="N96" s="36"/>
      <c r="O96" s="36"/>
      <c r="P96" s="36"/>
      <c r="Q96" s="36"/>
      <c r="R96" s="36"/>
      <c r="S96" s="36"/>
    </row>
    <row r="97" spans="1:19" x14ac:dyDescent="0.2">
      <c r="A97" s="51">
        <v>4</v>
      </c>
      <c r="B97" s="51" t="s">
        <v>104</v>
      </c>
      <c r="C97" s="52" t="s">
        <v>134</v>
      </c>
      <c r="D97" s="46">
        <v>2.8</v>
      </c>
      <c r="E97" s="47">
        <v>2.8</v>
      </c>
      <c r="F97" s="47"/>
      <c r="G97" s="8">
        <f t="shared" si="1"/>
        <v>2.8</v>
      </c>
      <c r="H97" s="47"/>
      <c r="I97" s="36"/>
      <c r="J97" s="36"/>
      <c r="K97" s="36"/>
      <c r="L97" s="36"/>
      <c r="M97" s="36"/>
      <c r="N97" s="36"/>
      <c r="O97" s="36"/>
      <c r="P97" s="36"/>
      <c r="Q97" s="36"/>
      <c r="R97" s="36"/>
      <c r="S97" s="36"/>
    </row>
    <row r="98" spans="1:19" x14ac:dyDescent="0.2">
      <c r="A98" s="53">
        <v>4</v>
      </c>
      <c r="B98" s="51" t="s">
        <v>104</v>
      </c>
      <c r="C98" s="51" t="s">
        <v>135</v>
      </c>
      <c r="D98" s="47">
        <v>3.2</v>
      </c>
      <c r="E98" s="47">
        <v>3.1</v>
      </c>
      <c r="F98" s="47"/>
      <c r="G98" s="8">
        <f t="shared" si="1"/>
        <v>3.15</v>
      </c>
      <c r="H98" s="47"/>
      <c r="I98" s="36"/>
      <c r="J98" s="36"/>
      <c r="K98" s="36"/>
      <c r="L98" s="36"/>
      <c r="M98" s="36"/>
      <c r="N98" s="36"/>
      <c r="O98" s="36"/>
      <c r="P98" s="36"/>
      <c r="Q98" s="36"/>
      <c r="R98" s="36"/>
      <c r="S98" s="36"/>
    </row>
    <row r="99" spans="1:19" x14ac:dyDescent="0.2">
      <c r="A99" s="53">
        <v>4</v>
      </c>
      <c r="B99" s="51" t="s">
        <v>104</v>
      </c>
      <c r="C99" s="51" t="s">
        <v>136</v>
      </c>
      <c r="D99" s="47">
        <v>3</v>
      </c>
      <c r="E99" s="47">
        <v>2.9</v>
      </c>
      <c r="F99" s="47"/>
      <c r="G99" s="8">
        <f t="shared" si="1"/>
        <v>2.95</v>
      </c>
      <c r="H99" s="47"/>
      <c r="I99" s="36"/>
      <c r="J99" s="36"/>
      <c r="K99" s="36"/>
      <c r="L99" s="36"/>
      <c r="M99" s="36"/>
      <c r="N99" s="36"/>
      <c r="O99" s="36"/>
      <c r="P99" s="36"/>
      <c r="Q99" s="36"/>
      <c r="R99" s="36"/>
      <c r="S99" s="36"/>
    </row>
    <row r="100" spans="1:19" x14ac:dyDescent="0.2">
      <c r="A100" s="53">
        <v>4</v>
      </c>
      <c r="B100" s="51" t="s">
        <v>104</v>
      </c>
      <c r="C100" s="51" t="s">
        <v>137</v>
      </c>
      <c r="D100" s="47">
        <v>2.7</v>
      </c>
      <c r="E100" s="47">
        <v>2.7</v>
      </c>
      <c r="F100" s="47"/>
      <c r="G100" s="8">
        <f t="shared" si="1"/>
        <v>2.7</v>
      </c>
      <c r="H100" s="47"/>
      <c r="I100" s="36"/>
      <c r="J100" s="36"/>
      <c r="K100" s="36"/>
      <c r="L100" s="36"/>
      <c r="M100" s="36"/>
      <c r="N100" s="36"/>
      <c r="O100" s="36"/>
      <c r="P100" s="36"/>
      <c r="Q100" s="36"/>
      <c r="R100" s="36"/>
      <c r="S100" s="36"/>
    </row>
    <row r="101" spans="1:19" x14ac:dyDescent="0.2">
      <c r="A101" s="53">
        <v>4</v>
      </c>
      <c r="B101" s="51" t="s">
        <v>104</v>
      </c>
      <c r="C101" s="51" t="s">
        <v>138</v>
      </c>
      <c r="D101" s="47">
        <v>3.2</v>
      </c>
      <c r="E101" s="47">
        <v>3.1</v>
      </c>
      <c r="F101" s="47"/>
      <c r="G101" s="8">
        <f t="shared" si="1"/>
        <v>3.15</v>
      </c>
      <c r="H101" s="47"/>
      <c r="I101" s="36"/>
      <c r="J101" s="36"/>
      <c r="K101" s="36"/>
      <c r="L101" s="36"/>
      <c r="M101" s="36"/>
      <c r="N101" s="36"/>
      <c r="O101" s="36"/>
      <c r="P101" s="36"/>
      <c r="Q101" s="36"/>
      <c r="R101" s="36"/>
      <c r="S101" s="36"/>
    </row>
    <row r="102" spans="1:19" x14ac:dyDescent="0.2">
      <c r="A102" s="53">
        <v>4</v>
      </c>
      <c r="B102" s="51" t="s">
        <v>104</v>
      </c>
      <c r="C102" s="72" t="s">
        <v>139</v>
      </c>
      <c r="D102" s="73">
        <v>2.9</v>
      </c>
      <c r="E102" s="73">
        <v>2.9</v>
      </c>
      <c r="F102" s="47"/>
      <c r="G102" s="8">
        <f t="shared" si="1"/>
        <v>2.9</v>
      </c>
      <c r="H102" s="47"/>
      <c r="I102" s="36"/>
      <c r="J102" s="36"/>
      <c r="K102" s="36"/>
      <c r="L102" s="36"/>
      <c r="M102" s="36"/>
      <c r="N102" s="36"/>
      <c r="O102" s="36"/>
      <c r="P102" s="36"/>
      <c r="Q102" s="36"/>
      <c r="R102" s="36"/>
      <c r="S102" s="36"/>
    </row>
    <row r="103" spans="1:19" x14ac:dyDescent="0.2">
      <c r="C103" s="74"/>
      <c r="D103" s="75"/>
      <c r="E103" s="75"/>
    </row>
    <row r="104" spans="1:19" x14ac:dyDescent="0.2">
      <c r="C104" s="74"/>
      <c r="D104" s="75"/>
      <c r="E104" s="75"/>
    </row>
    <row r="105" spans="1:19" x14ac:dyDescent="0.2">
      <c r="C105" s="74"/>
      <c r="D105" s="75"/>
      <c r="E105" s="75"/>
    </row>
    <row r="106" spans="1:19" x14ac:dyDescent="0.2">
      <c r="C106" s="75"/>
      <c r="D106" s="75"/>
      <c r="E106" s="75"/>
    </row>
    <row r="107" spans="1:19" x14ac:dyDescent="0.2">
      <c r="C107" s="75"/>
      <c r="D107" s="75"/>
      <c r="E107" s="75"/>
    </row>
    <row r="114" spans="3:5" x14ac:dyDescent="0.2">
      <c r="C114" s="65" t="s">
        <v>187</v>
      </c>
      <c r="D114" s="66">
        <v>2.2999999999999998</v>
      </c>
      <c r="E114" s="66">
        <v>2.2999999999999998</v>
      </c>
    </row>
    <row r="115" spans="3:5" x14ac:dyDescent="0.2">
      <c r="C115" s="65" t="s">
        <v>188</v>
      </c>
      <c r="D115" s="66">
        <v>1.9</v>
      </c>
      <c r="E115" s="66">
        <v>1.8</v>
      </c>
    </row>
    <row r="116" spans="3:5" x14ac:dyDescent="0.2">
      <c r="C116" s="65" t="s">
        <v>189</v>
      </c>
      <c r="D116" s="66">
        <v>2.5</v>
      </c>
      <c r="E116" s="66">
        <v>2.5</v>
      </c>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BDEEA-89B2-C542-84ED-BF4B2A4FD69A}">
  <dimension ref="A1:E132"/>
  <sheetViews>
    <sheetView zoomScale="108" workbookViewId="0">
      <selection activeCell="J30" sqref="J30"/>
    </sheetView>
  </sheetViews>
  <sheetFormatPr baseColWidth="10" defaultRowHeight="15" x14ac:dyDescent="0.2"/>
  <cols>
    <col min="5" max="5" width="14" bestFit="1" customWidth="1"/>
  </cols>
  <sheetData>
    <row r="1" spans="1:5" ht="19" x14ac:dyDescent="0.25">
      <c r="A1" s="12" t="s">
        <v>0</v>
      </c>
      <c r="B1" s="12"/>
      <c r="C1" s="12"/>
      <c r="D1" s="12"/>
      <c r="E1" s="12"/>
    </row>
    <row r="2" spans="1:5" ht="19" x14ac:dyDescent="0.25">
      <c r="A2" s="12"/>
      <c r="B2" s="12"/>
      <c r="C2" s="12"/>
      <c r="D2" s="12"/>
      <c r="E2" s="12"/>
    </row>
    <row r="3" spans="1:5" ht="19" x14ac:dyDescent="0.25">
      <c r="A3" s="12" t="s">
        <v>186</v>
      </c>
      <c r="B3" s="12"/>
      <c r="C3" s="12"/>
      <c r="D3" s="12"/>
      <c r="E3" s="12"/>
    </row>
    <row r="4" spans="1:5" ht="19" x14ac:dyDescent="0.25">
      <c r="A4" s="12"/>
      <c r="B4" s="12"/>
      <c r="C4" s="12"/>
      <c r="D4" s="12"/>
      <c r="E4" s="12"/>
    </row>
    <row r="5" spans="1:5" ht="19" x14ac:dyDescent="0.25">
      <c r="A5" s="12" t="s">
        <v>184</v>
      </c>
      <c r="B5" s="12"/>
      <c r="C5" s="12"/>
      <c r="D5" s="12"/>
      <c r="E5" s="12"/>
    </row>
    <row r="6" spans="1:5" ht="19" x14ac:dyDescent="0.25">
      <c r="A6" s="12" t="s">
        <v>3</v>
      </c>
      <c r="B6" s="12"/>
      <c r="C6" s="12"/>
      <c r="D6" s="12"/>
      <c r="E6" s="12"/>
    </row>
    <row r="8" spans="1:5" ht="28" thickBot="1" x14ac:dyDescent="0.25">
      <c r="A8" s="1" t="s">
        <v>4</v>
      </c>
      <c r="B8" s="2" t="s">
        <v>5</v>
      </c>
      <c r="C8" s="2" t="s">
        <v>6</v>
      </c>
      <c r="D8" s="6" t="s">
        <v>7</v>
      </c>
      <c r="E8" s="7" t="s">
        <v>142</v>
      </c>
    </row>
    <row r="9" spans="1:5" x14ac:dyDescent="0.2">
      <c r="A9" s="25">
        <v>1</v>
      </c>
      <c r="B9" s="26" t="s">
        <v>11</v>
      </c>
      <c r="C9" s="25" t="s">
        <v>12</v>
      </c>
      <c r="D9" s="27">
        <v>805</v>
      </c>
      <c r="E9" s="8" t="s">
        <v>123</v>
      </c>
    </row>
    <row r="10" spans="1:5" x14ac:dyDescent="0.2">
      <c r="A10" s="28">
        <v>1</v>
      </c>
      <c r="B10" s="29" t="s">
        <v>11</v>
      </c>
      <c r="C10" s="28" t="s">
        <v>13</v>
      </c>
      <c r="D10" s="30">
        <v>807</v>
      </c>
      <c r="E10" s="8" t="s">
        <v>123</v>
      </c>
    </row>
    <row r="11" spans="1:5" x14ac:dyDescent="0.2">
      <c r="A11" s="28">
        <v>1</v>
      </c>
      <c r="B11" s="29" t="s">
        <v>11</v>
      </c>
      <c r="C11" s="28" t="s">
        <v>14</v>
      </c>
      <c r="D11" s="30">
        <v>813</v>
      </c>
      <c r="E11" s="8" t="s">
        <v>123</v>
      </c>
    </row>
    <row r="12" spans="1:5" x14ac:dyDescent="0.2">
      <c r="A12" s="28">
        <v>1</v>
      </c>
      <c r="B12" s="29" t="s">
        <v>11</v>
      </c>
      <c r="C12" s="28" t="s">
        <v>15</v>
      </c>
      <c r="D12" s="30">
        <v>814</v>
      </c>
      <c r="E12" s="8" t="s">
        <v>123</v>
      </c>
    </row>
    <row r="13" spans="1:5" x14ac:dyDescent="0.2">
      <c r="A13" s="28">
        <v>1</v>
      </c>
      <c r="B13" s="29" t="s">
        <v>11</v>
      </c>
      <c r="C13" s="28" t="s">
        <v>16</v>
      </c>
      <c r="D13" s="30">
        <v>820</v>
      </c>
      <c r="E13" s="8" t="s">
        <v>123</v>
      </c>
    </row>
    <row r="14" spans="1:5" x14ac:dyDescent="0.2">
      <c r="A14" s="28">
        <v>1</v>
      </c>
      <c r="B14" s="29" t="s">
        <v>11</v>
      </c>
      <c r="C14" s="28" t="s">
        <v>17</v>
      </c>
      <c r="D14" s="30">
        <v>821</v>
      </c>
      <c r="E14" s="8" t="s">
        <v>123</v>
      </c>
    </row>
    <row r="15" spans="1:5" x14ac:dyDescent="0.2">
      <c r="A15" s="28">
        <v>1</v>
      </c>
      <c r="B15" s="29" t="s">
        <v>11</v>
      </c>
      <c r="C15" s="28" t="s">
        <v>18</v>
      </c>
      <c r="D15" s="30">
        <v>824</v>
      </c>
      <c r="E15" s="8" t="s">
        <v>123</v>
      </c>
    </row>
    <row r="16" spans="1:5" x14ac:dyDescent="0.2">
      <c r="A16" s="28">
        <v>1</v>
      </c>
      <c r="B16" s="29" t="s">
        <v>11</v>
      </c>
      <c r="C16" s="28" t="s">
        <v>19</v>
      </c>
      <c r="D16" s="30">
        <v>827</v>
      </c>
      <c r="E16" s="8" t="s">
        <v>123</v>
      </c>
    </row>
    <row r="17" spans="1:5" x14ac:dyDescent="0.2">
      <c r="A17" s="28">
        <v>1</v>
      </c>
      <c r="B17" s="29" t="s">
        <v>11</v>
      </c>
      <c r="C17" s="28" t="s">
        <v>20</v>
      </c>
      <c r="D17" s="30">
        <v>830</v>
      </c>
      <c r="E17" s="8" t="s">
        <v>123</v>
      </c>
    </row>
    <row r="18" spans="1:5" x14ac:dyDescent="0.2">
      <c r="A18" s="28">
        <v>1</v>
      </c>
      <c r="B18" s="29" t="s">
        <v>11</v>
      </c>
      <c r="C18" s="28" t="s">
        <v>21</v>
      </c>
      <c r="D18" s="30">
        <v>831</v>
      </c>
      <c r="E18" s="8" t="s">
        <v>123</v>
      </c>
    </row>
    <row r="19" spans="1:5" x14ac:dyDescent="0.2">
      <c r="A19" s="28">
        <v>1</v>
      </c>
      <c r="B19" s="29" t="s">
        <v>11</v>
      </c>
      <c r="C19" s="28" t="s">
        <v>22</v>
      </c>
      <c r="D19" s="30">
        <v>837</v>
      </c>
      <c r="E19" s="8" t="s">
        <v>123</v>
      </c>
    </row>
    <row r="20" spans="1:5" x14ac:dyDescent="0.2">
      <c r="A20" s="28">
        <v>1</v>
      </c>
      <c r="B20" s="29" t="s">
        <v>11</v>
      </c>
      <c r="C20" s="28" t="s">
        <v>23</v>
      </c>
      <c r="D20" s="30">
        <v>838</v>
      </c>
      <c r="E20" s="8" t="s">
        <v>123</v>
      </c>
    </row>
    <row r="21" spans="1:5" x14ac:dyDescent="0.2">
      <c r="A21" s="28">
        <v>1</v>
      </c>
      <c r="B21" s="29" t="s">
        <v>11</v>
      </c>
      <c r="C21" s="28" t="s">
        <v>24</v>
      </c>
      <c r="D21" s="30">
        <v>842</v>
      </c>
      <c r="E21" s="8" t="s">
        <v>123</v>
      </c>
    </row>
    <row r="22" spans="1:5" x14ac:dyDescent="0.2">
      <c r="A22" s="28">
        <v>1</v>
      </c>
      <c r="B22" s="29" t="s">
        <v>11</v>
      </c>
      <c r="C22" s="28" t="s">
        <v>25</v>
      </c>
      <c r="D22" s="30">
        <v>847</v>
      </c>
      <c r="E22" s="8" t="s">
        <v>123</v>
      </c>
    </row>
    <row r="23" spans="1:5" x14ac:dyDescent="0.2">
      <c r="A23" s="28">
        <v>1</v>
      </c>
      <c r="B23" s="29" t="s">
        <v>11</v>
      </c>
      <c r="C23" s="28" t="s">
        <v>26</v>
      </c>
      <c r="D23" s="30">
        <v>848</v>
      </c>
      <c r="E23" s="8" t="s">
        <v>123</v>
      </c>
    </row>
    <row r="24" spans="1:5" x14ac:dyDescent="0.2">
      <c r="A24" s="28">
        <v>1</v>
      </c>
      <c r="B24" s="29" t="s">
        <v>11</v>
      </c>
      <c r="C24" s="28" t="s">
        <v>27</v>
      </c>
      <c r="D24" s="30">
        <v>851</v>
      </c>
      <c r="E24" s="8" t="s">
        <v>123</v>
      </c>
    </row>
    <row r="25" spans="1:5" x14ac:dyDescent="0.2">
      <c r="A25" s="28">
        <v>1</v>
      </c>
      <c r="B25" s="29" t="s">
        <v>11</v>
      </c>
      <c r="C25" s="28" t="s">
        <v>28</v>
      </c>
      <c r="D25" s="30">
        <v>853</v>
      </c>
      <c r="E25" s="8" t="s">
        <v>123</v>
      </c>
    </row>
    <row r="26" spans="1:5" x14ac:dyDescent="0.2">
      <c r="A26" s="28">
        <v>1</v>
      </c>
      <c r="B26" s="29" t="s">
        <v>11</v>
      </c>
      <c r="C26" s="28" t="s">
        <v>29</v>
      </c>
      <c r="D26" s="30">
        <v>860</v>
      </c>
      <c r="E26" s="8" t="s">
        <v>123</v>
      </c>
    </row>
    <row r="27" spans="1:5" x14ac:dyDescent="0.2">
      <c r="A27" s="28">
        <v>1</v>
      </c>
      <c r="B27" s="29" t="s">
        <v>11</v>
      </c>
      <c r="C27" s="28" t="s">
        <v>30</v>
      </c>
      <c r="D27" s="30">
        <v>863</v>
      </c>
      <c r="E27" s="8" t="s">
        <v>123</v>
      </c>
    </row>
    <row r="28" spans="1:5" x14ac:dyDescent="0.2">
      <c r="A28" s="28">
        <v>1</v>
      </c>
      <c r="B28" s="29" t="s">
        <v>11</v>
      </c>
      <c r="C28" s="28" t="s">
        <v>31</v>
      </c>
      <c r="D28" s="30">
        <v>864</v>
      </c>
      <c r="E28" s="8" t="s">
        <v>123</v>
      </c>
    </row>
    <row r="29" spans="1:5" x14ac:dyDescent="0.2">
      <c r="A29" s="28">
        <v>1</v>
      </c>
      <c r="B29" s="29" t="s">
        <v>11</v>
      </c>
      <c r="C29" s="28" t="s">
        <v>32</v>
      </c>
      <c r="D29" s="30">
        <v>867</v>
      </c>
      <c r="E29" s="8" t="s">
        <v>123</v>
      </c>
    </row>
    <row r="30" spans="1:5" x14ac:dyDescent="0.2">
      <c r="A30" s="28">
        <v>1</v>
      </c>
      <c r="B30" s="29" t="s">
        <v>11</v>
      </c>
      <c r="C30" s="28" t="s">
        <v>33</v>
      </c>
      <c r="D30" s="30">
        <v>868</v>
      </c>
      <c r="E30" s="8" t="s">
        <v>123</v>
      </c>
    </row>
    <row r="31" spans="1:5" x14ac:dyDescent="0.2">
      <c r="A31" s="28">
        <v>1</v>
      </c>
      <c r="B31" s="29" t="s">
        <v>11</v>
      </c>
      <c r="C31" s="28" t="s">
        <v>34</v>
      </c>
      <c r="D31" s="30">
        <v>869</v>
      </c>
      <c r="E31" s="8" t="s">
        <v>123</v>
      </c>
    </row>
    <row r="32" spans="1:5" x14ac:dyDescent="0.2">
      <c r="A32" s="28">
        <v>1</v>
      </c>
      <c r="B32" s="29" t="s">
        <v>11</v>
      </c>
      <c r="C32" s="28" t="s">
        <v>35</v>
      </c>
      <c r="D32" s="30">
        <v>872</v>
      </c>
      <c r="E32" s="8" t="s">
        <v>123</v>
      </c>
    </row>
    <row r="33" spans="1:5" x14ac:dyDescent="0.2">
      <c r="A33" s="28">
        <v>1</v>
      </c>
      <c r="B33" s="29" t="s">
        <v>11</v>
      </c>
      <c r="C33" s="28" t="s">
        <v>36</v>
      </c>
      <c r="D33" s="30">
        <v>876</v>
      </c>
      <c r="E33" s="8" t="s">
        <v>123</v>
      </c>
    </row>
    <row r="34" spans="1:5" x14ac:dyDescent="0.2">
      <c r="A34" s="28">
        <v>1</v>
      </c>
      <c r="B34" s="29" t="s">
        <v>11</v>
      </c>
      <c r="C34" s="28" t="s">
        <v>37</v>
      </c>
      <c r="D34" s="30">
        <v>881</v>
      </c>
      <c r="E34" s="8" t="s">
        <v>123</v>
      </c>
    </row>
    <row r="35" spans="1:5" x14ac:dyDescent="0.2">
      <c r="A35" s="28">
        <v>1</v>
      </c>
      <c r="B35" s="29" t="s">
        <v>11</v>
      </c>
      <c r="C35" s="28" t="s">
        <v>38</v>
      </c>
      <c r="D35" s="30">
        <v>882</v>
      </c>
      <c r="E35" s="8" t="s">
        <v>123</v>
      </c>
    </row>
    <row r="36" spans="1:5" x14ac:dyDescent="0.2">
      <c r="A36" s="28">
        <v>1</v>
      </c>
      <c r="B36" s="29" t="s">
        <v>11</v>
      </c>
      <c r="C36" s="28" t="s">
        <v>39</v>
      </c>
      <c r="D36" s="30">
        <v>885</v>
      </c>
      <c r="E36" s="8" t="s">
        <v>123</v>
      </c>
    </row>
    <row r="37" spans="1:5" x14ac:dyDescent="0.2">
      <c r="A37" s="28">
        <v>1</v>
      </c>
      <c r="B37" s="29" t="s">
        <v>11</v>
      </c>
      <c r="C37" s="28" t="s">
        <v>40</v>
      </c>
      <c r="D37" s="30">
        <v>889</v>
      </c>
      <c r="E37" s="8" t="s">
        <v>123</v>
      </c>
    </row>
    <row r="38" spans="1:5" ht="16" thickBot="1" x14ac:dyDescent="0.25">
      <c r="A38" s="31">
        <v>1</v>
      </c>
      <c r="B38" s="32" t="s">
        <v>11</v>
      </c>
      <c r="C38" s="31" t="s">
        <v>41</v>
      </c>
      <c r="D38" s="33">
        <v>890</v>
      </c>
      <c r="E38" s="8" t="s">
        <v>123</v>
      </c>
    </row>
    <row r="39" spans="1:5" x14ac:dyDescent="0.2">
      <c r="A39" s="3">
        <v>2</v>
      </c>
      <c r="B39" s="3" t="s">
        <v>42</v>
      </c>
      <c r="C39" s="3" t="s">
        <v>43</v>
      </c>
      <c r="D39" s="9">
        <v>800</v>
      </c>
      <c r="E39" s="8" t="s">
        <v>144</v>
      </c>
    </row>
    <row r="40" spans="1:5" x14ac:dyDescent="0.2">
      <c r="A40" s="4">
        <v>2</v>
      </c>
      <c r="B40" s="4" t="s">
        <v>42</v>
      </c>
      <c r="C40" s="4" t="s">
        <v>44</v>
      </c>
      <c r="D40" s="10">
        <v>801</v>
      </c>
      <c r="E40" s="8" t="s">
        <v>144</v>
      </c>
    </row>
    <row r="41" spans="1:5" x14ac:dyDescent="0.2">
      <c r="A41" s="4">
        <v>2</v>
      </c>
      <c r="B41" s="4" t="s">
        <v>42</v>
      </c>
      <c r="C41" s="4" t="s">
        <v>45</v>
      </c>
      <c r="D41" s="10">
        <v>804</v>
      </c>
      <c r="E41" s="8" t="s">
        <v>144</v>
      </c>
    </row>
    <row r="42" spans="1:5" x14ac:dyDescent="0.2">
      <c r="A42" s="4">
        <v>2</v>
      </c>
      <c r="B42" s="4" t="s">
        <v>42</v>
      </c>
      <c r="C42" s="4" t="s">
        <v>46</v>
      </c>
      <c r="D42" s="10">
        <v>806</v>
      </c>
      <c r="E42" s="8" t="s">
        <v>144</v>
      </c>
    </row>
    <row r="43" spans="1:5" x14ac:dyDescent="0.2">
      <c r="A43" s="4">
        <v>2</v>
      </c>
      <c r="B43" s="4" t="s">
        <v>42</v>
      </c>
      <c r="C43" s="4" t="s">
        <v>47</v>
      </c>
      <c r="D43" s="10">
        <v>809</v>
      </c>
      <c r="E43" s="8" t="s">
        <v>144</v>
      </c>
    </row>
    <row r="44" spans="1:5" x14ac:dyDescent="0.2">
      <c r="A44" s="4">
        <v>2</v>
      </c>
      <c r="B44" s="4" t="s">
        <v>42</v>
      </c>
      <c r="C44" s="4" t="s">
        <v>48</v>
      </c>
      <c r="D44" s="10">
        <v>810</v>
      </c>
      <c r="E44" s="8" t="s">
        <v>144</v>
      </c>
    </row>
    <row r="45" spans="1:5" x14ac:dyDescent="0.2">
      <c r="A45" s="4">
        <v>2</v>
      </c>
      <c r="B45" s="4" t="s">
        <v>42</v>
      </c>
      <c r="C45" s="4" t="s">
        <v>49</v>
      </c>
      <c r="D45" s="10">
        <v>819</v>
      </c>
      <c r="E45" s="8" t="s">
        <v>144</v>
      </c>
    </row>
    <row r="46" spans="1:5" x14ac:dyDescent="0.2">
      <c r="A46" s="4">
        <v>2</v>
      </c>
      <c r="B46" s="4" t="s">
        <v>42</v>
      </c>
      <c r="C46" s="4" t="s">
        <v>50</v>
      </c>
      <c r="D46" s="10">
        <v>822</v>
      </c>
      <c r="E46" s="8" t="s">
        <v>144</v>
      </c>
    </row>
    <row r="47" spans="1:5" x14ac:dyDescent="0.2">
      <c r="A47" s="4">
        <v>2</v>
      </c>
      <c r="B47" s="4" t="s">
        <v>42</v>
      </c>
      <c r="C47" s="4" t="s">
        <v>51</v>
      </c>
      <c r="D47" s="10">
        <v>823</v>
      </c>
      <c r="E47" s="8" t="s">
        <v>144</v>
      </c>
    </row>
    <row r="48" spans="1:5" x14ac:dyDescent="0.2">
      <c r="A48" s="4">
        <v>2</v>
      </c>
      <c r="B48" s="4" t="s">
        <v>42</v>
      </c>
      <c r="C48" s="4" t="s">
        <v>52</v>
      </c>
      <c r="D48" s="10">
        <v>825</v>
      </c>
      <c r="E48" s="8" t="s">
        <v>144</v>
      </c>
    </row>
    <row r="49" spans="1:5" x14ac:dyDescent="0.2">
      <c r="A49" s="4">
        <v>2</v>
      </c>
      <c r="B49" s="4" t="s">
        <v>42</v>
      </c>
      <c r="C49" s="4" t="s">
        <v>53</v>
      </c>
      <c r="D49" s="10">
        <v>826</v>
      </c>
      <c r="E49" s="8" t="s">
        <v>144</v>
      </c>
    </row>
    <row r="50" spans="1:5" x14ac:dyDescent="0.2">
      <c r="A50" s="4">
        <v>2</v>
      </c>
      <c r="B50" s="4" t="s">
        <v>42</v>
      </c>
      <c r="C50" s="4" t="s">
        <v>54</v>
      </c>
      <c r="D50" s="10">
        <v>828</v>
      </c>
      <c r="E50" s="8" t="s">
        <v>144</v>
      </c>
    </row>
    <row r="51" spans="1:5" x14ac:dyDescent="0.2">
      <c r="A51" s="4">
        <v>2</v>
      </c>
      <c r="B51" s="4" t="s">
        <v>42</v>
      </c>
      <c r="C51" s="4" t="s">
        <v>55</v>
      </c>
      <c r="D51" s="10">
        <v>829</v>
      </c>
      <c r="E51" s="8" t="s">
        <v>144</v>
      </c>
    </row>
    <row r="52" spans="1:5" x14ac:dyDescent="0.2">
      <c r="A52" s="4">
        <v>2</v>
      </c>
      <c r="B52" s="4" t="s">
        <v>42</v>
      </c>
      <c r="C52" s="4" t="s">
        <v>56</v>
      </c>
      <c r="D52" s="10">
        <v>832</v>
      </c>
      <c r="E52" s="8" t="s">
        <v>144</v>
      </c>
    </row>
    <row r="53" spans="1:5" x14ac:dyDescent="0.2">
      <c r="A53" s="4">
        <v>2</v>
      </c>
      <c r="B53" s="4" t="s">
        <v>42</v>
      </c>
      <c r="C53" s="4" t="s">
        <v>57</v>
      </c>
      <c r="D53" s="10">
        <v>836</v>
      </c>
      <c r="E53" s="8" t="s">
        <v>144</v>
      </c>
    </row>
    <row r="54" spans="1:5" x14ac:dyDescent="0.2">
      <c r="A54" s="4">
        <v>2</v>
      </c>
      <c r="B54" s="4" t="s">
        <v>42</v>
      </c>
      <c r="C54" s="4" t="s">
        <v>58</v>
      </c>
      <c r="D54" s="10">
        <v>839</v>
      </c>
      <c r="E54" s="8" t="s">
        <v>144</v>
      </c>
    </row>
    <row r="55" spans="1:5" x14ac:dyDescent="0.2">
      <c r="A55" s="4">
        <v>2</v>
      </c>
      <c r="B55" s="4" t="s">
        <v>42</v>
      </c>
      <c r="C55" s="4" t="s">
        <v>59</v>
      </c>
      <c r="D55" s="10">
        <v>840</v>
      </c>
      <c r="E55" s="8" t="s">
        <v>144</v>
      </c>
    </row>
    <row r="56" spans="1:5" x14ac:dyDescent="0.2">
      <c r="A56" s="4">
        <v>2</v>
      </c>
      <c r="B56" s="4" t="s">
        <v>42</v>
      </c>
      <c r="C56" s="4" t="s">
        <v>60</v>
      </c>
      <c r="D56" s="10">
        <v>841</v>
      </c>
      <c r="E56" s="8" t="s">
        <v>144</v>
      </c>
    </row>
    <row r="57" spans="1:5" x14ac:dyDescent="0.2">
      <c r="A57" s="4">
        <v>2</v>
      </c>
      <c r="B57" s="4" t="s">
        <v>42</v>
      </c>
      <c r="C57" s="4" t="s">
        <v>61</v>
      </c>
      <c r="D57" s="10">
        <v>843</v>
      </c>
      <c r="E57" s="8" t="s">
        <v>144</v>
      </c>
    </row>
    <row r="58" spans="1:5" x14ac:dyDescent="0.2">
      <c r="A58" s="4">
        <v>2</v>
      </c>
      <c r="B58" s="4" t="s">
        <v>42</v>
      </c>
      <c r="C58" s="4" t="s">
        <v>62</v>
      </c>
      <c r="D58" s="10">
        <v>850</v>
      </c>
      <c r="E58" s="8" t="s">
        <v>144</v>
      </c>
    </row>
    <row r="59" spans="1:5" x14ac:dyDescent="0.2">
      <c r="A59" s="4">
        <v>2</v>
      </c>
      <c r="B59" s="4" t="s">
        <v>42</v>
      </c>
      <c r="C59" s="4" t="s">
        <v>63</v>
      </c>
      <c r="D59" s="10">
        <v>852</v>
      </c>
      <c r="E59" s="8" t="s">
        <v>144</v>
      </c>
    </row>
    <row r="60" spans="1:5" x14ac:dyDescent="0.2">
      <c r="A60" s="4">
        <v>2</v>
      </c>
      <c r="B60" s="4" t="s">
        <v>42</v>
      </c>
      <c r="C60" s="4" t="s">
        <v>64</v>
      </c>
      <c r="D60" s="10">
        <v>854</v>
      </c>
      <c r="E60" s="8" t="s">
        <v>144</v>
      </c>
    </row>
    <row r="61" spans="1:5" x14ac:dyDescent="0.2">
      <c r="A61" s="4">
        <v>2</v>
      </c>
      <c r="B61" s="4" t="s">
        <v>42</v>
      </c>
      <c r="C61" s="4" t="s">
        <v>65</v>
      </c>
      <c r="D61" s="10">
        <v>855</v>
      </c>
      <c r="E61" s="8" t="s">
        <v>144</v>
      </c>
    </row>
    <row r="62" spans="1:5" x14ac:dyDescent="0.2">
      <c r="A62" s="4">
        <v>2</v>
      </c>
      <c r="B62" s="4" t="s">
        <v>42</v>
      </c>
      <c r="C62" s="4" t="s">
        <v>66</v>
      </c>
      <c r="D62" s="10">
        <v>857</v>
      </c>
      <c r="E62" s="8" t="s">
        <v>144</v>
      </c>
    </row>
    <row r="63" spans="1:5" x14ac:dyDescent="0.2">
      <c r="A63" s="4">
        <v>2</v>
      </c>
      <c r="B63" s="4" t="s">
        <v>42</v>
      </c>
      <c r="C63" s="4" t="s">
        <v>67</v>
      </c>
      <c r="D63" s="10">
        <v>858</v>
      </c>
      <c r="E63" s="8" t="s">
        <v>144</v>
      </c>
    </row>
    <row r="64" spans="1:5" x14ac:dyDescent="0.2">
      <c r="A64" s="4">
        <v>2</v>
      </c>
      <c r="B64" s="4" t="s">
        <v>42</v>
      </c>
      <c r="C64" s="4" t="s">
        <v>68</v>
      </c>
      <c r="D64" s="10">
        <v>870</v>
      </c>
      <c r="E64" s="8" t="s">
        <v>144</v>
      </c>
    </row>
    <row r="65" spans="1:5" x14ac:dyDescent="0.2">
      <c r="A65" s="4">
        <v>2</v>
      </c>
      <c r="B65" s="4" t="s">
        <v>42</v>
      </c>
      <c r="C65" s="4" t="s">
        <v>69</v>
      </c>
      <c r="D65" s="10">
        <v>875</v>
      </c>
      <c r="E65" s="8" t="s">
        <v>144</v>
      </c>
    </row>
    <row r="66" spans="1:5" x14ac:dyDescent="0.2">
      <c r="A66" s="4">
        <v>2</v>
      </c>
      <c r="B66" s="4" t="s">
        <v>42</v>
      </c>
      <c r="C66" s="4" t="s">
        <v>70</v>
      </c>
      <c r="D66" s="10">
        <v>880</v>
      </c>
      <c r="E66" s="8" t="s">
        <v>144</v>
      </c>
    </row>
    <row r="67" spans="1:5" x14ac:dyDescent="0.2">
      <c r="A67" s="4">
        <v>2</v>
      </c>
      <c r="B67" s="4" t="s">
        <v>42</v>
      </c>
      <c r="C67" s="4" t="s">
        <v>71</v>
      </c>
      <c r="D67" s="10">
        <v>883</v>
      </c>
      <c r="E67" s="8" t="s">
        <v>144</v>
      </c>
    </row>
    <row r="68" spans="1:5" x14ac:dyDescent="0.2">
      <c r="A68" s="4">
        <v>2</v>
      </c>
      <c r="B68" s="4" t="s">
        <v>42</v>
      </c>
      <c r="C68" s="4" t="s">
        <v>72</v>
      </c>
      <c r="D68" s="10">
        <v>884</v>
      </c>
      <c r="E68" s="8" t="s">
        <v>144</v>
      </c>
    </row>
    <row r="69" spans="1:5" ht="16" thickBot="1" x14ac:dyDescent="0.25">
      <c r="A69" s="5">
        <v>2</v>
      </c>
      <c r="B69" s="5" t="s">
        <v>42</v>
      </c>
      <c r="C69" s="5" t="s">
        <v>73</v>
      </c>
      <c r="D69" s="11">
        <v>886</v>
      </c>
      <c r="E69" s="8" t="s">
        <v>144</v>
      </c>
    </row>
    <row r="70" spans="1:5" x14ac:dyDescent="0.2">
      <c r="A70" s="19">
        <v>3</v>
      </c>
      <c r="B70" s="20" t="s">
        <v>74</v>
      </c>
      <c r="C70" s="20" t="s">
        <v>75</v>
      </c>
      <c r="D70" s="21">
        <v>802</v>
      </c>
      <c r="E70" s="8" t="s">
        <v>185</v>
      </c>
    </row>
    <row r="71" spans="1:5" x14ac:dyDescent="0.2">
      <c r="A71" s="22">
        <v>3</v>
      </c>
      <c r="B71" s="23" t="s">
        <v>74</v>
      </c>
      <c r="C71" s="23" t="s">
        <v>76</v>
      </c>
      <c r="D71" s="24">
        <v>803</v>
      </c>
      <c r="E71" s="8" t="s">
        <v>185</v>
      </c>
    </row>
    <row r="72" spans="1:5" x14ac:dyDescent="0.2">
      <c r="A72" s="22">
        <v>3</v>
      </c>
      <c r="B72" s="23" t="s">
        <v>74</v>
      </c>
      <c r="C72" s="23" t="s">
        <v>77</v>
      </c>
      <c r="D72" s="24">
        <v>808</v>
      </c>
      <c r="E72" s="8" t="s">
        <v>185</v>
      </c>
    </row>
    <row r="73" spans="1:5" x14ac:dyDescent="0.2">
      <c r="A73" s="22">
        <v>3</v>
      </c>
      <c r="B73" s="23" t="s">
        <v>74</v>
      </c>
      <c r="C73" s="23" t="s">
        <v>78</v>
      </c>
      <c r="D73" s="24">
        <v>811</v>
      </c>
      <c r="E73" s="8" t="s">
        <v>185</v>
      </c>
    </row>
    <row r="74" spans="1:5" x14ac:dyDescent="0.2">
      <c r="A74" s="22">
        <v>3</v>
      </c>
      <c r="B74" s="23" t="s">
        <v>74</v>
      </c>
      <c r="C74" s="23" t="s">
        <v>79</v>
      </c>
      <c r="D74" s="24">
        <v>812</v>
      </c>
      <c r="E74" s="8" t="s">
        <v>185</v>
      </c>
    </row>
    <row r="75" spans="1:5" x14ac:dyDescent="0.2">
      <c r="A75" s="22">
        <v>3</v>
      </c>
      <c r="B75" s="23" t="s">
        <v>74</v>
      </c>
      <c r="C75" s="23" t="s">
        <v>80</v>
      </c>
      <c r="D75" s="24">
        <v>815</v>
      </c>
      <c r="E75" s="8" t="s">
        <v>185</v>
      </c>
    </row>
    <row r="76" spans="1:5" x14ac:dyDescent="0.2">
      <c r="A76" s="22">
        <v>3</v>
      </c>
      <c r="B76" s="23" t="s">
        <v>74</v>
      </c>
      <c r="C76" s="23" t="s">
        <v>81</v>
      </c>
      <c r="D76" s="24">
        <v>816</v>
      </c>
      <c r="E76" s="8" t="s">
        <v>185</v>
      </c>
    </row>
    <row r="77" spans="1:5" x14ac:dyDescent="0.2">
      <c r="A77" s="22">
        <v>3</v>
      </c>
      <c r="B77" s="23" t="s">
        <v>74</v>
      </c>
      <c r="C77" s="23" t="s">
        <v>82</v>
      </c>
      <c r="D77" s="24">
        <v>817</v>
      </c>
      <c r="E77" s="8" t="s">
        <v>185</v>
      </c>
    </row>
    <row r="78" spans="1:5" x14ac:dyDescent="0.2">
      <c r="A78" s="22">
        <v>3</v>
      </c>
      <c r="B78" s="23" t="s">
        <v>74</v>
      </c>
      <c r="C78" s="23" t="s">
        <v>83</v>
      </c>
      <c r="D78" s="24">
        <v>818</v>
      </c>
      <c r="E78" s="8" t="s">
        <v>185</v>
      </c>
    </row>
    <row r="79" spans="1:5" x14ac:dyDescent="0.2">
      <c r="A79" s="22">
        <v>3</v>
      </c>
      <c r="B79" s="23" t="s">
        <v>74</v>
      </c>
      <c r="C79" s="23" t="s">
        <v>84</v>
      </c>
      <c r="D79" s="24">
        <v>833</v>
      </c>
      <c r="E79" s="8" t="s">
        <v>185</v>
      </c>
    </row>
    <row r="80" spans="1:5" x14ac:dyDescent="0.2">
      <c r="A80" s="22">
        <v>3</v>
      </c>
      <c r="B80" s="23" t="s">
        <v>74</v>
      </c>
      <c r="C80" s="23" t="s">
        <v>85</v>
      </c>
      <c r="D80" s="24">
        <v>834</v>
      </c>
      <c r="E80" s="8" t="s">
        <v>185</v>
      </c>
    </row>
    <row r="81" spans="1:5" x14ac:dyDescent="0.2">
      <c r="A81" s="22">
        <v>3</v>
      </c>
      <c r="B81" s="23" t="s">
        <v>74</v>
      </c>
      <c r="C81" s="23" t="s">
        <v>86</v>
      </c>
      <c r="D81" s="24">
        <v>835</v>
      </c>
      <c r="E81" s="8" t="s">
        <v>185</v>
      </c>
    </row>
    <row r="82" spans="1:5" x14ac:dyDescent="0.2">
      <c r="A82" s="22">
        <v>3</v>
      </c>
      <c r="B82" s="23" t="s">
        <v>74</v>
      </c>
      <c r="C82" s="23" t="s">
        <v>87</v>
      </c>
      <c r="D82" s="24">
        <v>844</v>
      </c>
      <c r="E82" s="8" t="s">
        <v>185</v>
      </c>
    </row>
    <row r="83" spans="1:5" x14ac:dyDescent="0.2">
      <c r="A83" s="22">
        <v>3</v>
      </c>
      <c r="B83" s="23" t="s">
        <v>74</v>
      </c>
      <c r="C83" s="23" t="s">
        <v>88</v>
      </c>
      <c r="D83" s="24">
        <v>845</v>
      </c>
      <c r="E83" s="8" t="s">
        <v>185</v>
      </c>
    </row>
    <row r="84" spans="1:5" x14ac:dyDescent="0.2">
      <c r="A84" s="22">
        <v>3</v>
      </c>
      <c r="B84" s="23" t="s">
        <v>74</v>
      </c>
      <c r="C84" s="23" t="s">
        <v>89</v>
      </c>
      <c r="D84" s="24">
        <v>846</v>
      </c>
      <c r="E84" s="8" t="s">
        <v>185</v>
      </c>
    </row>
    <row r="85" spans="1:5" x14ac:dyDescent="0.2">
      <c r="A85" s="22">
        <v>3</v>
      </c>
      <c r="B85" s="23" t="s">
        <v>74</v>
      </c>
      <c r="C85" s="23" t="s">
        <v>90</v>
      </c>
      <c r="D85" s="24">
        <v>849</v>
      </c>
      <c r="E85" s="8" t="s">
        <v>185</v>
      </c>
    </row>
    <row r="86" spans="1:5" x14ac:dyDescent="0.2">
      <c r="A86" s="22">
        <v>3</v>
      </c>
      <c r="B86" s="23" t="s">
        <v>74</v>
      </c>
      <c r="C86" s="23" t="s">
        <v>91</v>
      </c>
      <c r="D86" s="24">
        <v>856</v>
      </c>
      <c r="E86" s="8" t="s">
        <v>185</v>
      </c>
    </row>
    <row r="87" spans="1:5" x14ac:dyDescent="0.2">
      <c r="A87" s="22">
        <v>3</v>
      </c>
      <c r="B87" s="23" t="s">
        <v>74</v>
      </c>
      <c r="C87" s="23" t="s">
        <v>92</v>
      </c>
      <c r="D87" s="24">
        <v>859</v>
      </c>
      <c r="E87" s="8" t="s">
        <v>185</v>
      </c>
    </row>
    <row r="88" spans="1:5" x14ac:dyDescent="0.2">
      <c r="A88" s="22">
        <v>3</v>
      </c>
      <c r="B88" s="23" t="s">
        <v>74</v>
      </c>
      <c r="C88" s="23" t="s">
        <v>93</v>
      </c>
      <c r="D88" s="24">
        <v>861</v>
      </c>
      <c r="E88" s="8" t="s">
        <v>185</v>
      </c>
    </row>
    <row r="89" spans="1:5" x14ac:dyDescent="0.2">
      <c r="A89" s="22">
        <v>3</v>
      </c>
      <c r="B89" s="23" t="s">
        <v>74</v>
      </c>
      <c r="C89" s="23" t="s">
        <v>94</v>
      </c>
      <c r="D89" s="24">
        <v>862</v>
      </c>
      <c r="E89" s="8" t="s">
        <v>185</v>
      </c>
    </row>
    <row r="90" spans="1:5" x14ac:dyDescent="0.2">
      <c r="A90" s="22">
        <v>3</v>
      </c>
      <c r="B90" s="23" t="s">
        <v>74</v>
      </c>
      <c r="C90" s="23" t="s">
        <v>95</v>
      </c>
      <c r="D90" s="24">
        <v>865</v>
      </c>
      <c r="E90" s="8" t="s">
        <v>185</v>
      </c>
    </row>
    <row r="91" spans="1:5" x14ac:dyDescent="0.2">
      <c r="A91" s="22">
        <v>3</v>
      </c>
      <c r="B91" s="23" t="s">
        <v>74</v>
      </c>
      <c r="C91" s="23" t="s">
        <v>96</v>
      </c>
      <c r="D91" s="24">
        <v>866</v>
      </c>
      <c r="E91" s="8" t="s">
        <v>185</v>
      </c>
    </row>
    <row r="92" spans="1:5" x14ac:dyDescent="0.2">
      <c r="A92" s="22">
        <v>3</v>
      </c>
      <c r="B92" s="23" t="s">
        <v>74</v>
      </c>
      <c r="C92" s="23" t="s">
        <v>97</v>
      </c>
      <c r="D92" s="24">
        <v>871</v>
      </c>
      <c r="E92" s="8" t="s">
        <v>185</v>
      </c>
    </row>
    <row r="93" spans="1:5" x14ac:dyDescent="0.2">
      <c r="A93" s="22">
        <v>3</v>
      </c>
      <c r="B93" s="23" t="s">
        <v>74</v>
      </c>
      <c r="C93" s="23" t="s">
        <v>98</v>
      </c>
      <c r="D93" s="24">
        <v>873</v>
      </c>
      <c r="E93" s="8" t="s">
        <v>185</v>
      </c>
    </row>
    <row r="94" spans="1:5" x14ac:dyDescent="0.2">
      <c r="A94" s="22">
        <v>3</v>
      </c>
      <c r="B94" s="23" t="s">
        <v>74</v>
      </c>
      <c r="C94" s="23" t="s">
        <v>99</v>
      </c>
      <c r="D94" s="24">
        <v>874</v>
      </c>
      <c r="E94" s="8" t="s">
        <v>185</v>
      </c>
    </row>
    <row r="95" spans="1:5" x14ac:dyDescent="0.2">
      <c r="A95" s="22">
        <v>3</v>
      </c>
      <c r="B95" s="23" t="s">
        <v>74</v>
      </c>
      <c r="C95" s="23" t="s">
        <v>100</v>
      </c>
      <c r="D95" s="24">
        <v>877</v>
      </c>
      <c r="E95" s="8" t="s">
        <v>185</v>
      </c>
    </row>
    <row r="96" spans="1:5" x14ac:dyDescent="0.2">
      <c r="A96" s="22">
        <v>3</v>
      </c>
      <c r="B96" s="23" t="s">
        <v>74</v>
      </c>
      <c r="C96" s="23" t="s">
        <v>101</v>
      </c>
      <c r="D96" s="24">
        <v>879</v>
      </c>
      <c r="E96" s="8" t="s">
        <v>185</v>
      </c>
    </row>
    <row r="97" spans="1:5" x14ac:dyDescent="0.2">
      <c r="A97" s="22">
        <v>3</v>
      </c>
      <c r="B97" s="23" t="s">
        <v>74</v>
      </c>
      <c r="C97" s="23" t="s">
        <v>102</v>
      </c>
      <c r="D97" s="24">
        <v>887</v>
      </c>
      <c r="E97" s="8" t="s">
        <v>144</v>
      </c>
    </row>
    <row r="98" spans="1:5" x14ac:dyDescent="0.2">
      <c r="A98" s="22">
        <v>3</v>
      </c>
      <c r="B98" s="23" t="s">
        <v>74</v>
      </c>
      <c r="C98" s="23" t="s">
        <v>103</v>
      </c>
      <c r="D98" s="24">
        <v>888</v>
      </c>
      <c r="E98" s="8" t="s">
        <v>144</v>
      </c>
    </row>
    <row r="99" spans="1:5" x14ac:dyDescent="0.2">
      <c r="A99" s="13">
        <v>4</v>
      </c>
      <c r="B99" s="14" t="s">
        <v>104</v>
      </c>
      <c r="C99" s="14"/>
      <c r="D99" s="15" t="s">
        <v>105</v>
      </c>
      <c r="E99" s="8" t="s">
        <v>144</v>
      </c>
    </row>
    <row r="100" spans="1:5" x14ac:dyDescent="0.2">
      <c r="A100" s="16">
        <v>4</v>
      </c>
      <c r="B100" s="14" t="s">
        <v>104</v>
      </c>
      <c r="C100" s="17"/>
      <c r="D100" s="18" t="s">
        <v>106</v>
      </c>
      <c r="E100" s="8" t="s">
        <v>144</v>
      </c>
    </row>
    <row r="101" spans="1:5" x14ac:dyDescent="0.2">
      <c r="A101" s="16">
        <v>4</v>
      </c>
      <c r="B101" s="14" t="s">
        <v>104</v>
      </c>
      <c r="C101" s="17"/>
      <c r="D101" s="18" t="s">
        <v>107</v>
      </c>
      <c r="E101" s="8" t="s">
        <v>144</v>
      </c>
    </row>
    <row r="102" spans="1:5" x14ac:dyDescent="0.2">
      <c r="A102" s="16">
        <v>4</v>
      </c>
      <c r="B102" s="14" t="s">
        <v>104</v>
      </c>
      <c r="C102" s="17"/>
      <c r="D102" s="18" t="s">
        <v>108</v>
      </c>
      <c r="E102" s="8" t="s">
        <v>144</v>
      </c>
    </row>
    <row r="103" spans="1:5" x14ac:dyDescent="0.2">
      <c r="A103" s="16">
        <v>4</v>
      </c>
      <c r="B103" s="14" t="s">
        <v>104</v>
      </c>
      <c r="C103" s="17"/>
      <c r="D103" s="18" t="s">
        <v>109</v>
      </c>
      <c r="E103" s="8" t="s">
        <v>144</v>
      </c>
    </row>
    <row r="104" spans="1:5" x14ac:dyDescent="0.2">
      <c r="A104" s="16">
        <v>4</v>
      </c>
      <c r="B104" s="14" t="s">
        <v>104</v>
      </c>
      <c r="C104" s="17"/>
      <c r="D104" s="18" t="s">
        <v>110</v>
      </c>
      <c r="E104" s="8" t="s">
        <v>144</v>
      </c>
    </row>
    <row r="105" spans="1:5" x14ac:dyDescent="0.2">
      <c r="A105" s="16">
        <v>4</v>
      </c>
      <c r="B105" s="14" t="s">
        <v>104</v>
      </c>
      <c r="C105" s="17"/>
      <c r="D105" s="18" t="s">
        <v>111</v>
      </c>
      <c r="E105" s="8" t="s">
        <v>144</v>
      </c>
    </row>
    <row r="106" spans="1:5" x14ac:dyDescent="0.2">
      <c r="A106" s="16">
        <v>4</v>
      </c>
      <c r="B106" s="14" t="s">
        <v>104</v>
      </c>
      <c r="C106" s="17"/>
      <c r="D106" s="18" t="s">
        <v>112</v>
      </c>
      <c r="E106" s="8" t="s">
        <v>144</v>
      </c>
    </row>
    <row r="107" spans="1:5" x14ac:dyDescent="0.2">
      <c r="A107" s="16">
        <v>4</v>
      </c>
      <c r="B107" s="14" t="s">
        <v>104</v>
      </c>
      <c r="C107" s="17"/>
      <c r="D107" s="18" t="s">
        <v>113</v>
      </c>
      <c r="E107" s="8" t="s">
        <v>144</v>
      </c>
    </row>
    <row r="108" spans="1:5" x14ac:dyDescent="0.2">
      <c r="A108" s="16">
        <v>4</v>
      </c>
      <c r="B108" s="14" t="s">
        <v>104</v>
      </c>
      <c r="C108" s="17"/>
      <c r="D108" s="18" t="s">
        <v>114</v>
      </c>
      <c r="E108" s="8" t="s">
        <v>144</v>
      </c>
    </row>
    <row r="109" spans="1:5" x14ac:dyDescent="0.2">
      <c r="A109" s="16">
        <v>4</v>
      </c>
      <c r="B109" s="14" t="s">
        <v>104</v>
      </c>
      <c r="C109" s="17"/>
      <c r="D109" s="18" t="s">
        <v>115</v>
      </c>
      <c r="E109" s="8" t="s">
        <v>185</v>
      </c>
    </row>
    <row r="110" spans="1:5" x14ac:dyDescent="0.2">
      <c r="A110" s="16">
        <v>4</v>
      </c>
      <c r="B110" s="14" t="s">
        <v>104</v>
      </c>
      <c r="C110" s="17"/>
      <c r="D110" s="18" t="s">
        <v>116</v>
      </c>
      <c r="E110" s="8" t="s">
        <v>185</v>
      </c>
    </row>
    <row r="111" spans="1:5" x14ac:dyDescent="0.2">
      <c r="A111" s="16">
        <v>4</v>
      </c>
      <c r="B111" s="14" t="s">
        <v>104</v>
      </c>
      <c r="C111" s="17"/>
      <c r="D111" s="18" t="s">
        <v>117</v>
      </c>
      <c r="E111" s="8" t="s">
        <v>185</v>
      </c>
    </row>
    <row r="112" spans="1:5" x14ac:dyDescent="0.2">
      <c r="A112" s="16">
        <v>4</v>
      </c>
      <c r="B112" s="14" t="s">
        <v>104</v>
      </c>
      <c r="C112" s="17"/>
      <c r="D112" s="18" t="s">
        <v>118</v>
      </c>
      <c r="E112" s="8" t="s">
        <v>185</v>
      </c>
    </row>
    <row r="113" spans="1:5" x14ac:dyDescent="0.2">
      <c r="A113" s="16">
        <v>4</v>
      </c>
      <c r="B113" s="14" t="s">
        <v>104</v>
      </c>
      <c r="C113" s="17"/>
      <c r="D113" s="18" t="s">
        <v>119</v>
      </c>
      <c r="E113" s="8" t="s">
        <v>185</v>
      </c>
    </row>
    <row r="114" spans="1:5" x14ac:dyDescent="0.2">
      <c r="A114" s="16">
        <v>4</v>
      </c>
      <c r="B114" s="14" t="s">
        <v>104</v>
      </c>
      <c r="C114" s="17"/>
      <c r="D114" s="18" t="s">
        <v>120</v>
      </c>
      <c r="E114" s="8" t="s">
        <v>185</v>
      </c>
    </row>
    <row r="115" spans="1:5" x14ac:dyDescent="0.2">
      <c r="A115" s="16">
        <v>4</v>
      </c>
      <c r="B115" s="14" t="s">
        <v>104</v>
      </c>
      <c r="C115" s="17"/>
      <c r="D115" s="18" t="s">
        <v>121</v>
      </c>
      <c r="E115" s="8" t="s">
        <v>144</v>
      </c>
    </row>
    <row r="116" spans="1:5" x14ac:dyDescent="0.2">
      <c r="A116" s="16">
        <v>4</v>
      </c>
      <c r="B116" s="14" t="s">
        <v>104</v>
      </c>
      <c r="C116" s="17"/>
      <c r="D116" s="18" t="s">
        <v>122</v>
      </c>
      <c r="E116" s="8" t="s">
        <v>123</v>
      </c>
    </row>
    <row r="117" spans="1:5" x14ac:dyDescent="0.2">
      <c r="A117" s="16">
        <v>4</v>
      </c>
      <c r="B117" s="14" t="s">
        <v>104</v>
      </c>
      <c r="C117" s="17"/>
      <c r="D117" s="18" t="s">
        <v>124</v>
      </c>
      <c r="E117" s="8" t="s">
        <v>185</v>
      </c>
    </row>
    <row r="118" spans="1:5" x14ac:dyDescent="0.2">
      <c r="A118" s="16">
        <v>4</v>
      </c>
      <c r="B118" s="14" t="s">
        <v>104</v>
      </c>
      <c r="C118" s="17"/>
      <c r="D118" s="18" t="s">
        <v>125</v>
      </c>
      <c r="E118" s="8" t="s">
        <v>185</v>
      </c>
    </row>
    <row r="119" spans="1:5" x14ac:dyDescent="0.2">
      <c r="A119" s="16">
        <v>4</v>
      </c>
      <c r="B119" s="14" t="s">
        <v>104</v>
      </c>
      <c r="C119" s="17"/>
      <c r="D119" s="18" t="s">
        <v>126</v>
      </c>
      <c r="E119" s="8" t="s">
        <v>144</v>
      </c>
    </row>
    <row r="120" spans="1:5" x14ac:dyDescent="0.2">
      <c r="A120" s="16">
        <v>4</v>
      </c>
      <c r="B120" s="14" t="s">
        <v>104</v>
      </c>
      <c r="C120" s="17"/>
      <c r="D120" s="18" t="s">
        <v>127</v>
      </c>
      <c r="E120" s="8" t="s">
        <v>144</v>
      </c>
    </row>
    <row r="121" spans="1:5" x14ac:dyDescent="0.2">
      <c r="A121" s="16">
        <v>4</v>
      </c>
      <c r="B121" s="14" t="s">
        <v>104</v>
      </c>
      <c r="C121" s="17"/>
      <c r="D121" s="18" t="s">
        <v>128</v>
      </c>
      <c r="E121" s="54" t="s">
        <v>144</v>
      </c>
    </row>
    <row r="122" spans="1:5" x14ac:dyDescent="0.2">
      <c r="A122" s="16">
        <v>4</v>
      </c>
      <c r="B122" s="14" t="s">
        <v>104</v>
      </c>
      <c r="C122" s="17"/>
      <c r="D122" s="18" t="s">
        <v>129</v>
      </c>
      <c r="E122" s="8" t="s">
        <v>185</v>
      </c>
    </row>
    <row r="123" spans="1:5" x14ac:dyDescent="0.2">
      <c r="A123" s="16">
        <v>4</v>
      </c>
      <c r="B123" s="14" t="s">
        <v>104</v>
      </c>
      <c r="C123" s="17"/>
      <c r="D123" s="18" t="s">
        <v>130</v>
      </c>
      <c r="E123" s="8" t="s">
        <v>144</v>
      </c>
    </row>
    <row r="124" spans="1:5" x14ac:dyDescent="0.2">
      <c r="A124" s="16">
        <v>4</v>
      </c>
      <c r="B124" s="14" t="s">
        <v>104</v>
      </c>
      <c r="C124" s="17"/>
      <c r="D124" s="18" t="s">
        <v>131</v>
      </c>
      <c r="E124" s="54" t="s">
        <v>144</v>
      </c>
    </row>
    <row r="125" spans="1:5" x14ac:dyDescent="0.2">
      <c r="A125" s="16">
        <v>4</v>
      </c>
      <c r="B125" s="14" t="s">
        <v>104</v>
      </c>
      <c r="C125" s="17"/>
      <c r="D125" s="18" t="s">
        <v>132</v>
      </c>
      <c r="E125" s="8" t="s">
        <v>185</v>
      </c>
    </row>
    <row r="126" spans="1:5" x14ac:dyDescent="0.2">
      <c r="A126" s="16">
        <v>4</v>
      </c>
      <c r="B126" s="14" t="s">
        <v>104</v>
      </c>
      <c r="C126" s="17"/>
      <c r="D126" s="18" t="s">
        <v>133</v>
      </c>
      <c r="E126" s="8" t="s">
        <v>185</v>
      </c>
    </row>
    <row r="127" spans="1:5" x14ac:dyDescent="0.2">
      <c r="A127" s="16">
        <v>4</v>
      </c>
      <c r="B127" s="14" t="s">
        <v>104</v>
      </c>
      <c r="C127" s="17"/>
      <c r="D127" s="18" t="s">
        <v>134</v>
      </c>
      <c r="E127" s="8" t="s">
        <v>144</v>
      </c>
    </row>
    <row r="128" spans="1:5" x14ac:dyDescent="0.2">
      <c r="A128" s="17">
        <v>4</v>
      </c>
      <c r="B128" s="17" t="s">
        <v>104</v>
      </c>
      <c r="C128" s="17"/>
      <c r="D128" s="17" t="s">
        <v>135</v>
      </c>
      <c r="E128" s="8" t="s">
        <v>144</v>
      </c>
    </row>
    <row r="129" spans="1:5" x14ac:dyDescent="0.2">
      <c r="A129" s="17">
        <v>4</v>
      </c>
      <c r="B129" s="17" t="s">
        <v>104</v>
      </c>
      <c r="C129" s="17"/>
      <c r="D129" s="17" t="s">
        <v>136</v>
      </c>
      <c r="E129" s="8" t="s">
        <v>185</v>
      </c>
    </row>
    <row r="130" spans="1:5" x14ac:dyDescent="0.2">
      <c r="A130" s="17">
        <v>4</v>
      </c>
      <c r="B130" s="17" t="s">
        <v>104</v>
      </c>
      <c r="C130" s="17"/>
      <c r="D130" s="17" t="s">
        <v>137</v>
      </c>
      <c r="E130" s="8" t="s">
        <v>144</v>
      </c>
    </row>
    <row r="131" spans="1:5" x14ac:dyDescent="0.2">
      <c r="A131" s="17">
        <v>4</v>
      </c>
      <c r="B131" s="17" t="s">
        <v>104</v>
      </c>
      <c r="C131" s="17"/>
      <c r="D131" s="17" t="s">
        <v>138</v>
      </c>
      <c r="E131" s="8" t="s">
        <v>144</v>
      </c>
    </row>
    <row r="132" spans="1:5" x14ac:dyDescent="0.2">
      <c r="A132" s="17">
        <v>4</v>
      </c>
      <c r="B132" s="17" t="s">
        <v>104</v>
      </c>
      <c r="C132" s="17"/>
      <c r="D132" s="17" t="s">
        <v>139</v>
      </c>
      <c r="E132" s="8" t="s">
        <v>144</v>
      </c>
    </row>
  </sheetData>
  <pageMargins left="0.7" right="0.7" top="0.75" bottom="0.75" header="0.3" footer="0.3"/>
  <pageSetup orientation="portrait" horizontalDpi="0" verticalDpi="0" copies="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D9348-B950-2549-81D7-21926E55CB90}">
  <dimension ref="A1:L132"/>
  <sheetViews>
    <sheetView workbookViewId="0">
      <selection sqref="A1:E1048576"/>
    </sheetView>
  </sheetViews>
  <sheetFormatPr baseColWidth="10" defaultColWidth="11.5" defaultRowHeight="15" x14ac:dyDescent="0.2"/>
  <sheetData>
    <row r="1" spans="1:12" ht="19" x14ac:dyDescent="0.25">
      <c r="A1" s="12" t="s">
        <v>0</v>
      </c>
      <c r="B1" s="12"/>
      <c r="C1" s="12"/>
      <c r="D1" s="12"/>
      <c r="E1" s="12"/>
      <c r="G1" s="12"/>
      <c r="H1" s="12"/>
      <c r="I1" s="12"/>
      <c r="J1" s="12"/>
      <c r="L1" s="12"/>
    </row>
    <row r="2" spans="1:12" ht="19" x14ac:dyDescent="0.25">
      <c r="A2" s="12"/>
      <c r="B2" s="12"/>
      <c r="C2" s="12"/>
      <c r="D2" s="12"/>
      <c r="E2" s="12"/>
      <c r="G2" s="12"/>
      <c r="H2" s="12"/>
      <c r="I2" s="12"/>
      <c r="J2" s="12"/>
      <c r="K2" s="12"/>
      <c r="L2" s="12"/>
    </row>
    <row r="3" spans="1:12" ht="19" x14ac:dyDescent="0.25">
      <c r="A3" s="12" t="s">
        <v>140</v>
      </c>
      <c r="B3" s="12"/>
      <c r="C3" s="12"/>
      <c r="D3" s="12"/>
      <c r="E3" s="12"/>
      <c r="G3" s="12"/>
      <c r="H3" s="12"/>
      <c r="I3" s="12"/>
      <c r="J3" s="12"/>
      <c r="K3" s="12"/>
      <c r="L3" s="12"/>
    </row>
    <row r="4" spans="1:12" ht="19" x14ac:dyDescent="0.25">
      <c r="A4" s="12"/>
      <c r="B4" s="12"/>
      <c r="C4" s="12"/>
      <c r="D4" s="12"/>
      <c r="E4" s="12"/>
      <c r="G4" s="12"/>
      <c r="H4" s="12"/>
      <c r="I4" s="12"/>
      <c r="J4" s="12"/>
      <c r="K4" s="12"/>
      <c r="L4" s="12"/>
    </row>
    <row r="5" spans="1:12" ht="19" x14ac:dyDescent="0.25">
      <c r="A5" s="12" t="s">
        <v>141</v>
      </c>
      <c r="B5" s="12"/>
      <c r="C5" s="12"/>
      <c r="D5" s="12"/>
      <c r="E5" s="12"/>
      <c r="G5" s="12"/>
      <c r="H5" s="12"/>
      <c r="I5" s="12"/>
      <c r="J5" s="12"/>
      <c r="K5" s="12"/>
      <c r="L5" s="12"/>
    </row>
    <row r="6" spans="1:12" ht="19" x14ac:dyDescent="0.25">
      <c r="A6" s="12" t="s">
        <v>3</v>
      </c>
      <c r="B6" s="12"/>
      <c r="C6" s="12"/>
      <c r="D6" s="12"/>
      <c r="E6" s="12"/>
      <c r="G6" s="12"/>
      <c r="H6" s="12"/>
      <c r="I6" s="12"/>
      <c r="J6" s="12"/>
      <c r="K6" s="12"/>
      <c r="L6" s="12"/>
    </row>
    <row r="8" spans="1:12" ht="28" thickBot="1" x14ac:dyDescent="0.25">
      <c r="A8" s="1" t="s">
        <v>4</v>
      </c>
      <c r="B8" s="2" t="s">
        <v>5</v>
      </c>
      <c r="C8" s="2" t="s">
        <v>6</v>
      </c>
      <c r="D8" s="6" t="s">
        <v>7</v>
      </c>
      <c r="E8" s="7" t="s">
        <v>142</v>
      </c>
    </row>
    <row r="9" spans="1:12" x14ac:dyDescent="0.2">
      <c r="A9" s="25">
        <v>1</v>
      </c>
      <c r="B9" s="26" t="s">
        <v>11</v>
      </c>
      <c r="C9" s="25" t="s">
        <v>12</v>
      </c>
      <c r="D9" s="27">
        <v>805</v>
      </c>
      <c r="E9" s="8" t="s">
        <v>123</v>
      </c>
    </row>
    <row r="10" spans="1:12" x14ac:dyDescent="0.2">
      <c r="A10" s="28">
        <v>1</v>
      </c>
      <c r="B10" s="29" t="s">
        <v>11</v>
      </c>
      <c r="C10" s="28" t="s">
        <v>13</v>
      </c>
      <c r="D10" s="30">
        <v>807</v>
      </c>
      <c r="E10" s="8" t="s">
        <v>123</v>
      </c>
    </row>
    <row r="11" spans="1:12" x14ac:dyDescent="0.2">
      <c r="A11" s="28">
        <v>1</v>
      </c>
      <c r="B11" s="29" t="s">
        <v>11</v>
      </c>
      <c r="C11" s="28" t="s">
        <v>14</v>
      </c>
      <c r="D11" s="30">
        <v>813</v>
      </c>
      <c r="E11" s="8" t="s">
        <v>123</v>
      </c>
    </row>
    <row r="12" spans="1:12" x14ac:dyDescent="0.2">
      <c r="A12" s="28">
        <v>1</v>
      </c>
      <c r="B12" s="29" t="s">
        <v>11</v>
      </c>
      <c r="C12" s="28" t="s">
        <v>15</v>
      </c>
      <c r="D12" s="30">
        <v>814</v>
      </c>
      <c r="E12" s="8" t="s">
        <v>123</v>
      </c>
    </row>
    <row r="13" spans="1:12" x14ac:dyDescent="0.2">
      <c r="A13" s="28">
        <v>1</v>
      </c>
      <c r="B13" s="29" t="s">
        <v>11</v>
      </c>
      <c r="C13" s="28" t="s">
        <v>16</v>
      </c>
      <c r="D13" s="30">
        <v>820</v>
      </c>
      <c r="E13" s="8" t="s">
        <v>123</v>
      </c>
    </row>
    <row r="14" spans="1:12" x14ac:dyDescent="0.2">
      <c r="A14" s="28">
        <v>1</v>
      </c>
      <c r="B14" s="29" t="s">
        <v>11</v>
      </c>
      <c r="C14" s="28" t="s">
        <v>17</v>
      </c>
      <c r="D14" s="30">
        <v>821</v>
      </c>
      <c r="E14" s="8" t="s">
        <v>123</v>
      </c>
    </row>
    <row r="15" spans="1:12" x14ac:dyDescent="0.2">
      <c r="A15" s="28">
        <v>1</v>
      </c>
      <c r="B15" s="29" t="s">
        <v>11</v>
      </c>
      <c r="C15" s="28" t="s">
        <v>18</v>
      </c>
      <c r="D15" s="30">
        <v>824</v>
      </c>
      <c r="E15" s="8" t="s">
        <v>123</v>
      </c>
    </row>
    <row r="16" spans="1:12" x14ac:dyDescent="0.2">
      <c r="A16" s="28">
        <v>1</v>
      </c>
      <c r="B16" s="29" t="s">
        <v>11</v>
      </c>
      <c r="C16" s="28" t="s">
        <v>19</v>
      </c>
      <c r="D16" s="30">
        <v>827</v>
      </c>
      <c r="E16" s="8" t="s">
        <v>123</v>
      </c>
    </row>
    <row r="17" spans="1:5" x14ac:dyDescent="0.2">
      <c r="A17" s="28">
        <v>1</v>
      </c>
      <c r="B17" s="29" t="s">
        <v>11</v>
      </c>
      <c r="C17" s="28" t="s">
        <v>20</v>
      </c>
      <c r="D17" s="30">
        <v>830</v>
      </c>
      <c r="E17" s="8" t="s">
        <v>123</v>
      </c>
    </row>
    <row r="18" spans="1:5" x14ac:dyDescent="0.2">
      <c r="A18" s="28">
        <v>1</v>
      </c>
      <c r="B18" s="29" t="s">
        <v>11</v>
      </c>
      <c r="C18" s="28" t="s">
        <v>21</v>
      </c>
      <c r="D18" s="30">
        <v>831</v>
      </c>
      <c r="E18" s="8" t="s">
        <v>123</v>
      </c>
    </row>
    <row r="19" spans="1:5" x14ac:dyDescent="0.2">
      <c r="A19" s="28">
        <v>1</v>
      </c>
      <c r="B19" s="29" t="s">
        <v>11</v>
      </c>
      <c r="C19" s="28" t="s">
        <v>22</v>
      </c>
      <c r="D19" s="30">
        <v>837</v>
      </c>
      <c r="E19" s="8" t="s">
        <v>123</v>
      </c>
    </row>
    <row r="20" spans="1:5" x14ac:dyDescent="0.2">
      <c r="A20" s="28">
        <v>1</v>
      </c>
      <c r="B20" s="29" t="s">
        <v>11</v>
      </c>
      <c r="C20" s="28" t="s">
        <v>23</v>
      </c>
      <c r="D20" s="30">
        <v>838</v>
      </c>
      <c r="E20" s="8" t="s">
        <v>123</v>
      </c>
    </row>
    <row r="21" spans="1:5" x14ac:dyDescent="0.2">
      <c r="A21" s="28">
        <v>1</v>
      </c>
      <c r="B21" s="29" t="s">
        <v>11</v>
      </c>
      <c r="C21" s="28" t="s">
        <v>24</v>
      </c>
      <c r="D21" s="30">
        <v>842</v>
      </c>
      <c r="E21" s="8" t="s">
        <v>123</v>
      </c>
    </row>
    <row r="22" spans="1:5" x14ac:dyDescent="0.2">
      <c r="A22" s="28">
        <v>1</v>
      </c>
      <c r="B22" s="29" t="s">
        <v>11</v>
      </c>
      <c r="C22" s="28" t="s">
        <v>25</v>
      </c>
      <c r="D22" s="30">
        <v>847</v>
      </c>
      <c r="E22" s="8" t="s">
        <v>123</v>
      </c>
    </row>
    <row r="23" spans="1:5" x14ac:dyDescent="0.2">
      <c r="A23" s="28">
        <v>1</v>
      </c>
      <c r="B23" s="29" t="s">
        <v>11</v>
      </c>
      <c r="C23" s="28" t="s">
        <v>26</v>
      </c>
      <c r="D23" s="30">
        <v>848</v>
      </c>
      <c r="E23" s="8" t="s">
        <v>123</v>
      </c>
    </row>
    <row r="24" spans="1:5" x14ac:dyDescent="0.2">
      <c r="A24" s="28">
        <v>1</v>
      </c>
      <c r="B24" s="29" t="s">
        <v>11</v>
      </c>
      <c r="C24" s="28" t="s">
        <v>27</v>
      </c>
      <c r="D24" s="30">
        <v>851</v>
      </c>
      <c r="E24" s="8" t="s">
        <v>123</v>
      </c>
    </row>
    <row r="25" spans="1:5" x14ac:dyDescent="0.2">
      <c r="A25" s="28">
        <v>1</v>
      </c>
      <c r="B25" s="29" t="s">
        <v>11</v>
      </c>
      <c r="C25" s="28" t="s">
        <v>28</v>
      </c>
      <c r="D25" s="30">
        <v>853</v>
      </c>
      <c r="E25" s="8" t="s">
        <v>123</v>
      </c>
    </row>
    <row r="26" spans="1:5" x14ac:dyDescent="0.2">
      <c r="A26" s="28">
        <v>1</v>
      </c>
      <c r="B26" s="29" t="s">
        <v>11</v>
      </c>
      <c r="C26" s="28" t="s">
        <v>29</v>
      </c>
      <c r="D26" s="30">
        <v>860</v>
      </c>
      <c r="E26" s="8" t="s">
        <v>123</v>
      </c>
    </row>
    <row r="27" spans="1:5" x14ac:dyDescent="0.2">
      <c r="A27" s="28">
        <v>1</v>
      </c>
      <c r="B27" s="29" t="s">
        <v>11</v>
      </c>
      <c r="C27" s="28" t="s">
        <v>30</v>
      </c>
      <c r="D27" s="30">
        <v>863</v>
      </c>
      <c r="E27" s="8" t="s">
        <v>123</v>
      </c>
    </row>
    <row r="28" spans="1:5" x14ac:dyDescent="0.2">
      <c r="A28" s="28">
        <v>1</v>
      </c>
      <c r="B28" s="29" t="s">
        <v>11</v>
      </c>
      <c r="C28" s="28" t="s">
        <v>31</v>
      </c>
      <c r="D28" s="30">
        <v>864</v>
      </c>
      <c r="E28" s="8" t="s">
        <v>123</v>
      </c>
    </row>
    <row r="29" spans="1:5" x14ac:dyDescent="0.2">
      <c r="A29" s="28">
        <v>1</v>
      </c>
      <c r="B29" s="29" t="s">
        <v>11</v>
      </c>
      <c r="C29" s="28" t="s">
        <v>32</v>
      </c>
      <c r="D29" s="30">
        <v>867</v>
      </c>
      <c r="E29" s="8" t="s">
        <v>123</v>
      </c>
    </row>
    <row r="30" spans="1:5" x14ac:dyDescent="0.2">
      <c r="A30" s="28">
        <v>1</v>
      </c>
      <c r="B30" s="29" t="s">
        <v>11</v>
      </c>
      <c r="C30" s="28" t="s">
        <v>33</v>
      </c>
      <c r="D30" s="30">
        <v>868</v>
      </c>
      <c r="E30" s="8" t="s">
        <v>123</v>
      </c>
    </row>
    <row r="31" spans="1:5" x14ac:dyDescent="0.2">
      <c r="A31" s="28">
        <v>1</v>
      </c>
      <c r="B31" s="29" t="s">
        <v>11</v>
      </c>
      <c r="C31" s="28" t="s">
        <v>34</v>
      </c>
      <c r="D31" s="30">
        <v>869</v>
      </c>
      <c r="E31" s="8" t="s">
        <v>123</v>
      </c>
    </row>
    <row r="32" spans="1:5" x14ac:dyDescent="0.2">
      <c r="A32" s="28">
        <v>1</v>
      </c>
      <c r="B32" s="29" t="s">
        <v>11</v>
      </c>
      <c r="C32" s="28" t="s">
        <v>35</v>
      </c>
      <c r="D32" s="30">
        <v>872</v>
      </c>
      <c r="E32" s="8" t="s">
        <v>123</v>
      </c>
    </row>
    <row r="33" spans="1:5" x14ac:dyDescent="0.2">
      <c r="A33" s="28">
        <v>1</v>
      </c>
      <c r="B33" s="29" t="s">
        <v>11</v>
      </c>
      <c r="C33" s="28" t="s">
        <v>36</v>
      </c>
      <c r="D33" s="30">
        <v>876</v>
      </c>
      <c r="E33" s="8" t="s">
        <v>123</v>
      </c>
    </row>
    <row r="34" spans="1:5" x14ac:dyDescent="0.2">
      <c r="A34" s="28">
        <v>1</v>
      </c>
      <c r="B34" s="29" t="s">
        <v>11</v>
      </c>
      <c r="C34" s="28" t="s">
        <v>37</v>
      </c>
      <c r="D34" s="30">
        <v>881</v>
      </c>
      <c r="E34" s="8" t="s">
        <v>123</v>
      </c>
    </row>
    <row r="35" spans="1:5" x14ac:dyDescent="0.2">
      <c r="A35" s="28">
        <v>1</v>
      </c>
      <c r="B35" s="29" t="s">
        <v>11</v>
      </c>
      <c r="C35" s="28" t="s">
        <v>38</v>
      </c>
      <c r="D35" s="30">
        <v>882</v>
      </c>
      <c r="E35" s="8" t="s">
        <v>123</v>
      </c>
    </row>
    <row r="36" spans="1:5" x14ac:dyDescent="0.2">
      <c r="A36" s="28">
        <v>1</v>
      </c>
      <c r="B36" s="29" t="s">
        <v>11</v>
      </c>
      <c r="C36" s="28" t="s">
        <v>39</v>
      </c>
      <c r="D36" s="30">
        <v>885</v>
      </c>
      <c r="E36" s="8" t="s">
        <v>123</v>
      </c>
    </row>
    <row r="37" spans="1:5" x14ac:dyDescent="0.2">
      <c r="A37" s="28">
        <v>1</v>
      </c>
      <c r="B37" s="29" t="s">
        <v>11</v>
      </c>
      <c r="C37" s="28" t="s">
        <v>40</v>
      </c>
      <c r="D37" s="30">
        <v>889</v>
      </c>
      <c r="E37" s="8" t="s">
        <v>123</v>
      </c>
    </row>
    <row r="38" spans="1:5" ht="16" thickBot="1" x14ac:dyDescent="0.25">
      <c r="A38" s="31">
        <v>1</v>
      </c>
      <c r="B38" s="32" t="s">
        <v>11</v>
      </c>
      <c r="C38" s="31" t="s">
        <v>41</v>
      </c>
      <c r="D38" s="33">
        <v>890</v>
      </c>
      <c r="E38" s="8" t="s">
        <v>123</v>
      </c>
    </row>
    <row r="39" spans="1:5" x14ac:dyDescent="0.2">
      <c r="A39" s="3">
        <v>2</v>
      </c>
      <c r="B39" s="3" t="s">
        <v>42</v>
      </c>
      <c r="C39" s="3" t="s">
        <v>43</v>
      </c>
      <c r="D39" s="9">
        <v>800</v>
      </c>
      <c r="E39" s="8" t="s">
        <v>143</v>
      </c>
    </row>
    <row r="40" spans="1:5" x14ac:dyDescent="0.2">
      <c r="A40" s="4">
        <v>2</v>
      </c>
      <c r="B40" s="4" t="s">
        <v>42</v>
      </c>
      <c r="C40" s="4" t="s">
        <v>44</v>
      </c>
      <c r="D40" s="10">
        <v>801</v>
      </c>
      <c r="E40" s="8" t="s">
        <v>143</v>
      </c>
    </row>
    <row r="41" spans="1:5" x14ac:dyDescent="0.2">
      <c r="A41" s="4">
        <v>2</v>
      </c>
      <c r="B41" s="4" t="s">
        <v>42</v>
      </c>
      <c r="C41" s="4" t="s">
        <v>45</v>
      </c>
      <c r="D41" s="10">
        <v>804</v>
      </c>
      <c r="E41" s="8" t="s">
        <v>144</v>
      </c>
    </row>
    <row r="42" spans="1:5" x14ac:dyDescent="0.2">
      <c r="A42" s="4">
        <v>2</v>
      </c>
      <c r="B42" s="4" t="s">
        <v>42</v>
      </c>
      <c r="C42" s="4" t="s">
        <v>46</v>
      </c>
      <c r="D42" s="10">
        <v>806</v>
      </c>
      <c r="E42" s="8" t="s">
        <v>144</v>
      </c>
    </row>
    <row r="43" spans="1:5" x14ac:dyDescent="0.2">
      <c r="A43" s="4">
        <v>2</v>
      </c>
      <c r="B43" s="4" t="s">
        <v>42</v>
      </c>
      <c r="C43" s="4" t="s">
        <v>47</v>
      </c>
      <c r="D43" s="10">
        <v>809</v>
      </c>
      <c r="E43" s="8" t="s">
        <v>143</v>
      </c>
    </row>
    <row r="44" spans="1:5" x14ac:dyDescent="0.2">
      <c r="A44" s="4">
        <v>2</v>
      </c>
      <c r="B44" s="4" t="s">
        <v>42</v>
      </c>
      <c r="C44" s="4" t="s">
        <v>48</v>
      </c>
      <c r="D44" s="10">
        <v>810</v>
      </c>
      <c r="E44" s="8" t="s">
        <v>143</v>
      </c>
    </row>
    <row r="45" spans="1:5" x14ac:dyDescent="0.2">
      <c r="A45" s="4">
        <v>2</v>
      </c>
      <c r="B45" s="4" t="s">
        <v>42</v>
      </c>
      <c r="C45" s="4" t="s">
        <v>49</v>
      </c>
      <c r="D45" s="10">
        <v>819</v>
      </c>
      <c r="E45" s="8" t="s">
        <v>143</v>
      </c>
    </row>
    <row r="46" spans="1:5" x14ac:dyDescent="0.2">
      <c r="A46" s="4">
        <v>2</v>
      </c>
      <c r="B46" s="4" t="s">
        <v>42</v>
      </c>
      <c r="C46" s="4" t="s">
        <v>50</v>
      </c>
      <c r="D46" s="10">
        <v>822</v>
      </c>
      <c r="E46" s="8" t="s">
        <v>143</v>
      </c>
    </row>
    <row r="47" spans="1:5" x14ac:dyDescent="0.2">
      <c r="A47" s="4">
        <v>2</v>
      </c>
      <c r="B47" s="4" t="s">
        <v>42</v>
      </c>
      <c r="C47" s="4" t="s">
        <v>51</v>
      </c>
      <c r="D47" s="10">
        <v>823</v>
      </c>
      <c r="E47" s="8" t="s">
        <v>143</v>
      </c>
    </row>
    <row r="48" spans="1:5" x14ac:dyDescent="0.2">
      <c r="A48" s="4">
        <v>2</v>
      </c>
      <c r="B48" s="4" t="s">
        <v>42</v>
      </c>
      <c r="C48" s="4" t="s">
        <v>52</v>
      </c>
      <c r="D48" s="10">
        <v>825</v>
      </c>
      <c r="E48" s="8" t="s">
        <v>144</v>
      </c>
    </row>
    <row r="49" spans="1:5" x14ac:dyDescent="0.2">
      <c r="A49" s="4">
        <v>2</v>
      </c>
      <c r="B49" s="4" t="s">
        <v>42</v>
      </c>
      <c r="C49" s="4" t="s">
        <v>53</v>
      </c>
      <c r="D49" s="10">
        <v>826</v>
      </c>
      <c r="E49" s="8" t="s">
        <v>144</v>
      </c>
    </row>
    <row r="50" spans="1:5" x14ac:dyDescent="0.2">
      <c r="A50" s="4">
        <v>2</v>
      </c>
      <c r="B50" s="4" t="s">
        <v>42</v>
      </c>
      <c r="C50" s="4" t="s">
        <v>54</v>
      </c>
      <c r="D50" s="10">
        <v>828</v>
      </c>
      <c r="E50" s="8" t="s">
        <v>144</v>
      </c>
    </row>
    <row r="51" spans="1:5" x14ac:dyDescent="0.2">
      <c r="A51" s="4">
        <v>2</v>
      </c>
      <c r="B51" s="4" t="s">
        <v>42</v>
      </c>
      <c r="C51" s="4" t="s">
        <v>55</v>
      </c>
      <c r="D51" s="10">
        <v>829</v>
      </c>
      <c r="E51" s="8" t="s">
        <v>144</v>
      </c>
    </row>
    <row r="52" spans="1:5" x14ac:dyDescent="0.2">
      <c r="A52" s="4">
        <v>2</v>
      </c>
      <c r="B52" s="4" t="s">
        <v>42</v>
      </c>
      <c r="C52" s="4" t="s">
        <v>56</v>
      </c>
      <c r="D52" s="10">
        <v>832</v>
      </c>
      <c r="E52" s="8" t="s">
        <v>144</v>
      </c>
    </row>
    <row r="53" spans="1:5" x14ac:dyDescent="0.2">
      <c r="A53" s="4">
        <v>2</v>
      </c>
      <c r="B53" s="4" t="s">
        <v>42</v>
      </c>
      <c r="C53" s="4" t="s">
        <v>57</v>
      </c>
      <c r="D53" s="10">
        <v>836</v>
      </c>
      <c r="E53" s="8" t="s">
        <v>144</v>
      </c>
    </row>
    <row r="54" spans="1:5" x14ac:dyDescent="0.2">
      <c r="A54" s="4">
        <v>2</v>
      </c>
      <c r="B54" s="4" t="s">
        <v>42</v>
      </c>
      <c r="C54" s="4" t="s">
        <v>58</v>
      </c>
      <c r="D54" s="10">
        <v>839</v>
      </c>
      <c r="E54" s="8" t="s">
        <v>144</v>
      </c>
    </row>
    <row r="55" spans="1:5" x14ac:dyDescent="0.2">
      <c r="A55" s="4">
        <v>2</v>
      </c>
      <c r="B55" s="4" t="s">
        <v>42</v>
      </c>
      <c r="C55" s="4" t="s">
        <v>59</v>
      </c>
      <c r="D55" s="10">
        <v>840</v>
      </c>
      <c r="E55" s="8" t="s">
        <v>143</v>
      </c>
    </row>
    <row r="56" spans="1:5" x14ac:dyDescent="0.2">
      <c r="A56" s="4">
        <v>2</v>
      </c>
      <c r="B56" s="4" t="s">
        <v>42</v>
      </c>
      <c r="C56" s="4" t="s">
        <v>60</v>
      </c>
      <c r="D56" s="10">
        <v>841</v>
      </c>
      <c r="E56" s="8" t="s">
        <v>144</v>
      </c>
    </row>
    <row r="57" spans="1:5" x14ac:dyDescent="0.2">
      <c r="A57" s="4">
        <v>2</v>
      </c>
      <c r="B57" s="4" t="s">
        <v>42</v>
      </c>
      <c r="C57" s="4" t="s">
        <v>61</v>
      </c>
      <c r="D57" s="10">
        <v>843</v>
      </c>
      <c r="E57" s="8" t="s">
        <v>144</v>
      </c>
    </row>
    <row r="58" spans="1:5" x14ac:dyDescent="0.2">
      <c r="A58" s="4">
        <v>2</v>
      </c>
      <c r="B58" s="4" t="s">
        <v>42</v>
      </c>
      <c r="C58" s="4" t="s">
        <v>62</v>
      </c>
      <c r="D58" s="10">
        <v>850</v>
      </c>
      <c r="E58" s="8" t="s">
        <v>143</v>
      </c>
    </row>
    <row r="59" spans="1:5" x14ac:dyDescent="0.2">
      <c r="A59" s="4">
        <v>2</v>
      </c>
      <c r="B59" s="4" t="s">
        <v>42</v>
      </c>
      <c r="C59" s="4" t="s">
        <v>63</v>
      </c>
      <c r="D59" s="10">
        <v>852</v>
      </c>
      <c r="E59" s="8" t="s">
        <v>144</v>
      </c>
    </row>
    <row r="60" spans="1:5" x14ac:dyDescent="0.2">
      <c r="A60" s="4">
        <v>2</v>
      </c>
      <c r="B60" s="4" t="s">
        <v>42</v>
      </c>
      <c r="C60" s="4" t="s">
        <v>64</v>
      </c>
      <c r="D60" s="10">
        <v>854</v>
      </c>
      <c r="E60" s="8" t="s">
        <v>144</v>
      </c>
    </row>
    <row r="61" spans="1:5" x14ac:dyDescent="0.2">
      <c r="A61" s="4">
        <v>2</v>
      </c>
      <c r="B61" s="4" t="s">
        <v>42</v>
      </c>
      <c r="C61" s="4" t="s">
        <v>65</v>
      </c>
      <c r="D61" s="10">
        <v>855</v>
      </c>
      <c r="E61" s="8" t="s">
        <v>143</v>
      </c>
    </row>
    <row r="62" spans="1:5" x14ac:dyDescent="0.2">
      <c r="A62" s="4">
        <v>2</v>
      </c>
      <c r="B62" s="4" t="s">
        <v>42</v>
      </c>
      <c r="C62" s="4" t="s">
        <v>66</v>
      </c>
      <c r="D62" s="10">
        <v>857</v>
      </c>
      <c r="E62" s="8" t="s">
        <v>143</v>
      </c>
    </row>
    <row r="63" spans="1:5" x14ac:dyDescent="0.2">
      <c r="A63" s="4">
        <v>2</v>
      </c>
      <c r="B63" s="4" t="s">
        <v>42</v>
      </c>
      <c r="C63" s="4" t="s">
        <v>67</v>
      </c>
      <c r="D63" s="10">
        <v>858</v>
      </c>
      <c r="E63" s="8" t="s">
        <v>144</v>
      </c>
    </row>
    <row r="64" spans="1:5" x14ac:dyDescent="0.2">
      <c r="A64" s="4">
        <v>2</v>
      </c>
      <c r="B64" s="4" t="s">
        <v>42</v>
      </c>
      <c r="C64" s="4" t="s">
        <v>68</v>
      </c>
      <c r="D64" s="10">
        <v>870</v>
      </c>
      <c r="E64" s="8" t="s">
        <v>143</v>
      </c>
    </row>
    <row r="65" spans="1:5" x14ac:dyDescent="0.2">
      <c r="A65" s="4">
        <v>2</v>
      </c>
      <c r="B65" s="4" t="s">
        <v>42</v>
      </c>
      <c r="C65" s="4" t="s">
        <v>69</v>
      </c>
      <c r="D65" s="10">
        <v>875</v>
      </c>
      <c r="E65" s="8" t="s">
        <v>143</v>
      </c>
    </row>
    <row r="66" spans="1:5" x14ac:dyDescent="0.2">
      <c r="A66" s="4">
        <v>2</v>
      </c>
      <c r="B66" s="4" t="s">
        <v>42</v>
      </c>
      <c r="C66" s="4" t="s">
        <v>70</v>
      </c>
      <c r="D66" s="10">
        <v>880</v>
      </c>
      <c r="E66" s="8" t="s">
        <v>143</v>
      </c>
    </row>
    <row r="67" spans="1:5" x14ac:dyDescent="0.2">
      <c r="A67" s="4">
        <v>2</v>
      </c>
      <c r="B67" s="4" t="s">
        <v>42</v>
      </c>
      <c r="C67" s="4" t="s">
        <v>71</v>
      </c>
      <c r="D67" s="10">
        <v>883</v>
      </c>
      <c r="E67" s="8" t="s">
        <v>143</v>
      </c>
    </row>
    <row r="68" spans="1:5" x14ac:dyDescent="0.2">
      <c r="A68" s="4">
        <v>2</v>
      </c>
      <c r="B68" s="4" t="s">
        <v>42</v>
      </c>
      <c r="C68" s="4" t="s">
        <v>72</v>
      </c>
      <c r="D68" s="10">
        <v>884</v>
      </c>
      <c r="E68" s="8" t="s">
        <v>143</v>
      </c>
    </row>
    <row r="69" spans="1:5" ht="16" thickBot="1" x14ac:dyDescent="0.25">
      <c r="A69" s="5">
        <v>2</v>
      </c>
      <c r="B69" s="5" t="s">
        <v>42</v>
      </c>
      <c r="C69" s="5" t="s">
        <v>73</v>
      </c>
      <c r="D69" s="11">
        <v>886</v>
      </c>
      <c r="E69" s="8" t="s">
        <v>143</v>
      </c>
    </row>
    <row r="70" spans="1:5" x14ac:dyDescent="0.2">
      <c r="A70" s="19">
        <v>3</v>
      </c>
      <c r="B70" s="20" t="s">
        <v>74</v>
      </c>
      <c r="C70" s="20" t="s">
        <v>75</v>
      </c>
      <c r="D70" s="21">
        <v>802</v>
      </c>
      <c r="E70" s="8" t="s">
        <v>143</v>
      </c>
    </row>
    <row r="71" spans="1:5" x14ac:dyDescent="0.2">
      <c r="A71" s="22">
        <v>3</v>
      </c>
      <c r="B71" s="23" t="s">
        <v>74</v>
      </c>
      <c r="C71" s="23" t="s">
        <v>76</v>
      </c>
      <c r="D71" s="24">
        <v>803</v>
      </c>
      <c r="E71" s="8" t="s">
        <v>144</v>
      </c>
    </row>
    <row r="72" spans="1:5" x14ac:dyDescent="0.2">
      <c r="A72" s="22">
        <v>3</v>
      </c>
      <c r="B72" s="23" t="s">
        <v>74</v>
      </c>
      <c r="C72" s="23" t="s">
        <v>77</v>
      </c>
      <c r="D72" s="24">
        <v>808</v>
      </c>
      <c r="E72" s="8" t="s">
        <v>144</v>
      </c>
    </row>
    <row r="73" spans="1:5" x14ac:dyDescent="0.2">
      <c r="A73" s="22">
        <v>3</v>
      </c>
      <c r="B73" s="23" t="s">
        <v>74</v>
      </c>
      <c r="C73" s="23" t="s">
        <v>78</v>
      </c>
      <c r="D73" s="24">
        <v>811</v>
      </c>
      <c r="E73" s="8" t="s">
        <v>143</v>
      </c>
    </row>
    <row r="74" spans="1:5" x14ac:dyDescent="0.2">
      <c r="A74" s="22">
        <v>3</v>
      </c>
      <c r="B74" s="23" t="s">
        <v>74</v>
      </c>
      <c r="C74" s="23" t="s">
        <v>79</v>
      </c>
      <c r="D74" s="24">
        <v>812</v>
      </c>
      <c r="E74" s="8" t="s">
        <v>144</v>
      </c>
    </row>
    <row r="75" spans="1:5" x14ac:dyDescent="0.2">
      <c r="A75" s="22">
        <v>3</v>
      </c>
      <c r="B75" s="23" t="s">
        <v>74</v>
      </c>
      <c r="C75" s="23" t="s">
        <v>80</v>
      </c>
      <c r="D75" s="24">
        <v>815</v>
      </c>
      <c r="E75" s="8" t="s">
        <v>144</v>
      </c>
    </row>
    <row r="76" spans="1:5" x14ac:dyDescent="0.2">
      <c r="A76" s="22">
        <v>3</v>
      </c>
      <c r="B76" s="23" t="s">
        <v>74</v>
      </c>
      <c r="C76" s="23" t="s">
        <v>81</v>
      </c>
      <c r="D76" s="24">
        <v>816</v>
      </c>
      <c r="E76" s="8" t="s">
        <v>143</v>
      </c>
    </row>
    <row r="77" spans="1:5" x14ac:dyDescent="0.2">
      <c r="A77" s="22">
        <v>3</v>
      </c>
      <c r="B77" s="23" t="s">
        <v>74</v>
      </c>
      <c r="C77" s="23" t="s">
        <v>82</v>
      </c>
      <c r="D77" s="24">
        <v>817</v>
      </c>
      <c r="E77" s="8" t="s">
        <v>144</v>
      </c>
    </row>
    <row r="78" spans="1:5" x14ac:dyDescent="0.2">
      <c r="A78" s="22">
        <v>3</v>
      </c>
      <c r="B78" s="23" t="s">
        <v>74</v>
      </c>
      <c r="C78" s="23" t="s">
        <v>83</v>
      </c>
      <c r="D78" s="24">
        <v>818</v>
      </c>
      <c r="E78" s="8" t="s">
        <v>144</v>
      </c>
    </row>
    <row r="79" spans="1:5" x14ac:dyDescent="0.2">
      <c r="A79" s="22">
        <v>3</v>
      </c>
      <c r="B79" s="23" t="s">
        <v>74</v>
      </c>
      <c r="C79" s="23" t="s">
        <v>84</v>
      </c>
      <c r="D79" s="24">
        <v>833</v>
      </c>
      <c r="E79" s="8" t="s">
        <v>143</v>
      </c>
    </row>
    <row r="80" spans="1:5" x14ac:dyDescent="0.2">
      <c r="A80" s="22">
        <v>3</v>
      </c>
      <c r="B80" s="23" t="s">
        <v>74</v>
      </c>
      <c r="C80" s="23" t="s">
        <v>85</v>
      </c>
      <c r="D80" s="24">
        <v>834</v>
      </c>
      <c r="E80" s="8" t="s">
        <v>143</v>
      </c>
    </row>
    <row r="81" spans="1:5" x14ac:dyDescent="0.2">
      <c r="A81" s="22">
        <v>3</v>
      </c>
      <c r="B81" s="23" t="s">
        <v>74</v>
      </c>
      <c r="C81" s="23" t="s">
        <v>86</v>
      </c>
      <c r="D81" s="24">
        <v>835</v>
      </c>
      <c r="E81" s="8" t="s">
        <v>143</v>
      </c>
    </row>
    <row r="82" spans="1:5" x14ac:dyDescent="0.2">
      <c r="A82" s="22">
        <v>3</v>
      </c>
      <c r="B82" s="23" t="s">
        <v>74</v>
      </c>
      <c r="C82" s="23" t="s">
        <v>87</v>
      </c>
      <c r="D82" s="24">
        <v>844</v>
      </c>
      <c r="E82" s="8" t="s">
        <v>143</v>
      </c>
    </row>
    <row r="83" spans="1:5" x14ac:dyDescent="0.2">
      <c r="A83" s="22">
        <v>3</v>
      </c>
      <c r="B83" s="23" t="s">
        <v>74</v>
      </c>
      <c r="C83" s="23" t="s">
        <v>88</v>
      </c>
      <c r="D83" s="24">
        <v>845</v>
      </c>
      <c r="E83" s="8" t="s">
        <v>143</v>
      </c>
    </row>
    <row r="84" spans="1:5" x14ac:dyDescent="0.2">
      <c r="A84" s="22">
        <v>3</v>
      </c>
      <c r="B84" s="23" t="s">
        <v>74</v>
      </c>
      <c r="C84" s="23" t="s">
        <v>89</v>
      </c>
      <c r="D84" s="24">
        <v>846</v>
      </c>
      <c r="E84" s="8" t="s">
        <v>144</v>
      </c>
    </row>
    <row r="85" spans="1:5" x14ac:dyDescent="0.2">
      <c r="A85" s="22">
        <v>3</v>
      </c>
      <c r="B85" s="23" t="s">
        <v>74</v>
      </c>
      <c r="C85" s="23" t="s">
        <v>90</v>
      </c>
      <c r="D85" s="24">
        <v>849</v>
      </c>
      <c r="E85" s="8" t="s">
        <v>144</v>
      </c>
    </row>
    <row r="86" spans="1:5" x14ac:dyDescent="0.2">
      <c r="A86" s="22">
        <v>3</v>
      </c>
      <c r="B86" s="23" t="s">
        <v>74</v>
      </c>
      <c r="C86" s="23" t="s">
        <v>91</v>
      </c>
      <c r="D86" s="24">
        <v>856</v>
      </c>
      <c r="E86" s="8" t="s">
        <v>144</v>
      </c>
    </row>
    <row r="87" spans="1:5" x14ac:dyDescent="0.2">
      <c r="A87" s="22">
        <v>3</v>
      </c>
      <c r="B87" s="23" t="s">
        <v>74</v>
      </c>
      <c r="C87" s="23" t="s">
        <v>92</v>
      </c>
      <c r="D87" s="24">
        <v>859</v>
      </c>
      <c r="E87" s="8" t="s">
        <v>144</v>
      </c>
    </row>
    <row r="88" spans="1:5" x14ac:dyDescent="0.2">
      <c r="A88" s="22">
        <v>3</v>
      </c>
      <c r="B88" s="23" t="s">
        <v>74</v>
      </c>
      <c r="C88" s="23" t="s">
        <v>93</v>
      </c>
      <c r="D88" s="24">
        <v>861</v>
      </c>
      <c r="E88" s="8" t="s">
        <v>144</v>
      </c>
    </row>
    <row r="89" spans="1:5" x14ac:dyDescent="0.2">
      <c r="A89" s="22">
        <v>3</v>
      </c>
      <c r="B89" s="23" t="s">
        <v>74</v>
      </c>
      <c r="C89" s="23" t="s">
        <v>94</v>
      </c>
      <c r="D89" s="24">
        <v>862</v>
      </c>
      <c r="E89" s="8" t="s">
        <v>144</v>
      </c>
    </row>
    <row r="90" spans="1:5" x14ac:dyDescent="0.2">
      <c r="A90" s="22">
        <v>3</v>
      </c>
      <c r="B90" s="23" t="s">
        <v>74</v>
      </c>
      <c r="C90" s="23" t="s">
        <v>95</v>
      </c>
      <c r="D90" s="24">
        <v>865</v>
      </c>
      <c r="E90" s="8" t="s">
        <v>143</v>
      </c>
    </row>
    <row r="91" spans="1:5" x14ac:dyDescent="0.2">
      <c r="A91" s="22">
        <v>3</v>
      </c>
      <c r="B91" s="23" t="s">
        <v>74</v>
      </c>
      <c r="C91" s="23" t="s">
        <v>96</v>
      </c>
      <c r="D91" s="24">
        <v>866</v>
      </c>
      <c r="E91" s="8" t="s">
        <v>143</v>
      </c>
    </row>
    <row r="92" spans="1:5" x14ac:dyDescent="0.2">
      <c r="A92" s="22">
        <v>3</v>
      </c>
      <c r="B92" s="23" t="s">
        <v>74</v>
      </c>
      <c r="C92" s="23" t="s">
        <v>97</v>
      </c>
      <c r="D92" s="24">
        <v>871</v>
      </c>
      <c r="E92" s="8" t="s">
        <v>143</v>
      </c>
    </row>
    <row r="93" spans="1:5" x14ac:dyDescent="0.2">
      <c r="A93" s="22">
        <v>3</v>
      </c>
      <c r="B93" s="23" t="s">
        <v>74</v>
      </c>
      <c r="C93" s="23" t="s">
        <v>98</v>
      </c>
      <c r="D93" s="24">
        <v>873</v>
      </c>
      <c r="E93" s="8" t="s">
        <v>143</v>
      </c>
    </row>
    <row r="94" spans="1:5" x14ac:dyDescent="0.2">
      <c r="A94" s="22">
        <v>3</v>
      </c>
      <c r="B94" s="23" t="s">
        <v>74</v>
      </c>
      <c r="C94" s="23" t="s">
        <v>99</v>
      </c>
      <c r="D94" s="24">
        <v>874</v>
      </c>
      <c r="E94" s="8" t="s">
        <v>143</v>
      </c>
    </row>
    <row r="95" spans="1:5" x14ac:dyDescent="0.2">
      <c r="A95" s="22">
        <v>3</v>
      </c>
      <c r="B95" s="23" t="s">
        <v>74</v>
      </c>
      <c r="C95" s="23" t="s">
        <v>100</v>
      </c>
      <c r="D95" s="24">
        <v>877</v>
      </c>
      <c r="E95" s="8" t="s">
        <v>143</v>
      </c>
    </row>
    <row r="96" spans="1:5" x14ac:dyDescent="0.2">
      <c r="A96" s="22">
        <v>3</v>
      </c>
      <c r="B96" s="23" t="s">
        <v>74</v>
      </c>
      <c r="C96" s="23" t="s">
        <v>101</v>
      </c>
      <c r="D96" s="24">
        <v>879</v>
      </c>
      <c r="E96" s="8" t="s">
        <v>143</v>
      </c>
    </row>
    <row r="97" spans="1:5" x14ac:dyDescent="0.2">
      <c r="A97" s="22">
        <v>3</v>
      </c>
      <c r="B97" s="23" t="s">
        <v>74</v>
      </c>
      <c r="C97" s="23" t="s">
        <v>102</v>
      </c>
      <c r="D97" s="24">
        <v>887</v>
      </c>
      <c r="E97" s="8" t="s">
        <v>143</v>
      </c>
    </row>
    <row r="98" spans="1:5" x14ac:dyDescent="0.2">
      <c r="A98" s="22">
        <v>3</v>
      </c>
      <c r="B98" s="23" t="s">
        <v>74</v>
      </c>
      <c r="C98" s="23" t="s">
        <v>103</v>
      </c>
      <c r="D98" s="24">
        <v>888</v>
      </c>
      <c r="E98" s="8" t="s">
        <v>143</v>
      </c>
    </row>
    <row r="99" spans="1:5" x14ac:dyDescent="0.2">
      <c r="A99" s="13">
        <v>4</v>
      </c>
      <c r="B99" s="14" t="s">
        <v>104</v>
      </c>
      <c r="C99" s="14"/>
      <c r="D99" s="15" t="s">
        <v>105</v>
      </c>
      <c r="E99" s="8" t="s">
        <v>143</v>
      </c>
    </row>
    <row r="100" spans="1:5" x14ac:dyDescent="0.2">
      <c r="A100" s="16">
        <v>4</v>
      </c>
      <c r="B100" s="14" t="s">
        <v>104</v>
      </c>
      <c r="C100" s="17"/>
      <c r="D100" s="18" t="s">
        <v>106</v>
      </c>
      <c r="E100" s="8" t="s">
        <v>143</v>
      </c>
    </row>
    <row r="101" spans="1:5" x14ac:dyDescent="0.2">
      <c r="A101" s="16">
        <v>4</v>
      </c>
      <c r="B101" s="14" t="s">
        <v>104</v>
      </c>
      <c r="C101" s="17"/>
      <c r="D101" s="18" t="s">
        <v>107</v>
      </c>
      <c r="E101" s="8" t="s">
        <v>144</v>
      </c>
    </row>
    <row r="102" spans="1:5" x14ac:dyDescent="0.2">
      <c r="A102" s="16">
        <v>4</v>
      </c>
      <c r="B102" s="14" t="s">
        <v>104</v>
      </c>
      <c r="C102" s="17"/>
      <c r="D102" s="18" t="s">
        <v>108</v>
      </c>
      <c r="E102" s="8" t="s">
        <v>144</v>
      </c>
    </row>
    <row r="103" spans="1:5" x14ac:dyDescent="0.2">
      <c r="A103" s="16">
        <v>4</v>
      </c>
      <c r="B103" s="14" t="s">
        <v>104</v>
      </c>
      <c r="C103" s="17"/>
      <c r="D103" s="18" t="s">
        <v>109</v>
      </c>
      <c r="E103" s="8" t="s">
        <v>143</v>
      </c>
    </row>
    <row r="104" spans="1:5" x14ac:dyDescent="0.2">
      <c r="A104" s="16">
        <v>4</v>
      </c>
      <c r="B104" s="14" t="s">
        <v>104</v>
      </c>
      <c r="C104" s="17"/>
      <c r="D104" s="18" t="s">
        <v>110</v>
      </c>
      <c r="E104" s="8" t="s">
        <v>144</v>
      </c>
    </row>
    <row r="105" spans="1:5" x14ac:dyDescent="0.2">
      <c r="A105" s="16">
        <v>4</v>
      </c>
      <c r="B105" s="14" t="s">
        <v>104</v>
      </c>
      <c r="C105" s="17"/>
      <c r="D105" s="18" t="s">
        <v>111</v>
      </c>
      <c r="E105" s="8" t="s">
        <v>143</v>
      </c>
    </row>
    <row r="106" spans="1:5" x14ac:dyDescent="0.2">
      <c r="A106" s="16">
        <v>4</v>
      </c>
      <c r="B106" s="14" t="s">
        <v>104</v>
      </c>
      <c r="C106" s="17"/>
      <c r="D106" s="18" t="s">
        <v>112</v>
      </c>
      <c r="E106" s="8" t="s">
        <v>143</v>
      </c>
    </row>
    <row r="107" spans="1:5" x14ac:dyDescent="0.2">
      <c r="A107" s="16">
        <v>4</v>
      </c>
      <c r="B107" s="14" t="s">
        <v>104</v>
      </c>
      <c r="C107" s="17"/>
      <c r="D107" s="18" t="s">
        <v>113</v>
      </c>
      <c r="E107" s="8" t="s">
        <v>143</v>
      </c>
    </row>
    <row r="108" spans="1:5" x14ac:dyDescent="0.2">
      <c r="A108" s="16">
        <v>4</v>
      </c>
      <c r="B108" s="14" t="s">
        <v>104</v>
      </c>
      <c r="C108" s="17"/>
      <c r="D108" s="18" t="s">
        <v>114</v>
      </c>
      <c r="E108" s="8" t="s">
        <v>143</v>
      </c>
    </row>
    <row r="109" spans="1:5" x14ac:dyDescent="0.2">
      <c r="A109" s="16">
        <v>4</v>
      </c>
      <c r="B109" s="14" t="s">
        <v>104</v>
      </c>
      <c r="C109" s="17"/>
      <c r="D109" s="18" t="s">
        <v>115</v>
      </c>
      <c r="E109" s="8" t="s">
        <v>144</v>
      </c>
    </row>
    <row r="110" spans="1:5" x14ac:dyDescent="0.2">
      <c r="A110" s="16">
        <v>4</v>
      </c>
      <c r="B110" s="14" t="s">
        <v>104</v>
      </c>
      <c r="C110" s="17"/>
      <c r="D110" s="18" t="s">
        <v>116</v>
      </c>
      <c r="E110" s="8" t="s">
        <v>144</v>
      </c>
    </row>
    <row r="111" spans="1:5" x14ac:dyDescent="0.2">
      <c r="A111" s="16">
        <v>4</v>
      </c>
      <c r="B111" s="14" t="s">
        <v>104</v>
      </c>
      <c r="C111" s="17"/>
      <c r="D111" s="18" t="s">
        <v>117</v>
      </c>
      <c r="E111" s="8" t="s">
        <v>143</v>
      </c>
    </row>
    <row r="112" spans="1:5" x14ac:dyDescent="0.2">
      <c r="A112" s="16">
        <v>4</v>
      </c>
      <c r="B112" s="14" t="s">
        <v>104</v>
      </c>
      <c r="C112" s="17"/>
      <c r="D112" s="18" t="s">
        <v>118</v>
      </c>
      <c r="E112" s="8" t="s">
        <v>143</v>
      </c>
    </row>
    <row r="113" spans="1:5" x14ac:dyDescent="0.2">
      <c r="A113" s="16">
        <v>4</v>
      </c>
      <c r="B113" s="14" t="s">
        <v>104</v>
      </c>
      <c r="C113" s="17"/>
      <c r="D113" s="18" t="s">
        <v>119</v>
      </c>
      <c r="E113" s="8" t="s">
        <v>143</v>
      </c>
    </row>
    <row r="114" spans="1:5" x14ac:dyDescent="0.2">
      <c r="A114" s="16">
        <v>4</v>
      </c>
      <c r="B114" s="14" t="s">
        <v>104</v>
      </c>
      <c r="C114" s="17"/>
      <c r="D114" s="18" t="s">
        <v>120</v>
      </c>
      <c r="E114" s="8" t="s">
        <v>144</v>
      </c>
    </row>
    <row r="115" spans="1:5" x14ac:dyDescent="0.2">
      <c r="A115" s="16">
        <v>4</v>
      </c>
      <c r="B115" s="14" t="s">
        <v>104</v>
      </c>
      <c r="C115" s="17"/>
      <c r="D115" s="18" t="s">
        <v>121</v>
      </c>
      <c r="E115" s="8" t="s">
        <v>144</v>
      </c>
    </row>
    <row r="116" spans="1:5" x14ac:dyDescent="0.2">
      <c r="A116" s="16">
        <v>4</v>
      </c>
      <c r="B116" s="14" t="s">
        <v>104</v>
      </c>
      <c r="C116" s="17"/>
      <c r="D116" s="18" t="s">
        <v>122</v>
      </c>
      <c r="E116" s="8" t="s">
        <v>123</v>
      </c>
    </row>
    <row r="117" spans="1:5" x14ac:dyDescent="0.2">
      <c r="A117" s="16">
        <v>4</v>
      </c>
      <c r="B117" s="14" t="s">
        <v>104</v>
      </c>
      <c r="C117" s="17"/>
      <c r="D117" s="18" t="s">
        <v>124</v>
      </c>
      <c r="E117" s="54" t="s">
        <v>144</v>
      </c>
    </row>
    <row r="118" spans="1:5" x14ac:dyDescent="0.2">
      <c r="A118" s="16">
        <v>4</v>
      </c>
      <c r="B118" s="14" t="s">
        <v>104</v>
      </c>
      <c r="C118" s="17"/>
      <c r="D118" s="18" t="s">
        <v>125</v>
      </c>
      <c r="E118" s="54" t="s">
        <v>144</v>
      </c>
    </row>
    <row r="119" spans="1:5" x14ac:dyDescent="0.2">
      <c r="A119" s="16">
        <v>4</v>
      </c>
      <c r="B119" s="14" t="s">
        <v>104</v>
      </c>
      <c r="C119" s="17"/>
      <c r="D119" s="18" t="s">
        <v>126</v>
      </c>
      <c r="E119" s="8" t="s">
        <v>143</v>
      </c>
    </row>
    <row r="120" spans="1:5" x14ac:dyDescent="0.2">
      <c r="A120" s="16">
        <v>4</v>
      </c>
      <c r="B120" s="14" t="s">
        <v>104</v>
      </c>
      <c r="C120" s="17"/>
      <c r="D120" s="18" t="s">
        <v>127</v>
      </c>
      <c r="E120" s="8" t="s">
        <v>143</v>
      </c>
    </row>
    <row r="121" spans="1:5" x14ac:dyDescent="0.2">
      <c r="A121" s="16">
        <v>4</v>
      </c>
      <c r="B121" s="14" t="s">
        <v>104</v>
      </c>
      <c r="C121" s="17"/>
      <c r="D121" s="18" t="s">
        <v>128</v>
      </c>
      <c r="E121" s="54" t="s">
        <v>144</v>
      </c>
    </row>
    <row r="122" spans="1:5" x14ac:dyDescent="0.2">
      <c r="A122" s="16">
        <v>4</v>
      </c>
      <c r="B122" s="14" t="s">
        <v>104</v>
      </c>
      <c r="C122" s="17"/>
      <c r="D122" s="18" t="s">
        <v>129</v>
      </c>
      <c r="E122" s="8" t="s">
        <v>143</v>
      </c>
    </row>
    <row r="123" spans="1:5" x14ac:dyDescent="0.2">
      <c r="A123" s="16">
        <v>4</v>
      </c>
      <c r="B123" s="14" t="s">
        <v>104</v>
      </c>
      <c r="C123" s="17"/>
      <c r="D123" s="18" t="s">
        <v>130</v>
      </c>
      <c r="E123" s="8" t="s">
        <v>143</v>
      </c>
    </row>
    <row r="124" spans="1:5" x14ac:dyDescent="0.2">
      <c r="A124" s="16">
        <v>4</v>
      </c>
      <c r="B124" s="14" t="s">
        <v>104</v>
      </c>
      <c r="C124" s="17"/>
      <c r="D124" s="18" t="s">
        <v>131</v>
      </c>
      <c r="E124" s="54" t="s">
        <v>144</v>
      </c>
    </row>
    <row r="125" spans="1:5" x14ac:dyDescent="0.2">
      <c r="A125" s="16">
        <v>4</v>
      </c>
      <c r="B125" s="14" t="s">
        <v>104</v>
      </c>
      <c r="C125" s="17"/>
      <c r="D125" s="18" t="s">
        <v>132</v>
      </c>
      <c r="E125" s="8" t="s">
        <v>143</v>
      </c>
    </row>
    <row r="126" spans="1:5" x14ac:dyDescent="0.2">
      <c r="A126" s="16">
        <v>4</v>
      </c>
      <c r="B126" s="14" t="s">
        <v>104</v>
      </c>
      <c r="C126" s="17"/>
      <c r="D126" s="18" t="s">
        <v>133</v>
      </c>
      <c r="E126" s="8" t="s">
        <v>143</v>
      </c>
    </row>
    <row r="127" spans="1:5" x14ac:dyDescent="0.2">
      <c r="A127" s="16">
        <v>4</v>
      </c>
      <c r="B127" s="14" t="s">
        <v>104</v>
      </c>
      <c r="C127" s="17"/>
      <c r="D127" s="18" t="s">
        <v>134</v>
      </c>
      <c r="E127" s="8" t="s">
        <v>143</v>
      </c>
    </row>
    <row r="128" spans="1:5" x14ac:dyDescent="0.2">
      <c r="A128" s="17">
        <v>4</v>
      </c>
      <c r="B128" s="17" t="s">
        <v>104</v>
      </c>
      <c r="C128" s="17"/>
      <c r="D128" s="17" t="s">
        <v>135</v>
      </c>
      <c r="E128" s="8" t="s">
        <v>143</v>
      </c>
    </row>
    <row r="129" spans="1:5" x14ac:dyDescent="0.2">
      <c r="A129" s="17">
        <v>4</v>
      </c>
      <c r="B129" s="17" t="s">
        <v>104</v>
      </c>
      <c r="C129" s="17"/>
      <c r="D129" s="17" t="s">
        <v>136</v>
      </c>
      <c r="E129" s="8" t="s">
        <v>143</v>
      </c>
    </row>
    <row r="130" spans="1:5" x14ac:dyDescent="0.2">
      <c r="A130" s="17">
        <v>4</v>
      </c>
      <c r="B130" s="17" t="s">
        <v>104</v>
      </c>
      <c r="C130" s="17"/>
      <c r="D130" s="17" t="s">
        <v>137</v>
      </c>
      <c r="E130" s="8" t="s">
        <v>143</v>
      </c>
    </row>
    <row r="131" spans="1:5" x14ac:dyDescent="0.2">
      <c r="A131" s="17">
        <v>4</v>
      </c>
      <c r="B131" s="17" t="s">
        <v>104</v>
      </c>
      <c r="C131" s="17"/>
      <c r="D131" s="17" t="s">
        <v>138</v>
      </c>
      <c r="E131" s="8" t="s">
        <v>143</v>
      </c>
    </row>
    <row r="132" spans="1:5" x14ac:dyDescent="0.2">
      <c r="A132" s="17">
        <v>4</v>
      </c>
      <c r="B132" s="17" t="s">
        <v>104</v>
      </c>
      <c r="C132" s="17"/>
      <c r="D132" s="17" t="s">
        <v>139</v>
      </c>
      <c r="E132" s="8" t="s">
        <v>143</v>
      </c>
    </row>
  </sheetData>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1E103-0991-DB46-AC29-86AD7389E94E}">
  <dimension ref="A1:S102"/>
  <sheetViews>
    <sheetView topLeftCell="A4" workbookViewId="0">
      <selection activeCell="J35" sqref="J35"/>
    </sheetView>
  </sheetViews>
  <sheetFormatPr baseColWidth="10" defaultColWidth="8.83203125" defaultRowHeight="15" x14ac:dyDescent="0.2"/>
  <cols>
    <col min="4" max="6" width="10.6640625" customWidth="1"/>
    <col min="7" max="7" width="8.83203125" customWidth="1"/>
    <col min="8" max="8" width="35.83203125" bestFit="1" customWidth="1"/>
  </cols>
  <sheetData>
    <row r="1" spans="1:19" ht="19" x14ac:dyDescent="0.25">
      <c r="A1" s="12" t="s">
        <v>0</v>
      </c>
      <c r="B1" s="12"/>
      <c r="C1" s="12"/>
      <c r="D1" s="12"/>
      <c r="E1" s="12"/>
      <c r="G1" s="12"/>
      <c r="H1" s="12"/>
      <c r="I1" s="12"/>
      <c r="J1" s="12"/>
      <c r="L1" s="12"/>
    </row>
    <row r="2" spans="1:19" ht="19" x14ac:dyDescent="0.25">
      <c r="A2" s="12"/>
      <c r="B2" s="12"/>
      <c r="C2" s="12"/>
      <c r="D2" s="12"/>
      <c r="E2" s="12"/>
      <c r="G2" s="12"/>
      <c r="H2" s="12"/>
      <c r="I2" s="12"/>
      <c r="J2" s="12"/>
      <c r="K2" s="12"/>
      <c r="L2" s="12"/>
    </row>
    <row r="3" spans="1:19" ht="19" x14ac:dyDescent="0.25">
      <c r="A3" s="12" t="s">
        <v>145</v>
      </c>
      <c r="B3" s="12"/>
      <c r="C3" s="12"/>
      <c r="D3" s="12"/>
      <c r="E3" s="12"/>
      <c r="G3" s="12"/>
      <c r="H3" s="12"/>
      <c r="I3" s="12"/>
      <c r="J3" s="12"/>
      <c r="K3" s="12"/>
      <c r="L3" s="12"/>
    </row>
    <row r="4" spans="1:19" ht="19" x14ac:dyDescent="0.25">
      <c r="A4" s="12"/>
      <c r="B4" s="12"/>
      <c r="C4" s="12"/>
      <c r="D4" s="12"/>
      <c r="E4" s="12"/>
      <c r="G4" s="12"/>
      <c r="H4" s="12"/>
      <c r="I4" s="12"/>
      <c r="J4" s="12"/>
      <c r="K4" s="12"/>
      <c r="L4" s="12"/>
    </row>
    <row r="5" spans="1:19" ht="19" x14ac:dyDescent="0.25">
      <c r="A5" s="12" t="s">
        <v>146</v>
      </c>
      <c r="B5" s="12"/>
      <c r="C5" s="12"/>
      <c r="D5" s="12"/>
      <c r="E5" s="12"/>
      <c r="G5" s="12"/>
      <c r="H5" s="12"/>
      <c r="I5" s="12"/>
      <c r="J5" s="12"/>
      <c r="K5" s="12"/>
      <c r="L5" s="12"/>
    </row>
    <row r="6" spans="1:19" ht="19" x14ac:dyDescent="0.25">
      <c r="A6" s="12" t="s">
        <v>147</v>
      </c>
      <c r="B6" s="12"/>
      <c r="C6" s="12"/>
      <c r="D6" s="12"/>
      <c r="E6" s="12"/>
      <c r="G6" s="12"/>
      <c r="H6" s="12"/>
      <c r="I6" s="12"/>
      <c r="J6" s="12"/>
      <c r="K6" s="12"/>
      <c r="L6" s="12"/>
    </row>
    <row r="8" spans="1:19" ht="41" thickBot="1" x14ac:dyDescent="0.25">
      <c r="A8" s="1" t="s">
        <v>4</v>
      </c>
      <c r="B8" s="2" t="s">
        <v>5</v>
      </c>
      <c r="C8" s="6" t="s">
        <v>7</v>
      </c>
      <c r="D8" s="7" t="s">
        <v>8</v>
      </c>
      <c r="E8" s="7" t="s">
        <v>8</v>
      </c>
      <c r="F8" s="7" t="s">
        <v>8</v>
      </c>
      <c r="G8" s="7" t="s">
        <v>9</v>
      </c>
      <c r="H8" s="7" t="s">
        <v>10</v>
      </c>
      <c r="J8" s="34"/>
      <c r="K8" s="34"/>
      <c r="L8" s="34"/>
      <c r="M8" s="34"/>
      <c r="N8" s="34"/>
      <c r="O8" s="34"/>
      <c r="P8" s="34"/>
      <c r="Q8" s="34"/>
      <c r="R8" s="34"/>
      <c r="S8" s="34"/>
    </row>
    <row r="9" spans="1:19" x14ac:dyDescent="0.2">
      <c r="A9" s="3">
        <v>2</v>
      </c>
      <c r="B9" s="3" t="s">
        <v>42</v>
      </c>
      <c r="C9" s="9">
        <v>800</v>
      </c>
      <c r="D9" s="8" t="s">
        <v>123</v>
      </c>
      <c r="E9" s="8" t="s">
        <v>123</v>
      </c>
      <c r="F9" s="8" t="s">
        <v>123</v>
      </c>
      <c r="G9" s="8" t="str">
        <f>IF(D9="NA","NA",ROUND(AVERAGE(D9:F9),2))</f>
        <v>NA</v>
      </c>
      <c r="H9" s="8" t="s">
        <v>123</v>
      </c>
    </row>
    <row r="10" spans="1:19" x14ac:dyDescent="0.2">
      <c r="A10" s="4">
        <v>2</v>
      </c>
      <c r="B10" s="4" t="s">
        <v>42</v>
      </c>
      <c r="C10" s="10">
        <v>801</v>
      </c>
      <c r="D10" s="8" t="s">
        <v>123</v>
      </c>
      <c r="E10" s="8" t="s">
        <v>123</v>
      </c>
      <c r="F10" s="8" t="s">
        <v>123</v>
      </c>
      <c r="G10" s="8" t="str">
        <f t="shared" ref="G10:G73" si="0">IF(D10="NA","NA",ROUND(AVERAGE(D10:F10),2))</f>
        <v>NA</v>
      </c>
      <c r="H10" s="8" t="s">
        <v>123</v>
      </c>
    </row>
    <row r="11" spans="1:19" x14ac:dyDescent="0.2">
      <c r="A11" s="4">
        <v>2</v>
      </c>
      <c r="B11" s="4" t="s">
        <v>42</v>
      </c>
      <c r="C11" s="10">
        <v>804</v>
      </c>
      <c r="D11" s="8" t="s">
        <v>123</v>
      </c>
      <c r="E11" s="8" t="s">
        <v>123</v>
      </c>
      <c r="F11" s="8" t="s">
        <v>123</v>
      </c>
      <c r="G11" s="8" t="str">
        <f t="shared" si="0"/>
        <v>NA</v>
      </c>
      <c r="H11" s="8" t="s">
        <v>123</v>
      </c>
    </row>
    <row r="12" spans="1:19" x14ac:dyDescent="0.2">
      <c r="A12" s="4">
        <v>2</v>
      </c>
      <c r="B12" s="4" t="s">
        <v>42</v>
      </c>
      <c r="C12" s="10">
        <v>806</v>
      </c>
      <c r="D12" s="8">
        <v>1.2</v>
      </c>
      <c r="E12" s="8">
        <v>1.2</v>
      </c>
      <c r="F12" s="8" t="s">
        <v>123</v>
      </c>
      <c r="G12" s="8">
        <f t="shared" si="0"/>
        <v>1.2</v>
      </c>
      <c r="H12" s="8" t="s">
        <v>123</v>
      </c>
    </row>
    <row r="13" spans="1:19" x14ac:dyDescent="0.2">
      <c r="A13" s="4">
        <v>2</v>
      </c>
      <c r="B13" s="4" t="s">
        <v>42</v>
      </c>
      <c r="C13" s="10">
        <v>809</v>
      </c>
      <c r="D13" s="8" t="s">
        <v>123</v>
      </c>
      <c r="E13" s="8" t="s">
        <v>123</v>
      </c>
      <c r="F13" s="8" t="s">
        <v>123</v>
      </c>
      <c r="G13" s="8" t="str">
        <f t="shared" si="0"/>
        <v>NA</v>
      </c>
      <c r="H13" s="8" t="s">
        <v>123</v>
      </c>
    </row>
    <row r="14" spans="1:19" x14ac:dyDescent="0.2">
      <c r="A14" s="4">
        <v>2</v>
      </c>
      <c r="B14" s="4" t="s">
        <v>42</v>
      </c>
      <c r="C14" s="10">
        <v>810</v>
      </c>
      <c r="D14" s="8" t="s">
        <v>123</v>
      </c>
      <c r="E14" s="8" t="s">
        <v>123</v>
      </c>
      <c r="F14" s="8" t="s">
        <v>123</v>
      </c>
      <c r="G14" s="8" t="str">
        <f t="shared" si="0"/>
        <v>NA</v>
      </c>
      <c r="H14" s="8" t="s">
        <v>123</v>
      </c>
    </row>
    <row r="15" spans="1:19" x14ac:dyDescent="0.2">
      <c r="A15" s="4">
        <v>2</v>
      </c>
      <c r="B15" s="4" t="s">
        <v>42</v>
      </c>
      <c r="C15" s="10">
        <v>819</v>
      </c>
      <c r="D15" s="8" t="s">
        <v>123</v>
      </c>
      <c r="E15" s="8" t="s">
        <v>123</v>
      </c>
      <c r="F15" s="8" t="s">
        <v>123</v>
      </c>
      <c r="G15" s="8" t="str">
        <f t="shared" si="0"/>
        <v>NA</v>
      </c>
      <c r="H15" s="8" t="s">
        <v>123</v>
      </c>
    </row>
    <row r="16" spans="1:19" x14ac:dyDescent="0.2">
      <c r="A16" s="4">
        <v>2</v>
      </c>
      <c r="B16" s="4" t="s">
        <v>42</v>
      </c>
      <c r="C16" s="10">
        <v>822</v>
      </c>
      <c r="D16" s="8">
        <v>2.1</v>
      </c>
      <c r="E16" s="8">
        <v>2.1</v>
      </c>
      <c r="F16" s="8" t="s">
        <v>123</v>
      </c>
      <c r="G16" s="8">
        <f t="shared" si="0"/>
        <v>2.1</v>
      </c>
      <c r="H16" s="8" t="s">
        <v>123</v>
      </c>
    </row>
    <row r="17" spans="1:8" x14ac:dyDescent="0.2">
      <c r="A17" s="4">
        <v>2</v>
      </c>
      <c r="B17" s="4" t="s">
        <v>42</v>
      </c>
      <c r="C17" s="10">
        <v>823</v>
      </c>
      <c r="D17" s="8" t="s">
        <v>123</v>
      </c>
      <c r="E17" s="8" t="s">
        <v>123</v>
      </c>
      <c r="F17" s="8" t="s">
        <v>123</v>
      </c>
      <c r="G17" s="8" t="str">
        <f t="shared" si="0"/>
        <v>NA</v>
      </c>
      <c r="H17" s="8" t="s">
        <v>123</v>
      </c>
    </row>
    <row r="18" spans="1:8" x14ac:dyDescent="0.2">
      <c r="A18" s="4">
        <v>2</v>
      </c>
      <c r="B18" s="4" t="s">
        <v>42</v>
      </c>
      <c r="C18" s="10">
        <v>825</v>
      </c>
      <c r="D18" s="8" t="s">
        <v>123</v>
      </c>
      <c r="E18" s="8" t="s">
        <v>123</v>
      </c>
      <c r="F18" s="8" t="s">
        <v>123</v>
      </c>
      <c r="G18" s="8" t="str">
        <f t="shared" si="0"/>
        <v>NA</v>
      </c>
      <c r="H18" s="8" t="s">
        <v>123</v>
      </c>
    </row>
    <row r="19" spans="1:8" x14ac:dyDescent="0.2">
      <c r="A19" s="4">
        <v>2</v>
      </c>
      <c r="B19" s="4" t="s">
        <v>42</v>
      </c>
      <c r="C19" s="10">
        <v>826</v>
      </c>
      <c r="D19" s="8" t="s">
        <v>123</v>
      </c>
      <c r="E19" s="8" t="s">
        <v>123</v>
      </c>
      <c r="F19" s="8" t="s">
        <v>123</v>
      </c>
      <c r="G19" s="8" t="str">
        <f t="shared" si="0"/>
        <v>NA</v>
      </c>
      <c r="H19" s="8" t="s">
        <v>123</v>
      </c>
    </row>
    <row r="20" spans="1:8" x14ac:dyDescent="0.2">
      <c r="A20" s="4">
        <v>2</v>
      </c>
      <c r="B20" s="4" t="s">
        <v>42</v>
      </c>
      <c r="C20" s="10">
        <v>828</v>
      </c>
      <c r="D20" s="8" t="s">
        <v>123</v>
      </c>
      <c r="E20" s="8" t="s">
        <v>123</v>
      </c>
      <c r="F20" s="8" t="s">
        <v>123</v>
      </c>
      <c r="G20" s="8" t="str">
        <f t="shared" si="0"/>
        <v>NA</v>
      </c>
      <c r="H20" s="8" t="s">
        <v>123</v>
      </c>
    </row>
    <row r="21" spans="1:8" x14ac:dyDescent="0.2">
      <c r="A21" s="4">
        <v>2</v>
      </c>
      <c r="B21" s="4" t="s">
        <v>42</v>
      </c>
      <c r="C21" s="10">
        <v>829</v>
      </c>
      <c r="D21" s="8">
        <v>2.2000000000000002</v>
      </c>
      <c r="E21" s="8" t="s">
        <v>123</v>
      </c>
      <c r="F21" s="8" t="s">
        <v>123</v>
      </c>
      <c r="G21" s="8">
        <f t="shared" si="0"/>
        <v>2.2000000000000002</v>
      </c>
      <c r="H21" s="8" t="s">
        <v>123</v>
      </c>
    </row>
    <row r="22" spans="1:8" x14ac:dyDescent="0.2">
      <c r="A22" s="4">
        <v>2</v>
      </c>
      <c r="B22" s="4" t="s">
        <v>42</v>
      </c>
      <c r="C22" s="10">
        <v>832</v>
      </c>
      <c r="D22" s="8" t="s">
        <v>123</v>
      </c>
      <c r="E22" s="8" t="s">
        <v>123</v>
      </c>
      <c r="F22" s="8" t="s">
        <v>123</v>
      </c>
      <c r="G22" s="8" t="str">
        <f t="shared" si="0"/>
        <v>NA</v>
      </c>
      <c r="H22" s="8" t="s">
        <v>123</v>
      </c>
    </row>
    <row r="23" spans="1:8" x14ac:dyDescent="0.2">
      <c r="A23" s="4">
        <v>2</v>
      </c>
      <c r="B23" s="4" t="s">
        <v>42</v>
      </c>
      <c r="C23" s="10">
        <v>836</v>
      </c>
      <c r="D23" s="8">
        <v>2.5</v>
      </c>
      <c r="E23" s="8">
        <v>2.4</v>
      </c>
      <c r="F23" s="8" t="s">
        <v>123</v>
      </c>
      <c r="G23" s="8">
        <f t="shared" si="0"/>
        <v>2.4500000000000002</v>
      </c>
      <c r="H23" s="8" t="s">
        <v>123</v>
      </c>
    </row>
    <row r="24" spans="1:8" x14ac:dyDescent="0.2">
      <c r="A24" s="4">
        <v>2</v>
      </c>
      <c r="B24" s="4" t="s">
        <v>42</v>
      </c>
      <c r="C24" s="10">
        <v>839</v>
      </c>
      <c r="D24" s="8" t="s">
        <v>123</v>
      </c>
      <c r="E24" s="8" t="s">
        <v>123</v>
      </c>
      <c r="F24" s="8" t="s">
        <v>123</v>
      </c>
      <c r="G24" s="8" t="str">
        <f t="shared" si="0"/>
        <v>NA</v>
      </c>
      <c r="H24" s="8" t="s">
        <v>123</v>
      </c>
    </row>
    <row r="25" spans="1:8" x14ac:dyDescent="0.2">
      <c r="A25" s="4">
        <v>2</v>
      </c>
      <c r="B25" s="4" t="s">
        <v>42</v>
      </c>
      <c r="C25" s="10">
        <v>840</v>
      </c>
      <c r="D25" s="8" t="s">
        <v>123</v>
      </c>
      <c r="E25" s="8" t="s">
        <v>123</v>
      </c>
      <c r="F25" s="8" t="s">
        <v>123</v>
      </c>
      <c r="G25" s="8" t="str">
        <f t="shared" si="0"/>
        <v>NA</v>
      </c>
      <c r="H25" s="8" t="s">
        <v>123</v>
      </c>
    </row>
    <row r="26" spans="1:8" x14ac:dyDescent="0.2">
      <c r="A26" s="4">
        <v>2</v>
      </c>
      <c r="B26" s="4" t="s">
        <v>42</v>
      </c>
      <c r="C26" s="10">
        <v>841</v>
      </c>
      <c r="D26" s="8">
        <v>1.6</v>
      </c>
      <c r="E26" s="8" t="s">
        <v>123</v>
      </c>
      <c r="F26" s="8" t="s">
        <v>123</v>
      </c>
      <c r="G26" s="8">
        <f t="shared" si="0"/>
        <v>1.6</v>
      </c>
      <c r="H26" s="8" t="s">
        <v>123</v>
      </c>
    </row>
    <row r="27" spans="1:8" x14ac:dyDescent="0.2">
      <c r="A27" s="4">
        <v>2</v>
      </c>
      <c r="B27" s="4" t="s">
        <v>42</v>
      </c>
      <c r="C27" s="10">
        <v>843</v>
      </c>
      <c r="D27" s="8" t="s">
        <v>123</v>
      </c>
      <c r="E27" s="8" t="s">
        <v>123</v>
      </c>
      <c r="F27" s="8" t="s">
        <v>123</v>
      </c>
      <c r="G27" s="8" t="str">
        <f t="shared" si="0"/>
        <v>NA</v>
      </c>
      <c r="H27" s="8" t="s">
        <v>123</v>
      </c>
    </row>
    <row r="28" spans="1:8" x14ac:dyDescent="0.2">
      <c r="A28" s="4">
        <v>2</v>
      </c>
      <c r="B28" s="4" t="s">
        <v>42</v>
      </c>
      <c r="C28" s="10">
        <v>850</v>
      </c>
      <c r="D28" s="8" t="s">
        <v>123</v>
      </c>
      <c r="E28" s="8" t="s">
        <v>123</v>
      </c>
      <c r="F28" s="8" t="s">
        <v>123</v>
      </c>
      <c r="G28" s="8" t="str">
        <f t="shared" si="0"/>
        <v>NA</v>
      </c>
      <c r="H28" s="8" t="s">
        <v>123</v>
      </c>
    </row>
    <row r="29" spans="1:8" x14ac:dyDescent="0.2">
      <c r="A29" s="4">
        <v>2</v>
      </c>
      <c r="B29" s="4" t="s">
        <v>42</v>
      </c>
      <c r="C29" s="10">
        <v>852</v>
      </c>
      <c r="D29" s="8">
        <v>0.6</v>
      </c>
      <c r="E29" s="8">
        <v>0.7</v>
      </c>
      <c r="F29" s="8" t="s">
        <v>123</v>
      </c>
      <c r="G29" s="8">
        <f t="shared" si="0"/>
        <v>0.65</v>
      </c>
      <c r="H29" s="8" t="s">
        <v>123</v>
      </c>
    </row>
    <row r="30" spans="1:8" x14ac:dyDescent="0.2">
      <c r="A30" s="4">
        <v>2</v>
      </c>
      <c r="B30" s="4" t="s">
        <v>42</v>
      </c>
      <c r="C30" s="10">
        <v>854</v>
      </c>
      <c r="D30" s="8" t="s">
        <v>123</v>
      </c>
      <c r="E30" s="8" t="s">
        <v>123</v>
      </c>
      <c r="F30" s="8" t="s">
        <v>123</v>
      </c>
      <c r="G30" s="8" t="str">
        <f t="shared" si="0"/>
        <v>NA</v>
      </c>
      <c r="H30" s="8" t="s">
        <v>123</v>
      </c>
    </row>
    <row r="31" spans="1:8" x14ac:dyDescent="0.2">
      <c r="A31" s="4">
        <v>2</v>
      </c>
      <c r="B31" s="4" t="s">
        <v>42</v>
      </c>
      <c r="C31" s="10">
        <v>855</v>
      </c>
      <c r="D31" s="8" t="s">
        <v>123</v>
      </c>
      <c r="E31" s="8" t="s">
        <v>123</v>
      </c>
      <c r="F31" s="8" t="s">
        <v>123</v>
      </c>
      <c r="G31" s="8" t="str">
        <f t="shared" si="0"/>
        <v>NA</v>
      </c>
      <c r="H31" s="8" t="s">
        <v>123</v>
      </c>
    </row>
    <row r="32" spans="1:8" x14ac:dyDescent="0.2">
      <c r="A32" s="4">
        <v>2</v>
      </c>
      <c r="B32" s="4" t="s">
        <v>42</v>
      </c>
      <c r="C32" s="10">
        <v>857</v>
      </c>
      <c r="D32" s="8" t="s">
        <v>123</v>
      </c>
      <c r="E32" s="8" t="s">
        <v>123</v>
      </c>
      <c r="F32" s="8" t="s">
        <v>123</v>
      </c>
      <c r="G32" s="8" t="str">
        <f t="shared" si="0"/>
        <v>NA</v>
      </c>
      <c r="H32" s="8" t="s">
        <v>123</v>
      </c>
    </row>
    <row r="33" spans="1:8" x14ac:dyDescent="0.2">
      <c r="A33" s="4">
        <v>2</v>
      </c>
      <c r="B33" s="4" t="s">
        <v>42</v>
      </c>
      <c r="C33" s="10">
        <v>858</v>
      </c>
      <c r="D33" s="8" t="s">
        <v>123</v>
      </c>
      <c r="E33" s="8" t="s">
        <v>123</v>
      </c>
      <c r="F33" s="8" t="s">
        <v>123</v>
      </c>
      <c r="G33" s="8" t="str">
        <f t="shared" si="0"/>
        <v>NA</v>
      </c>
      <c r="H33" s="8" t="s">
        <v>123</v>
      </c>
    </row>
    <row r="34" spans="1:8" x14ac:dyDescent="0.2">
      <c r="A34" s="4">
        <v>2</v>
      </c>
      <c r="B34" s="4" t="s">
        <v>42</v>
      </c>
      <c r="C34" s="10">
        <v>870</v>
      </c>
      <c r="D34" s="8">
        <v>1.4</v>
      </c>
      <c r="E34" s="8" t="s">
        <v>123</v>
      </c>
      <c r="F34" s="8" t="s">
        <v>123</v>
      </c>
      <c r="G34" s="8">
        <f t="shared" si="0"/>
        <v>1.4</v>
      </c>
      <c r="H34" s="8" t="s">
        <v>123</v>
      </c>
    </row>
    <row r="35" spans="1:8" ht="48" x14ac:dyDescent="0.2">
      <c r="A35" s="4">
        <v>2</v>
      </c>
      <c r="B35" s="4" t="s">
        <v>42</v>
      </c>
      <c r="C35" s="10">
        <v>875</v>
      </c>
      <c r="D35" s="8">
        <v>2.2000000000000002</v>
      </c>
      <c r="E35" s="8">
        <v>2.1</v>
      </c>
      <c r="F35" s="8" t="s">
        <v>123</v>
      </c>
      <c r="G35" s="8">
        <f t="shared" si="0"/>
        <v>2.15</v>
      </c>
      <c r="H35" s="64" t="s">
        <v>148</v>
      </c>
    </row>
    <row r="36" spans="1:8" ht="16" x14ac:dyDescent="0.2">
      <c r="A36" s="4">
        <v>2</v>
      </c>
      <c r="B36" s="4" t="s">
        <v>42</v>
      </c>
      <c r="C36" s="10">
        <v>880</v>
      </c>
      <c r="D36" s="8">
        <v>1.8</v>
      </c>
      <c r="E36" s="8">
        <v>1.8</v>
      </c>
      <c r="F36" s="8" t="s">
        <v>123</v>
      </c>
      <c r="G36" s="8">
        <f t="shared" si="0"/>
        <v>1.8</v>
      </c>
      <c r="H36" s="64" t="s">
        <v>123</v>
      </c>
    </row>
    <row r="37" spans="1:8" x14ac:dyDescent="0.2">
      <c r="A37" s="4">
        <v>2</v>
      </c>
      <c r="B37" s="4" t="s">
        <v>42</v>
      </c>
      <c r="C37" s="10">
        <v>883</v>
      </c>
      <c r="D37" s="8" t="s">
        <v>123</v>
      </c>
      <c r="E37" s="8" t="s">
        <v>123</v>
      </c>
      <c r="F37" s="8" t="s">
        <v>123</v>
      </c>
      <c r="G37" s="8" t="str">
        <f t="shared" si="0"/>
        <v>NA</v>
      </c>
      <c r="H37" s="8" t="s">
        <v>123</v>
      </c>
    </row>
    <row r="38" spans="1:8" x14ac:dyDescent="0.2">
      <c r="A38" s="4">
        <v>2</v>
      </c>
      <c r="B38" s="4" t="s">
        <v>42</v>
      </c>
      <c r="C38" s="10">
        <v>884</v>
      </c>
      <c r="D38" s="8">
        <v>1.8</v>
      </c>
      <c r="E38" s="8">
        <v>1.7</v>
      </c>
      <c r="F38" s="8" t="s">
        <v>123</v>
      </c>
      <c r="G38" s="8">
        <f t="shared" si="0"/>
        <v>1.75</v>
      </c>
      <c r="H38" s="8" t="s">
        <v>123</v>
      </c>
    </row>
    <row r="39" spans="1:8" ht="16" thickBot="1" x14ac:dyDescent="0.25">
      <c r="A39" s="5">
        <v>2</v>
      </c>
      <c r="B39" s="5" t="s">
        <v>42</v>
      </c>
      <c r="C39" s="11">
        <v>886</v>
      </c>
      <c r="D39" s="8">
        <v>0.7</v>
      </c>
      <c r="E39" s="8">
        <v>0.7</v>
      </c>
      <c r="F39" s="8" t="s">
        <v>123</v>
      </c>
      <c r="G39" s="8">
        <f t="shared" si="0"/>
        <v>0.7</v>
      </c>
      <c r="H39" s="8" t="s">
        <v>123</v>
      </c>
    </row>
    <row r="40" spans="1:8" x14ac:dyDescent="0.2">
      <c r="A40" s="19">
        <v>3</v>
      </c>
      <c r="B40" s="20" t="s">
        <v>74</v>
      </c>
      <c r="C40" s="21">
        <v>802</v>
      </c>
      <c r="D40" s="8">
        <v>1.6</v>
      </c>
      <c r="E40" s="8">
        <v>1.6</v>
      </c>
      <c r="F40" s="8" t="s">
        <v>123</v>
      </c>
      <c r="G40" s="8">
        <f t="shared" si="0"/>
        <v>1.6</v>
      </c>
      <c r="H40" s="8" t="s">
        <v>123</v>
      </c>
    </row>
    <row r="41" spans="1:8" x14ac:dyDescent="0.2">
      <c r="A41" s="22">
        <v>3</v>
      </c>
      <c r="B41" s="23" t="s">
        <v>74</v>
      </c>
      <c r="C41" s="24">
        <v>803</v>
      </c>
      <c r="D41" s="8">
        <v>1.6</v>
      </c>
      <c r="E41" s="8">
        <v>1.4</v>
      </c>
      <c r="F41" s="8" t="s">
        <v>123</v>
      </c>
      <c r="G41" s="8">
        <f t="shared" si="0"/>
        <v>1.5</v>
      </c>
      <c r="H41" s="8" t="s">
        <v>123</v>
      </c>
    </row>
    <row r="42" spans="1:8" x14ac:dyDescent="0.2">
      <c r="A42" s="22">
        <v>3</v>
      </c>
      <c r="B42" s="23" t="s">
        <v>74</v>
      </c>
      <c r="C42" s="24">
        <v>808</v>
      </c>
      <c r="D42" s="8" t="s">
        <v>123</v>
      </c>
      <c r="E42" s="8" t="s">
        <v>123</v>
      </c>
      <c r="F42" s="8" t="s">
        <v>123</v>
      </c>
      <c r="G42" s="8" t="str">
        <f t="shared" si="0"/>
        <v>NA</v>
      </c>
      <c r="H42" s="8" t="s">
        <v>123</v>
      </c>
    </row>
    <row r="43" spans="1:8" x14ac:dyDescent="0.2">
      <c r="A43" s="22">
        <v>3</v>
      </c>
      <c r="B43" s="23" t="s">
        <v>74</v>
      </c>
      <c r="C43" s="24">
        <v>811</v>
      </c>
      <c r="D43" s="8">
        <v>2</v>
      </c>
      <c r="E43" s="8">
        <v>2.1</v>
      </c>
      <c r="F43" s="8" t="s">
        <v>123</v>
      </c>
      <c r="G43" s="8">
        <f t="shared" si="0"/>
        <v>2.0499999999999998</v>
      </c>
      <c r="H43" s="8" t="s">
        <v>123</v>
      </c>
    </row>
    <row r="44" spans="1:8" x14ac:dyDescent="0.2">
      <c r="A44" s="22">
        <v>3</v>
      </c>
      <c r="B44" s="23" t="s">
        <v>74</v>
      </c>
      <c r="C44" s="24">
        <v>812</v>
      </c>
      <c r="D44" s="8">
        <v>1.9</v>
      </c>
      <c r="E44" s="8">
        <v>1.8</v>
      </c>
      <c r="F44" s="8" t="s">
        <v>123</v>
      </c>
      <c r="G44" s="8">
        <f t="shared" si="0"/>
        <v>1.85</v>
      </c>
      <c r="H44" s="8" t="s">
        <v>123</v>
      </c>
    </row>
    <row r="45" spans="1:8" x14ac:dyDescent="0.2">
      <c r="A45" s="22">
        <v>3</v>
      </c>
      <c r="B45" s="23" t="s">
        <v>74</v>
      </c>
      <c r="C45" s="24">
        <v>815</v>
      </c>
      <c r="D45" s="8">
        <v>1.8</v>
      </c>
      <c r="E45" s="8">
        <v>1.8</v>
      </c>
      <c r="F45" s="8" t="s">
        <v>123</v>
      </c>
      <c r="G45" s="8">
        <f t="shared" si="0"/>
        <v>1.8</v>
      </c>
      <c r="H45" s="8" t="s">
        <v>123</v>
      </c>
    </row>
    <row r="46" spans="1:8" x14ac:dyDescent="0.2">
      <c r="A46" s="22">
        <v>3</v>
      </c>
      <c r="B46" s="23" t="s">
        <v>74</v>
      </c>
      <c r="C46" s="24">
        <v>816</v>
      </c>
      <c r="D46" s="8" t="s">
        <v>123</v>
      </c>
      <c r="E46" s="8" t="s">
        <v>123</v>
      </c>
      <c r="F46" s="8" t="s">
        <v>123</v>
      </c>
      <c r="G46" s="8" t="str">
        <f t="shared" si="0"/>
        <v>NA</v>
      </c>
      <c r="H46" s="8" t="s">
        <v>123</v>
      </c>
    </row>
    <row r="47" spans="1:8" x14ac:dyDescent="0.2">
      <c r="A47" s="22">
        <v>3</v>
      </c>
      <c r="B47" s="23" t="s">
        <v>74</v>
      </c>
      <c r="C47" s="24">
        <v>817</v>
      </c>
      <c r="D47" s="8">
        <v>1.4</v>
      </c>
      <c r="E47" s="8">
        <v>1.2</v>
      </c>
      <c r="F47" s="8" t="s">
        <v>123</v>
      </c>
      <c r="G47" s="8">
        <f t="shared" si="0"/>
        <v>1.3</v>
      </c>
      <c r="H47" s="8" t="s">
        <v>123</v>
      </c>
    </row>
    <row r="48" spans="1:8" x14ac:dyDescent="0.2">
      <c r="A48" s="22">
        <v>3</v>
      </c>
      <c r="B48" s="23" t="s">
        <v>74</v>
      </c>
      <c r="C48" s="24">
        <v>818</v>
      </c>
      <c r="D48" s="8">
        <v>1.3</v>
      </c>
      <c r="E48" s="8" t="s">
        <v>123</v>
      </c>
      <c r="F48" s="8" t="s">
        <v>123</v>
      </c>
      <c r="G48" s="8">
        <f t="shared" si="0"/>
        <v>1.3</v>
      </c>
      <c r="H48" s="8" t="s">
        <v>123</v>
      </c>
    </row>
    <row r="49" spans="1:8" x14ac:dyDescent="0.2">
      <c r="A49" s="22">
        <v>3</v>
      </c>
      <c r="B49" s="23" t="s">
        <v>74</v>
      </c>
      <c r="C49" s="24">
        <v>833</v>
      </c>
      <c r="D49" s="8" t="s">
        <v>123</v>
      </c>
      <c r="E49" s="8" t="s">
        <v>123</v>
      </c>
      <c r="F49" s="8" t="s">
        <v>123</v>
      </c>
      <c r="G49" s="8" t="str">
        <f t="shared" si="0"/>
        <v>NA</v>
      </c>
      <c r="H49" s="8" t="s">
        <v>123</v>
      </c>
    </row>
    <row r="50" spans="1:8" x14ac:dyDescent="0.2">
      <c r="A50" s="22">
        <v>3</v>
      </c>
      <c r="B50" s="23" t="s">
        <v>74</v>
      </c>
      <c r="C50" s="24">
        <v>834</v>
      </c>
      <c r="D50" s="8">
        <v>0.7</v>
      </c>
      <c r="E50" s="8">
        <v>0.7</v>
      </c>
      <c r="F50" s="8" t="s">
        <v>123</v>
      </c>
      <c r="G50" s="8">
        <f t="shared" si="0"/>
        <v>0.7</v>
      </c>
      <c r="H50" s="8" t="s">
        <v>123</v>
      </c>
    </row>
    <row r="51" spans="1:8" x14ac:dyDescent="0.2">
      <c r="A51" s="22">
        <v>3</v>
      </c>
      <c r="B51" s="23" t="s">
        <v>74</v>
      </c>
      <c r="C51" s="24">
        <v>835</v>
      </c>
      <c r="D51" s="8" t="s">
        <v>123</v>
      </c>
      <c r="E51" s="8" t="s">
        <v>123</v>
      </c>
      <c r="F51" s="8" t="s">
        <v>123</v>
      </c>
      <c r="G51" s="8" t="str">
        <f t="shared" si="0"/>
        <v>NA</v>
      </c>
      <c r="H51" s="8" t="s">
        <v>123</v>
      </c>
    </row>
    <row r="52" spans="1:8" x14ac:dyDescent="0.2">
      <c r="A52" s="22">
        <v>3</v>
      </c>
      <c r="B52" s="23" t="s">
        <v>74</v>
      </c>
      <c r="C52" s="24">
        <v>844</v>
      </c>
      <c r="D52" s="8">
        <v>1.9</v>
      </c>
      <c r="E52" s="8" t="s">
        <v>123</v>
      </c>
      <c r="F52" s="8" t="s">
        <v>123</v>
      </c>
      <c r="G52" s="8">
        <f t="shared" si="0"/>
        <v>1.9</v>
      </c>
      <c r="H52" s="8" t="s">
        <v>123</v>
      </c>
    </row>
    <row r="53" spans="1:8" x14ac:dyDescent="0.2">
      <c r="A53" s="22">
        <v>3</v>
      </c>
      <c r="B53" s="23" t="s">
        <v>74</v>
      </c>
      <c r="C53" s="24">
        <v>845</v>
      </c>
      <c r="D53" s="8">
        <v>1.2</v>
      </c>
      <c r="E53" s="8" t="s">
        <v>123</v>
      </c>
      <c r="F53" s="8" t="s">
        <v>123</v>
      </c>
      <c r="G53" s="8">
        <f t="shared" si="0"/>
        <v>1.2</v>
      </c>
      <c r="H53" s="8" t="s">
        <v>123</v>
      </c>
    </row>
    <row r="54" spans="1:8" x14ac:dyDescent="0.2">
      <c r="A54" s="22">
        <v>3</v>
      </c>
      <c r="B54" s="23" t="s">
        <v>74</v>
      </c>
      <c r="C54" s="24">
        <v>846</v>
      </c>
      <c r="D54" s="8" t="s">
        <v>123</v>
      </c>
      <c r="E54" s="8" t="s">
        <v>123</v>
      </c>
      <c r="F54" s="8" t="s">
        <v>123</v>
      </c>
      <c r="G54" s="8" t="str">
        <f t="shared" si="0"/>
        <v>NA</v>
      </c>
      <c r="H54" s="8" t="s">
        <v>123</v>
      </c>
    </row>
    <row r="55" spans="1:8" x14ac:dyDescent="0.2">
      <c r="A55" s="22">
        <v>3</v>
      </c>
      <c r="B55" s="23" t="s">
        <v>74</v>
      </c>
      <c r="C55" s="24">
        <v>849</v>
      </c>
      <c r="D55" s="8">
        <v>1.3</v>
      </c>
      <c r="E55" s="8">
        <v>1.5</v>
      </c>
      <c r="F55" s="8" t="s">
        <v>123</v>
      </c>
      <c r="G55" s="8">
        <f t="shared" si="0"/>
        <v>1.4</v>
      </c>
      <c r="H55" s="8" t="s">
        <v>123</v>
      </c>
    </row>
    <row r="56" spans="1:8" x14ac:dyDescent="0.2">
      <c r="A56" s="22">
        <v>3</v>
      </c>
      <c r="B56" s="23" t="s">
        <v>74</v>
      </c>
      <c r="C56" s="24">
        <v>856</v>
      </c>
      <c r="D56" s="8" t="s">
        <v>123</v>
      </c>
      <c r="E56" s="8" t="s">
        <v>123</v>
      </c>
      <c r="F56" s="8" t="s">
        <v>123</v>
      </c>
      <c r="G56" s="8" t="str">
        <f t="shared" si="0"/>
        <v>NA</v>
      </c>
      <c r="H56" s="8" t="s">
        <v>123</v>
      </c>
    </row>
    <row r="57" spans="1:8" x14ac:dyDescent="0.2">
      <c r="A57" s="22">
        <v>3</v>
      </c>
      <c r="B57" s="23" t="s">
        <v>74</v>
      </c>
      <c r="C57" s="24">
        <v>859</v>
      </c>
      <c r="D57" s="8">
        <v>1.6</v>
      </c>
      <c r="E57" s="8">
        <v>1.7</v>
      </c>
      <c r="F57" s="8" t="s">
        <v>123</v>
      </c>
      <c r="G57" s="8">
        <f t="shared" si="0"/>
        <v>1.65</v>
      </c>
      <c r="H57" s="8" t="s">
        <v>123</v>
      </c>
    </row>
    <row r="58" spans="1:8" x14ac:dyDescent="0.2">
      <c r="A58" s="22">
        <v>3</v>
      </c>
      <c r="B58" s="23" t="s">
        <v>74</v>
      </c>
      <c r="C58" s="24">
        <v>861</v>
      </c>
      <c r="D58" s="8">
        <v>1.2</v>
      </c>
      <c r="E58" s="8" t="s">
        <v>123</v>
      </c>
      <c r="F58" s="8" t="s">
        <v>123</v>
      </c>
      <c r="G58" s="8">
        <f t="shared" si="0"/>
        <v>1.2</v>
      </c>
      <c r="H58" s="8" t="s">
        <v>123</v>
      </c>
    </row>
    <row r="59" spans="1:8" x14ac:dyDescent="0.2">
      <c r="A59" s="22">
        <v>3</v>
      </c>
      <c r="B59" s="23" t="s">
        <v>74</v>
      </c>
      <c r="C59" s="24">
        <v>862</v>
      </c>
      <c r="D59" s="8">
        <v>1.7</v>
      </c>
      <c r="E59" s="8">
        <v>1.8</v>
      </c>
      <c r="F59" s="8" t="s">
        <v>123</v>
      </c>
      <c r="G59" s="8">
        <f t="shared" si="0"/>
        <v>1.75</v>
      </c>
      <c r="H59" s="8" t="s">
        <v>123</v>
      </c>
    </row>
    <row r="60" spans="1:8" x14ac:dyDescent="0.2">
      <c r="A60" s="22">
        <v>3</v>
      </c>
      <c r="B60" s="23" t="s">
        <v>74</v>
      </c>
      <c r="C60" s="24">
        <v>865</v>
      </c>
      <c r="D60" s="8">
        <v>1</v>
      </c>
      <c r="E60" s="8" t="s">
        <v>123</v>
      </c>
      <c r="F60" s="8" t="s">
        <v>123</v>
      </c>
      <c r="G60" s="8">
        <f t="shared" si="0"/>
        <v>1</v>
      </c>
      <c r="H60" s="8" t="s">
        <v>123</v>
      </c>
    </row>
    <row r="61" spans="1:8" x14ac:dyDescent="0.2">
      <c r="A61" s="22">
        <v>3</v>
      </c>
      <c r="B61" s="23" t="s">
        <v>74</v>
      </c>
      <c r="C61" s="24">
        <v>866</v>
      </c>
      <c r="D61" s="8">
        <v>1.6</v>
      </c>
      <c r="E61" s="8">
        <v>1.7</v>
      </c>
      <c r="F61" s="8" t="s">
        <v>123</v>
      </c>
      <c r="G61" s="8">
        <f t="shared" si="0"/>
        <v>1.65</v>
      </c>
      <c r="H61" s="8" t="s">
        <v>123</v>
      </c>
    </row>
    <row r="62" spans="1:8" x14ac:dyDescent="0.2">
      <c r="A62" s="22">
        <v>3</v>
      </c>
      <c r="B62" s="23" t="s">
        <v>74</v>
      </c>
      <c r="C62" s="24">
        <v>871</v>
      </c>
      <c r="D62" s="8" t="s">
        <v>123</v>
      </c>
      <c r="E62" s="8" t="s">
        <v>123</v>
      </c>
      <c r="F62" s="8" t="s">
        <v>123</v>
      </c>
      <c r="G62" s="8" t="str">
        <f t="shared" si="0"/>
        <v>NA</v>
      </c>
      <c r="H62" s="8" t="s">
        <v>123</v>
      </c>
    </row>
    <row r="63" spans="1:8" x14ac:dyDescent="0.2">
      <c r="A63" s="22">
        <v>3</v>
      </c>
      <c r="B63" s="23" t="s">
        <v>74</v>
      </c>
      <c r="C63" s="24">
        <v>873</v>
      </c>
      <c r="D63" s="8" t="s">
        <v>123</v>
      </c>
      <c r="E63" s="8" t="s">
        <v>123</v>
      </c>
      <c r="F63" s="8" t="s">
        <v>123</v>
      </c>
      <c r="G63" s="8" t="str">
        <f t="shared" si="0"/>
        <v>NA</v>
      </c>
      <c r="H63" s="8" t="s">
        <v>123</v>
      </c>
    </row>
    <row r="64" spans="1:8" x14ac:dyDescent="0.2">
      <c r="A64" s="22">
        <v>3</v>
      </c>
      <c r="B64" s="23" t="s">
        <v>74</v>
      </c>
      <c r="C64" s="24">
        <v>874</v>
      </c>
      <c r="D64" s="8" t="s">
        <v>123</v>
      </c>
      <c r="E64" s="8" t="s">
        <v>123</v>
      </c>
      <c r="F64" s="8" t="s">
        <v>123</v>
      </c>
      <c r="G64" s="8" t="str">
        <f t="shared" si="0"/>
        <v>NA</v>
      </c>
      <c r="H64" s="8" t="s">
        <v>123</v>
      </c>
    </row>
    <row r="65" spans="1:8" x14ac:dyDescent="0.2">
      <c r="A65" s="22">
        <v>3</v>
      </c>
      <c r="B65" s="23" t="s">
        <v>74</v>
      </c>
      <c r="C65" s="24">
        <v>877</v>
      </c>
      <c r="D65" s="8">
        <v>0.7</v>
      </c>
      <c r="E65" s="8">
        <v>0.7</v>
      </c>
      <c r="F65" s="8" t="s">
        <v>123</v>
      </c>
      <c r="G65" s="8">
        <f t="shared" si="0"/>
        <v>0.7</v>
      </c>
      <c r="H65" s="8" t="s">
        <v>123</v>
      </c>
    </row>
    <row r="66" spans="1:8" x14ac:dyDescent="0.2">
      <c r="A66" s="22">
        <v>3</v>
      </c>
      <c r="B66" s="23" t="s">
        <v>74</v>
      </c>
      <c r="C66" s="24">
        <v>879</v>
      </c>
      <c r="D66" s="8" t="s">
        <v>123</v>
      </c>
      <c r="E66" s="8" t="s">
        <v>123</v>
      </c>
      <c r="F66" s="8" t="s">
        <v>123</v>
      </c>
      <c r="G66" s="8" t="str">
        <f t="shared" si="0"/>
        <v>NA</v>
      </c>
      <c r="H66" s="8" t="s">
        <v>123</v>
      </c>
    </row>
    <row r="67" spans="1:8" x14ac:dyDescent="0.2">
      <c r="A67" s="22">
        <v>3</v>
      </c>
      <c r="B67" s="23" t="s">
        <v>74</v>
      </c>
      <c r="C67" s="24">
        <v>887</v>
      </c>
      <c r="D67" s="8" t="s">
        <v>123</v>
      </c>
      <c r="E67" s="8" t="s">
        <v>123</v>
      </c>
      <c r="F67" s="8" t="s">
        <v>123</v>
      </c>
      <c r="G67" s="8" t="str">
        <f t="shared" si="0"/>
        <v>NA</v>
      </c>
      <c r="H67" s="8" t="s">
        <v>123</v>
      </c>
    </row>
    <row r="68" spans="1:8" x14ac:dyDescent="0.2">
      <c r="A68" s="22">
        <v>3</v>
      </c>
      <c r="B68" s="23" t="s">
        <v>74</v>
      </c>
      <c r="C68" s="24">
        <v>888</v>
      </c>
      <c r="D68" s="8">
        <v>1.7</v>
      </c>
      <c r="E68" s="8" t="s">
        <v>123</v>
      </c>
      <c r="F68" s="8" t="s">
        <v>123</v>
      </c>
      <c r="G68" s="8">
        <f t="shared" si="0"/>
        <v>1.7</v>
      </c>
      <c r="H68" s="8" t="s">
        <v>123</v>
      </c>
    </row>
    <row r="69" spans="1:8" x14ac:dyDescent="0.2">
      <c r="A69" s="13">
        <v>4</v>
      </c>
      <c r="B69" s="14" t="s">
        <v>104</v>
      </c>
      <c r="C69" s="15" t="s">
        <v>105</v>
      </c>
      <c r="D69" s="8">
        <v>1.1000000000000001</v>
      </c>
      <c r="E69" s="8">
        <v>1.1000000000000001</v>
      </c>
      <c r="F69" s="8" t="s">
        <v>123</v>
      </c>
      <c r="G69" s="8">
        <f t="shared" si="0"/>
        <v>1.1000000000000001</v>
      </c>
      <c r="H69" s="8" t="s">
        <v>123</v>
      </c>
    </row>
    <row r="70" spans="1:8" x14ac:dyDescent="0.2">
      <c r="A70" s="16">
        <v>4</v>
      </c>
      <c r="B70" s="14" t="s">
        <v>104</v>
      </c>
      <c r="C70" s="18" t="s">
        <v>106</v>
      </c>
      <c r="D70" s="8">
        <v>1.9</v>
      </c>
      <c r="E70" s="8">
        <v>1.9</v>
      </c>
      <c r="F70" s="8" t="s">
        <v>123</v>
      </c>
      <c r="G70" s="8">
        <f t="shared" si="0"/>
        <v>1.9</v>
      </c>
      <c r="H70" s="8" t="s">
        <v>123</v>
      </c>
    </row>
    <row r="71" spans="1:8" x14ac:dyDescent="0.2">
      <c r="A71" s="16">
        <v>4</v>
      </c>
      <c r="B71" s="14" t="s">
        <v>104</v>
      </c>
      <c r="C71" s="18" t="s">
        <v>107</v>
      </c>
      <c r="D71" s="8">
        <v>4</v>
      </c>
      <c r="E71" s="8">
        <v>4.3</v>
      </c>
      <c r="F71" s="8" t="s">
        <v>123</v>
      </c>
      <c r="G71" s="8">
        <f t="shared" si="0"/>
        <v>4.1500000000000004</v>
      </c>
      <c r="H71" s="8" t="s">
        <v>123</v>
      </c>
    </row>
    <row r="72" spans="1:8" x14ac:dyDescent="0.2">
      <c r="A72" s="16">
        <v>4</v>
      </c>
      <c r="B72" s="14" t="s">
        <v>104</v>
      </c>
      <c r="C72" s="18" t="s">
        <v>108</v>
      </c>
      <c r="D72" s="8">
        <v>2.5</v>
      </c>
      <c r="E72" s="8">
        <v>2.2000000000000002</v>
      </c>
      <c r="F72" s="8" t="s">
        <v>123</v>
      </c>
      <c r="G72" s="8">
        <f t="shared" si="0"/>
        <v>2.35</v>
      </c>
      <c r="H72" s="8" t="s">
        <v>123</v>
      </c>
    </row>
    <row r="73" spans="1:8" x14ac:dyDescent="0.2">
      <c r="A73" s="16">
        <v>4</v>
      </c>
      <c r="B73" s="14" t="s">
        <v>104</v>
      </c>
      <c r="C73" s="18" t="s">
        <v>109</v>
      </c>
      <c r="D73" s="8">
        <v>1.7</v>
      </c>
      <c r="E73" s="8">
        <v>1.7</v>
      </c>
      <c r="F73" s="8" t="s">
        <v>123</v>
      </c>
      <c r="G73" s="8">
        <f t="shared" si="0"/>
        <v>1.7</v>
      </c>
      <c r="H73" s="8" t="s">
        <v>123</v>
      </c>
    </row>
    <row r="74" spans="1:8" x14ac:dyDescent="0.2">
      <c r="A74" s="16">
        <v>4</v>
      </c>
      <c r="B74" s="14" t="s">
        <v>104</v>
      </c>
      <c r="C74" s="18" t="s">
        <v>110</v>
      </c>
      <c r="D74" s="8" t="s">
        <v>123</v>
      </c>
      <c r="E74" s="8" t="s">
        <v>123</v>
      </c>
      <c r="F74" s="8" t="s">
        <v>123</v>
      </c>
      <c r="G74" s="8" t="str">
        <f t="shared" ref="G74:G102" si="1">IF(D74="NA","NA",ROUND(AVERAGE(D74:F74),2))</f>
        <v>NA</v>
      </c>
      <c r="H74" s="8" t="s">
        <v>123</v>
      </c>
    </row>
    <row r="75" spans="1:8" x14ac:dyDescent="0.2">
      <c r="A75" s="16">
        <v>4</v>
      </c>
      <c r="B75" s="14" t="s">
        <v>104</v>
      </c>
      <c r="C75" s="18" t="s">
        <v>111</v>
      </c>
      <c r="D75" s="8" t="s">
        <v>123</v>
      </c>
      <c r="E75" s="8" t="s">
        <v>123</v>
      </c>
      <c r="F75" s="8" t="s">
        <v>123</v>
      </c>
      <c r="G75" s="8" t="str">
        <f t="shared" si="1"/>
        <v>NA</v>
      </c>
      <c r="H75" s="8" t="s">
        <v>123</v>
      </c>
    </row>
    <row r="76" spans="1:8" x14ac:dyDescent="0.2">
      <c r="A76" s="16">
        <v>4</v>
      </c>
      <c r="B76" s="14" t="s">
        <v>104</v>
      </c>
      <c r="C76" s="18" t="s">
        <v>112</v>
      </c>
      <c r="D76" s="8">
        <v>1.5</v>
      </c>
      <c r="E76" s="8">
        <v>1.4</v>
      </c>
      <c r="F76" s="8" t="s">
        <v>123</v>
      </c>
      <c r="G76" s="8">
        <f t="shared" si="1"/>
        <v>1.45</v>
      </c>
      <c r="H76" s="8" t="s">
        <v>123</v>
      </c>
    </row>
    <row r="77" spans="1:8" x14ac:dyDescent="0.2">
      <c r="A77" s="16">
        <v>4</v>
      </c>
      <c r="B77" s="14" t="s">
        <v>104</v>
      </c>
      <c r="C77" s="18" t="s">
        <v>113</v>
      </c>
      <c r="D77" s="8">
        <v>2.5</v>
      </c>
      <c r="E77" s="8">
        <v>2.5</v>
      </c>
      <c r="F77" s="8" t="s">
        <v>123</v>
      </c>
      <c r="G77" s="8">
        <f t="shared" si="1"/>
        <v>2.5</v>
      </c>
      <c r="H77" s="8" t="s">
        <v>123</v>
      </c>
    </row>
    <row r="78" spans="1:8" x14ac:dyDescent="0.2">
      <c r="A78" s="16">
        <v>4</v>
      </c>
      <c r="B78" s="14" t="s">
        <v>104</v>
      </c>
      <c r="C78" s="18" t="s">
        <v>114</v>
      </c>
      <c r="D78" s="8">
        <v>2.6</v>
      </c>
      <c r="E78" s="8">
        <v>2.6</v>
      </c>
      <c r="F78" s="8" t="s">
        <v>123</v>
      </c>
      <c r="G78" s="8">
        <f t="shared" si="1"/>
        <v>2.6</v>
      </c>
      <c r="H78" s="8" t="s">
        <v>123</v>
      </c>
    </row>
    <row r="79" spans="1:8" x14ac:dyDescent="0.2">
      <c r="A79" s="16">
        <v>4</v>
      </c>
      <c r="B79" s="14" t="s">
        <v>104</v>
      </c>
      <c r="C79" s="18" t="s">
        <v>115</v>
      </c>
      <c r="D79" s="8">
        <v>3.2</v>
      </c>
      <c r="E79" s="8" t="s">
        <v>123</v>
      </c>
      <c r="F79" s="8" t="s">
        <v>123</v>
      </c>
      <c r="G79" s="8">
        <f t="shared" si="1"/>
        <v>3.2</v>
      </c>
      <c r="H79" s="8" t="s">
        <v>123</v>
      </c>
    </row>
    <row r="80" spans="1:8" x14ac:dyDescent="0.2">
      <c r="A80" s="16">
        <v>4</v>
      </c>
      <c r="B80" s="14" t="s">
        <v>104</v>
      </c>
      <c r="C80" s="18" t="s">
        <v>116</v>
      </c>
      <c r="D80" s="8" t="s">
        <v>123</v>
      </c>
      <c r="E80" s="8" t="s">
        <v>123</v>
      </c>
      <c r="F80" s="8" t="s">
        <v>123</v>
      </c>
      <c r="G80" s="8" t="str">
        <f t="shared" si="1"/>
        <v>NA</v>
      </c>
      <c r="H80" s="8" t="s">
        <v>123</v>
      </c>
    </row>
    <row r="81" spans="1:8" x14ac:dyDescent="0.2">
      <c r="A81" s="16">
        <v>4</v>
      </c>
      <c r="B81" s="14" t="s">
        <v>104</v>
      </c>
      <c r="C81" s="18" t="s">
        <v>117</v>
      </c>
      <c r="D81" s="8">
        <v>2.6</v>
      </c>
      <c r="E81" s="8" t="s">
        <v>123</v>
      </c>
      <c r="F81" s="8" t="s">
        <v>123</v>
      </c>
      <c r="G81" s="8">
        <f t="shared" si="1"/>
        <v>2.6</v>
      </c>
      <c r="H81" s="8" t="s">
        <v>123</v>
      </c>
    </row>
    <row r="82" spans="1:8" x14ac:dyDescent="0.2">
      <c r="A82" s="16">
        <v>4</v>
      </c>
      <c r="B82" s="14" t="s">
        <v>104</v>
      </c>
      <c r="C82" s="18" t="s">
        <v>118</v>
      </c>
      <c r="D82" s="8">
        <v>2.8</v>
      </c>
      <c r="E82" s="8">
        <v>2.7</v>
      </c>
      <c r="F82" s="8" t="s">
        <v>123</v>
      </c>
      <c r="G82" s="8">
        <f t="shared" si="1"/>
        <v>2.75</v>
      </c>
      <c r="H82" s="8" t="s">
        <v>123</v>
      </c>
    </row>
    <row r="83" spans="1:8" x14ac:dyDescent="0.2">
      <c r="A83" s="16">
        <v>4</v>
      </c>
      <c r="B83" s="14" t="s">
        <v>104</v>
      </c>
      <c r="C83" s="18" t="s">
        <v>119</v>
      </c>
      <c r="D83" s="8" t="s">
        <v>123</v>
      </c>
      <c r="E83" s="8" t="s">
        <v>123</v>
      </c>
      <c r="F83" s="8" t="s">
        <v>123</v>
      </c>
      <c r="G83" s="8" t="str">
        <f t="shared" si="1"/>
        <v>NA</v>
      </c>
      <c r="H83" s="8" t="s">
        <v>123</v>
      </c>
    </row>
    <row r="84" spans="1:8" x14ac:dyDescent="0.2">
      <c r="A84" s="16">
        <v>4</v>
      </c>
      <c r="B84" s="14" t="s">
        <v>104</v>
      </c>
      <c r="C84" s="18" t="s">
        <v>120</v>
      </c>
      <c r="D84" s="8">
        <v>2.2999999999999998</v>
      </c>
      <c r="E84" s="8">
        <v>2.2999999999999998</v>
      </c>
      <c r="F84" s="8" t="s">
        <v>123</v>
      </c>
      <c r="G84" s="8">
        <f t="shared" si="1"/>
        <v>2.2999999999999998</v>
      </c>
      <c r="H84" s="8" t="s">
        <v>123</v>
      </c>
    </row>
    <row r="85" spans="1:8" x14ac:dyDescent="0.2">
      <c r="A85" s="16">
        <v>4</v>
      </c>
      <c r="B85" s="14" t="s">
        <v>104</v>
      </c>
      <c r="C85" s="18" t="s">
        <v>121</v>
      </c>
      <c r="D85" s="8">
        <v>1.4</v>
      </c>
      <c r="E85" s="8">
        <v>1.4</v>
      </c>
      <c r="F85" s="8" t="s">
        <v>123</v>
      </c>
      <c r="G85" s="8">
        <f t="shared" si="1"/>
        <v>1.4</v>
      </c>
      <c r="H85" s="8" t="s">
        <v>123</v>
      </c>
    </row>
    <row r="86" spans="1:8" x14ac:dyDescent="0.2">
      <c r="A86" s="16">
        <v>4</v>
      </c>
      <c r="B86" s="14" t="s">
        <v>104</v>
      </c>
      <c r="C86" s="18" t="s">
        <v>122</v>
      </c>
      <c r="D86" s="8" t="s">
        <v>123</v>
      </c>
      <c r="E86" s="8" t="s">
        <v>123</v>
      </c>
      <c r="F86" s="8" t="s">
        <v>123</v>
      </c>
      <c r="G86" s="8" t="str">
        <f t="shared" si="1"/>
        <v>NA</v>
      </c>
      <c r="H86" s="8" t="s">
        <v>123</v>
      </c>
    </row>
    <row r="87" spans="1:8" x14ac:dyDescent="0.2">
      <c r="A87" s="16">
        <v>4</v>
      </c>
      <c r="B87" s="14" t="s">
        <v>104</v>
      </c>
      <c r="C87" s="18" t="s">
        <v>124</v>
      </c>
      <c r="D87" s="8" t="s">
        <v>123</v>
      </c>
      <c r="E87" s="8" t="s">
        <v>123</v>
      </c>
      <c r="F87" s="8" t="s">
        <v>123</v>
      </c>
      <c r="G87" s="8" t="str">
        <f t="shared" si="1"/>
        <v>NA</v>
      </c>
      <c r="H87" s="8" t="s">
        <v>123</v>
      </c>
    </row>
    <row r="88" spans="1:8" x14ac:dyDescent="0.2">
      <c r="A88" s="16">
        <v>4</v>
      </c>
      <c r="B88" s="14" t="s">
        <v>104</v>
      </c>
      <c r="C88" s="18" t="s">
        <v>125</v>
      </c>
      <c r="D88" s="8" t="s">
        <v>123</v>
      </c>
      <c r="E88" s="8" t="s">
        <v>123</v>
      </c>
      <c r="F88" s="8" t="s">
        <v>123</v>
      </c>
      <c r="G88" s="8" t="str">
        <f t="shared" si="1"/>
        <v>NA</v>
      </c>
      <c r="H88" s="8" t="s">
        <v>123</v>
      </c>
    </row>
    <row r="89" spans="1:8" x14ac:dyDescent="0.2">
      <c r="A89" s="16">
        <v>4</v>
      </c>
      <c r="B89" s="14" t="s">
        <v>104</v>
      </c>
      <c r="C89" s="18" t="s">
        <v>126</v>
      </c>
      <c r="D89" s="8" t="s">
        <v>123</v>
      </c>
      <c r="E89" s="8" t="s">
        <v>123</v>
      </c>
      <c r="F89" s="8" t="s">
        <v>123</v>
      </c>
      <c r="G89" s="8" t="str">
        <f t="shared" si="1"/>
        <v>NA</v>
      </c>
      <c r="H89" s="8" t="s">
        <v>123</v>
      </c>
    </row>
    <row r="90" spans="1:8" x14ac:dyDescent="0.2">
      <c r="A90" s="16">
        <v>4</v>
      </c>
      <c r="B90" s="14" t="s">
        <v>104</v>
      </c>
      <c r="C90" s="18" t="s">
        <v>127</v>
      </c>
      <c r="D90" s="8">
        <v>2</v>
      </c>
      <c r="E90" s="8">
        <v>2</v>
      </c>
      <c r="F90" s="8" t="s">
        <v>123</v>
      </c>
      <c r="G90" s="8">
        <f t="shared" si="1"/>
        <v>2</v>
      </c>
      <c r="H90" s="8" t="s">
        <v>123</v>
      </c>
    </row>
    <row r="91" spans="1:8" x14ac:dyDescent="0.2">
      <c r="A91" s="16">
        <v>4</v>
      </c>
      <c r="B91" s="14" t="s">
        <v>104</v>
      </c>
      <c r="C91" s="18" t="s">
        <v>128</v>
      </c>
      <c r="D91" s="8" t="s">
        <v>123</v>
      </c>
      <c r="E91" s="8" t="s">
        <v>123</v>
      </c>
      <c r="F91" s="8" t="s">
        <v>123</v>
      </c>
      <c r="G91" s="8" t="str">
        <f t="shared" si="1"/>
        <v>NA</v>
      </c>
      <c r="H91" s="8" t="s">
        <v>123</v>
      </c>
    </row>
    <row r="92" spans="1:8" x14ac:dyDescent="0.2">
      <c r="A92" s="16">
        <v>4</v>
      </c>
      <c r="B92" s="14" t="s">
        <v>104</v>
      </c>
      <c r="C92" s="18" t="s">
        <v>129</v>
      </c>
      <c r="D92" s="8">
        <v>2.9</v>
      </c>
      <c r="E92" s="8">
        <v>2.9</v>
      </c>
      <c r="F92" s="8" t="s">
        <v>123</v>
      </c>
      <c r="G92" s="8">
        <f t="shared" si="1"/>
        <v>2.9</v>
      </c>
      <c r="H92" s="8" t="s">
        <v>123</v>
      </c>
    </row>
    <row r="93" spans="1:8" x14ac:dyDescent="0.2">
      <c r="A93" s="16">
        <v>4</v>
      </c>
      <c r="B93" s="14" t="s">
        <v>104</v>
      </c>
      <c r="C93" s="18" t="s">
        <v>130</v>
      </c>
      <c r="D93" s="8" t="s">
        <v>123</v>
      </c>
      <c r="E93" s="8" t="s">
        <v>123</v>
      </c>
      <c r="F93" s="8" t="s">
        <v>123</v>
      </c>
      <c r="G93" s="8" t="str">
        <f t="shared" si="1"/>
        <v>NA</v>
      </c>
      <c r="H93" s="8" t="s">
        <v>123</v>
      </c>
    </row>
    <row r="94" spans="1:8" x14ac:dyDescent="0.2">
      <c r="A94" s="16">
        <v>4</v>
      </c>
      <c r="B94" s="14" t="s">
        <v>104</v>
      </c>
      <c r="C94" s="18" t="s">
        <v>131</v>
      </c>
      <c r="D94" s="8" t="s">
        <v>123</v>
      </c>
      <c r="E94" s="8" t="s">
        <v>123</v>
      </c>
      <c r="F94" s="8" t="s">
        <v>123</v>
      </c>
      <c r="G94" s="8" t="str">
        <f t="shared" si="1"/>
        <v>NA</v>
      </c>
      <c r="H94" s="8" t="s">
        <v>123</v>
      </c>
    </row>
    <row r="95" spans="1:8" x14ac:dyDescent="0.2">
      <c r="A95" s="16">
        <v>4</v>
      </c>
      <c r="B95" s="14" t="s">
        <v>104</v>
      </c>
      <c r="C95" s="18" t="s">
        <v>132</v>
      </c>
      <c r="D95" s="8">
        <v>1.6</v>
      </c>
      <c r="E95" s="8">
        <v>1.6</v>
      </c>
      <c r="F95" s="8" t="s">
        <v>123</v>
      </c>
      <c r="G95" s="8">
        <f t="shared" si="1"/>
        <v>1.6</v>
      </c>
      <c r="H95" s="8" t="s">
        <v>123</v>
      </c>
    </row>
    <row r="96" spans="1:8" x14ac:dyDescent="0.2">
      <c r="A96" s="16">
        <v>4</v>
      </c>
      <c r="B96" s="14" t="s">
        <v>104</v>
      </c>
      <c r="C96" s="18" t="s">
        <v>133</v>
      </c>
      <c r="D96" s="8">
        <v>2.1</v>
      </c>
      <c r="E96" s="8">
        <v>2.1</v>
      </c>
      <c r="F96" s="8" t="s">
        <v>123</v>
      </c>
      <c r="G96" s="8">
        <f t="shared" si="1"/>
        <v>2.1</v>
      </c>
      <c r="H96" s="8" t="s">
        <v>123</v>
      </c>
    </row>
    <row r="97" spans="1:8" x14ac:dyDescent="0.2">
      <c r="A97" s="16">
        <v>4</v>
      </c>
      <c r="B97" s="14" t="s">
        <v>104</v>
      </c>
      <c r="C97" s="18" t="s">
        <v>134</v>
      </c>
      <c r="D97" s="8">
        <v>1.9</v>
      </c>
      <c r="E97" s="8">
        <v>1.9</v>
      </c>
      <c r="F97" s="8" t="s">
        <v>123</v>
      </c>
      <c r="G97" s="8">
        <f t="shared" si="1"/>
        <v>1.9</v>
      </c>
      <c r="H97" s="8" t="s">
        <v>123</v>
      </c>
    </row>
    <row r="98" spans="1:8" x14ac:dyDescent="0.2">
      <c r="A98" s="17">
        <v>4</v>
      </c>
      <c r="B98" s="17" t="s">
        <v>104</v>
      </c>
      <c r="C98" s="17" t="s">
        <v>135</v>
      </c>
      <c r="D98" s="8">
        <v>1.9</v>
      </c>
      <c r="E98" s="8">
        <v>1.9</v>
      </c>
      <c r="F98" s="8" t="s">
        <v>123</v>
      </c>
      <c r="G98" s="8">
        <f t="shared" si="1"/>
        <v>1.9</v>
      </c>
      <c r="H98" s="8" t="s">
        <v>123</v>
      </c>
    </row>
    <row r="99" spans="1:8" x14ac:dyDescent="0.2">
      <c r="A99" s="17">
        <v>4</v>
      </c>
      <c r="B99" s="17" t="s">
        <v>104</v>
      </c>
      <c r="C99" s="17" t="s">
        <v>136</v>
      </c>
      <c r="D99" s="8">
        <v>1.6</v>
      </c>
      <c r="E99" s="8">
        <v>1.6</v>
      </c>
      <c r="F99" s="8" t="s">
        <v>123</v>
      </c>
      <c r="G99" s="8">
        <f t="shared" si="1"/>
        <v>1.6</v>
      </c>
      <c r="H99" s="8" t="s">
        <v>123</v>
      </c>
    </row>
    <row r="100" spans="1:8" x14ac:dyDescent="0.2">
      <c r="A100" s="17">
        <v>4</v>
      </c>
      <c r="B100" s="17" t="s">
        <v>104</v>
      </c>
      <c r="C100" s="17" t="s">
        <v>137</v>
      </c>
      <c r="D100" s="8" t="s">
        <v>123</v>
      </c>
      <c r="E100" s="8" t="s">
        <v>123</v>
      </c>
      <c r="F100" s="8" t="s">
        <v>123</v>
      </c>
      <c r="G100" s="8" t="str">
        <f t="shared" si="1"/>
        <v>NA</v>
      </c>
      <c r="H100" s="8" t="s">
        <v>123</v>
      </c>
    </row>
    <row r="101" spans="1:8" x14ac:dyDescent="0.2">
      <c r="A101" s="17">
        <v>4</v>
      </c>
      <c r="B101" s="17" t="s">
        <v>104</v>
      </c>
      <c r="C101" s="17" t="s">
        <v>138</v>
      </c>
      <c r="D101" s="8">
        <v>3</v>
      </c>
      <c r="E101" s="8" t="s">
        <v>123</v>
      </c>
      <c r="F101" s="8" t="s">
        <v>123</v>
      </c>
      <c r="G101" s="8">
        <f t="shared" si="1"/>
        <v>3</v>
      </c>
      <c r="H101" s="8" t="s">
        <v>123</v>
      </c>
    </row>
    <row r="102" spans="1:8" x14ac:dyDescent="0.2">
      <c r="A102" s="17">
        <v>4</v>
      </c>
      <c r="B102" s="17" t="s">
        <v>104</v>
      </c>
      <c r="C102" s="17" t="s">
        <v>139</v>
      </c>
      <c r="D102" s="8" t="s">
        <v>123</v>
      </c>
      <c r="E102" s="8" t="s">
        <v>123</v>
      </c>
      <c r="F102" s="8" t="s">
        <v>123</v>
      </c>
      <c r="G102" s="8" t="str">
        <f t="shared" si="1"/>
        <v>NA</v>
      </c>
      <c r="H102" s="8" t="s">
        <v>123</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12C97-AFCC-8C44-A904-7F941908DF1A}">
  <dimension ref="A1:S102"/>
  <sheetViews>
    <sheetView topLeftCell="A10" workbookViewId="0">
      <selection activeCell="I9" sqref="I9"/>
    </sheetView>
  </sheetViews>
  <sheetFormatPr baseColWidth="10" defaultColWidth="8.83203125" defaultRowHeight="15" x14ac:dyDescent="0.2"/>
  <cols>
    <col min="4" max="6" width="10.6640625" customWidth="1"/>
    <col min="7" max="7" width="8.83203125" customWidth="1"/>
    <col min="8" max="8" width="33.6640625" bestFit="1" customWidth="1"/>
  </cols>
  <sheetData>
    <row r="1" spans="1:19" ht="19" x14ac:dyDescent="0.25">
      <c r="A1" s="12" t="s">
        <v>0</v>
      </c>
      <c r="B1" s="12"/>
      <c r="C1" s="12"/>
      <c r="D1" s="12"/>
      <c r="E1" s="12"/>
      <c r="G1" s="12"/>
      <c r="H1" s="12"/>
      <c r="I1" s="12"/>
      <c r="J1" s="12"/>
      <c r="L1" s="12"/>
    </row>
    <row r="2" spans="1:19" ht="19" x14ac:dyDescent="0.25">
      <c r="A2" s="12"/>
      <c r="B2" s="12"/>
      <c r="C2" s="12"/>
      <c r="D2" s="12"/>
      <c r="E2" s="12"/>
      <c r="G2" s="12"/>
      <c r="H2" s="12"/>
      <c r="I2" s="12"/>
      <c r="J2" s="12"/>
      <c r="K2" s="12"/>
      <c r="L2" s="12"/>
    </row>
    <row r="3" spans="1:19" ht="19" x14ac:dyDescent="0.25">
      <c r="A3" s="12" t="s">
        <v>149</v>
      </c>
      <c r="B3" s="12"/>
      <c r="C3" s="12"/>
      <c r="D3" s="12"/>
      <c r="E3" s="12"/>
      <c r="G3" s="12"/>
      <c r="H3" s="12"/>
      <c r="I3" s="12"/>
      <c r="J3" s="12"/>
      <c r="K3" s="12"/>
      <c r="L3" s="12"/>
    </row>
    <row r="4" spans="1:19" ht="19" x14ac:dyDescent="0.25">
      <c r="A4" s="12"/>
      <c r="B4" s="12"/>
      <c r="C4" s="12"/>
      <c r="D4" s="12"/>
      <c r="E4" s="12"/>
      <c r="G4" s="12"/>
      <c r="H4" s="12"/>
      <c r="I4" s="12"/>
      <c r="J4" s="12"/>
      <c r="K4" s="12"/>
      <c r="L4" s="12"/>
    </row>
    <row r="5" spans="1:19" ht="19" x14ac:dyDescent="0.25">
      <c r="A5" s="12" t="s">
        <v>150</v>
      </c>
      <c r="B5" s="12"/>
      <c r="C5" s="12"/>
      <c r="D5" s="12"/>
      <c r="E5" s="12"/>
      <c r="G5" s="12"/>
      <c r="H5" s="12"/>
      <c r="I5" s="12"/>
      <c r="J5" s="12"/>
      <c r="K5" s="12"/>
      <c r="L5" s="12"/>
    </row>
    <row r="6" spans="1:19" ht="19" x14ac:dyDescent="0.25">
      <c r="A6" s="12" t="s">
        <v>151</v>
      </c>
      <c r="B6" s="12"/>
      <c r="C6" s="12"/>
      <c r="D6" s="12"/>
      <c r="E6" s="12"/>
      <c r="G6" s="12"/>
      <c r="H6" s="12"/>
      <c r="I6" s="12"/>
      <c r="J6" s="12"/>
      <c r="K6" s="12"/>
      <c r="L6" s="12"/>
    </row>
    <row r="8" spans="1:19" ht="41" thickBot="1" x14ac:dyDescent="0.25">
      <c r="A8" s="1" t="s">
        <v>4</v>
      </c>
      <c r="B8" s="2" t="s">
        <v>5</v>
      </c>
      <c r="C8" s="6" t="s">
        <v>7</v>
      </c>
      <c r="D8" s="7" t="s">
        <v>8</v>
      </c>
      <c r="E8" s="7" t="s">
        <v>8</v>
      </c>
      <c r="F8" s="7" t="s">
        <v>8</v>
      </c>
      <c r="G8" s="7" t="s">
        <v>9</v>
      </c>
      <c r="H8" s="7" t="s">
        <v>10</v>
      </c>
      <c r="J8" s="34"/>
      <c r="K8" s="34"/>
      <c r="L8" s="34"/>
      <c r="M8" s="34"/>
      <c r="N8" s="34"/>
      <c r="O8" s="34"/>
      <c r="P8" s="34"/>
      <c r="Q8" s="34"/>
      <c r="R8" s="34"/>
      <c r="S8" s="34"/>
    </row>
    <row r="9" spans="1:19" x14ac:dyDescent="0.2">
      <c r="A9" s="3">
        <v>2</v>
      </c>
      <c r="B9" s="3" t="s">
        <v>42</v>
      </c>
      <c r="C9" s="9">
        <v>800</v>
      </c>
      <c r="D9" s="8">
        <v>1</v>
      </c>
      <c r="E9" s="8">
        <v>1.2</v>
      </c>
      <c r="F9" s="8">
        <v>1.1000000000000001</v>
      </c>
      <c r="G9" s="8">
        <f>IF(D9="NA","NA",ROUND(AVERAGE(D9:F9),2))</f>
        <v>1.1000000000000001</v>
      </c>
      <c r="H9" s="8" t="s">
        <v>123</v>
      </c>
    </row>
    <row r="10" spans="1:19" x14ac:dyDescent="0.2">
      <c r="A10" s="4">
        <v>2</v>
      </c>
      <c r="B10" s="4" t="s">
        <v>42</v>
      </c>
      <c r="C10" s="10">
        <v>801</v>
      </c>
      <c r="D10" s="8">
        <v>1.3</v>
      </c>
      <c r="E10" s="8">
        <v>1.1000000000000001</v>
      </c>
      <c r="F10" s="8">
        <v>1.1000000000000001</v>
      </c>
      <c r="G10" s="8">
        <f t="shared" ref="G10:G73" si="0">IF(D10="NA","NA",ROUND(AVERAGE(D10:F10),2))</f>
        <v>1.17</v>
      </c>
      <c r="H10" s="8" t="s">
        <v>123</v>
      </c>
    </row>
    <row r="11" spans="1:19" x14ac:dyDescent="0.2">
      <c r="A11" s="4">
        <v>2</v>
      </c>
      <c r="B11" s="4" t="s">
        <v>42</v>
      </c>
      <c r="C11" s="10">
        <v>804</v>
      </c>
      <c r="D11" s="8">
        <v>1.7</v>
      </c>
      <c r="E11" s="8">
        <v>1.9</v>
      </c>
      <c r="F11" s="8">
        <v>1.8</v>
      </c>
      <c r="G11" s="8">
        <f t="shared" si="0"/>
        <v>1.8</v>
      </c>
      <c r="H11" s="8" t="s">
        <v>123</v>
      </c>
    </row>
    <row r="12" spans="1:19" x14ac:dyDescent="0.2">
      <c r="A12" s="4">
        <v>2</v>
      </c>
      <c r="B12" s="4" t="s">
        <v>42</v>
      </c>
      <c r="C12" s="10">
        <v>806</v>
      </c>
      <c r="D12" s="8">
        <v>1.3</v>
      </c>
      <c r="E12" s="8">
        <v>1.2</v>
      </c>
      <c r="F12" s="8">
        <v>1.1000000000000001</v>
      </c>
      <c r="G12" s="8">
        <f t="shared" si="0"/>
        <v>1.2</v>
      </c>
      <c r="H12" s="8" t="s">
        <v>123</v>
      </c>
    </row>
    <row r="13" spans="1:19" x14ac:dyDescent="0.2">
      <c r="A13" s="4">
        <v>2</v>
      </c>
      <c r="B13" s="4" t="s">
        <v>42</v>
      </c>
      <c r="C13" s="10">
        <v>809</v>
      </c>
      <c r="D13" s="8">
        <v>0.9</v>
      </c>
      <c r="E13" s="8">
        <v>1.1000000000000001</v>
      </c>
      <c r="F13" s="8">
        <v>1.1000000000000001</v>
      </c>
      <c r="G13" s="8">
        <f t="shared" si="0"/>
        <v>1.03</v>
      </c>
      <c r="H13" s="8" t="s">
        <v>123</v>
      </c>
    </row>
    <row r="14" spans="1:19" x14ac:dyDescent="0.2">
      <c r="A14" s="4">
        <v>2</v>
      </c>
      <c r="B14" s="4" t="s">
        <v>42</v>
      </c>
      <c r="C14" s="10">
        <v>810</v>
      </c>
      <c r="D14" s="8">
        <v>5.5</v>
      </c>
      <c r="E14" s="8">
        <v>5.4</v>
      </c>
      <c r="F14" s="8">
        <v>5</v>
      </c>
      <c r="G14" s="8">
        <f t="shared" si="0"/>
        <v>5.3</v>
      </c>
      <c r="H14" s="8" t="s">
        <v>123</v>
      </c>
    </row>
    <row r="15" spans="1:19" x14ac:dyDescent="0.2">
      <c r="A15" s="4">
        <v>2</v>
      </c>
      <c r="B15" s="4" t="s">
        <v>42</v>
      </c>
      <c r="C15" s="10">
        <v>819</v>
      </c>
      <c r="D15" s="8">
        <v>2.4</v>
      </c>
      <c r="E15" s="8">
        <v>2.2999999999999998</v>
      </c>
      <c r="F15" s="8">
        <v>2.2000000000000002</v>
      </c>
      <c r="G15" s="8">
        <f t="shared" si="0"/>
        <v>2.2999999999999998</v>
      </c>
      <c r="H15" s="8" t="s">
        <v>123</v>
      </c>
    </row>
    <row r="16" spans="1:19" x14ac:dyDescent="0.2">
      <c r="A16" s="4">
        <v>2</v>
      </c>
      <c r="B16" s="4" t="s">
        <v>42</v>
      </c>
      <c r="C16" s="10">
        <v>822</v>
      </c>
      <c r="D16" s="8">
        <v>1.9</v>
      </c>
      <c r="E16" s="8">
        <v>1.8</v>
      </c>
      <c r="F16" s="8">
        <v>1.9</v>
      </c>
      <c r="G16" s="8">
        <f t="shared" si="0"/>
        <v>1.87</v>
      </c>
      <c r="H16" s="8" t="s">
        <v>123</v>
      </c>
    </row>
    <row r="17" spans="1:8" x14ac:dyDescent="0.2">
      <c r="A17" s="4">
        <v>2</v>
      </c>
      <c r="B17" s="4" t="s">
        <v>42</v>
      </c>
      <c r="C17" s="10">
        <v>823</v>
      </c>
      <c r="D17" s="8">
        <v>2.4</v>
      </c>
      <c r="E17" s="8">
        <v>2.4</v>
      </c>
      <c r="F17" s="8" t="s">
        <v>123</v>
      </c>
      <c r="G17" s="8">
        <f t="shared" si="0"/>
        <v>2.4</v>
      </c>
      <c r="H17" s="8" t="s">
        <v>123</v>
      </c>
    </row>
    <row r="18" spans="1:8" x14ac:dyDescent="0.2">
      <c r="A18" s="4">
        <v>2</v>
      </c>
      <c r="B18" s="4" t="s">
        <v>42</v>
      </c>
      <c r="C18" s="10">
        <v>825</v>
      </c>
      <c r="D18" s="8">
        <v>0.8</v>
      </c>
      <c r="E18" s="8">
        <v>0.8</v>
      </c>
      <c r="F18" s="8" t="s">
        <v>123</v>
      </c>
      <c r="G18" s="8">
        <f t="shared" si="0"/>
        <v>0.8</v>
      </c>
      <c r="H18" s="8" t="s">
        <v>123</v>
      </c>
    </row>
    <row r="19" spans="1:8" x14ac:dyDescent="0.2">
      <c r="A19" s="4">
        <v>2</v>
      </c>
      <c r="B19" s="4" t="s">
        <v>42</v>
      </c>
      <c r="C19" s="10">
        <v>826</v>
      </c>
      <c r="D19" s="8">
        <v>1.7</v>
      </c>
      <c r="E19" s="8">
        <v>1.7</v>
      </c>
      <c r="F19" s="8" t="s">
        <v>123</v>
      </c>
      <c r="G19" s="8">
        <f t="shared" si="0"/>
        <v>1.7</v>
      </c>
      <c r="H19" s="8" t="s">
        <v>123</v>
      </c>
    </row>
    <row r="20" spans="1:8" x14ac:dyDescent="0.2">
      <c r="A20" s="4">
        <v>2</v>
      </c>
      <c r="B20" s="4" t="s">
        <v>42</v>
      </c>
      <c r="C20" s="10">
        <v>828</v>
      </c>
      <c r="D20" s="8">
        <v>1.4</v>
      </c>
      <c r="E20" s="8">
        <v>1.6</v>
      </c>
      <c r="F20" s="8">
        <v>1.5</v>
      </c>
      <c r="G20" s="8">
        <f t="shared" si="0"/>
        <v>1.5</v>
      </c>
      <c r="H20" s="8" t="s">
        <v>123</v>
      </c>
    </row>
    <row r="21" spans="1:8" x14ac:dyDescent="0.2">
      <c r="A21" s="4">
        <v>2</v>
      </c>
      <c r="B21" s="4" t="s">
        <v>42</v>
      </c>
      <c r="C21" s="10">
        <v>829</v>
      </c>
      <c r="D21" s="8">
        <v>1.5</v>
      </c>
      <c r="E21" s="8">
        <v>1.4</v>
      </c>
      <c r="F21" s="8">
        <v>1.4</v>
      </c>
      <c r="G21" s="8">
        <f t="shared" si="0"/>
        <v>1.43</v>
      </c>
      <c r="H21" s="8" t="s">
        <v>123</v>
      </c>
    </row>
    <row r="22" spans="1:8" x14ac:dyDescent="0.2">
      <c r="A22" s="4">
        <v>2</v>
      </c>
      <c r="B22" s="4" t="s">
        <v>42</v>
      </c>
      <c r="C22" s="10">
        <v>832</v>
      </c>
      <c r="D22" s="8">
        <v>1.6</v>
      </c>
      <c r="E22" s="8">
        <v>1.6</v>
      </c>
      <c r="F22" s="8" t="s">
        <v>123</v>
      </c>
      <c r="G22" s="8">
        <f t="shared" si="0"/>
        <v>1.6</v>
      </c>
      <c r="H22" s="8" t="s">
        <v>123</v>
      </c>
    </row>
    <row r="23" spans="1:8" x14ac:dyDescent="0.2">
      <c r="A23" s="4">
        <v>2</v>
      </c>
      <c r="B23" s="4" t="s">
        <v>42</v>
      </c>
      <c r="C23" s="10">
        <v>836</v>
      </c>
      <c r="D23" s="8">
        <v>2.1</v>
      </c>
      <c r="E23" s="8">
        <v>2.1</v>
      </c>
      <c r="F23" s="8" t="s">
        <v>123</v>
      </c>
      <c r="G23" s="8">
        <f t="shared" si="0"/>
        <v>2.1</v>
      </c>
      <c r="H23" s="8" t="s">
        <v>123</v>
      </c>
    </row>
    <row r="24" spans="1:8" x14ac:dyDescent="0.2">
      <c r="A24" s="4">
        <v>2</v>
      </c>
      <c r="B24" s="4" t="s">
        <v>42</v>
      </c>
      <c r="C24" s="10">
        <v>839</v>
      </c>
      <c r="D24" s="8">
        <v>2.2000000000000002</v>
      </c>
      <c r="E24" s="8">
        <v>2.1</v>
      </c>
      <c r="F24" s="8">
        <v>2.1</v>
      </c>
      <c r="G24" s="8">
        <f t="shared" si="0"/>
        <v>2.13</v>
      </c>
      <c r="H24" s="8" t="s">
        <v>123</v>
      </c>
    </row>
    <row r="25" spans="1:8" x14ac:dyDescent="0.2">
      <c r="A25" s="4">
        <v>2</v>
      </c>
      <c r="B25" s="4" t="s">
        <v>42</v>
      </c>
      <c r="C25" s="10">
        <v>840</v>
      </c>
      <c r="D25" s="8">
        <v>1.6</v>
      </c>
      <c r="E25" s="8">
        <v>1.8</v>
      </c>
      <c r="F25" s="8">
        <v>1.5</v>
      </c>
      <c r="G25" s="8">
        <f t="shared" si="0"/>
        <v>1.63</v>
      </c>
      <c r="H25" s="8" t="s">
        <v>123</v>
      </c>
    </row>
    <row r="26" spans="1:8" x14ac:dyDescent="0.2">
      <c r="A26" s="4">
        <v>2</v>
      </c>
      <c r="B26" s="4" t="s">
        <v>42</v>
      </c>
      <c r="C26" s="10">
        <v>841</v>
      </c>
      <c r="D26" s="8">
        <v>1.2</v>
      </c>
      <c r="E26" s="8">
        <v>1.3</v>
      </c>
      <c r="F26" s="8">
        <v>1.3</v>
      </c>
      <c r="G26" s="8">
        <f t="shared" si="0"/>
        <v>1.27</v>
      </c>
      <c r="H26" s="8" t="s">
        <v>123</v>
      </c>
    </row>
    <row r="27" spans="1:8" x14ac:dyDescent="0.2">
      <c r="A27" s="4">
        <v>2</v>
      </c>
      <c r="B27" s="4" t="s">
        <v>42</v>
      </c>
      <c r="C27" s="10">
        <v>843</v>
      </c>
      <c r="D27" s="8">
        <v>2</v>
      </c>
      <c r="E27" s="8">
        <v>2</v>
      </c>
      <c r="F27" s="8" t="s">
        <v>123</v>
      </c>
      <c r="G27" s="8">
        <f t="shared" si="0"/>
        <v>2</v>
      </c>
      <c r="H27" s="8" t="s">
        <v>123</v>
      </c>
    </row>
    <row r="28" spans="1:8" x14ac:dyDescent="0.2">
      <c r="A28" s="4">
        <v>2</v>
      </c>
      <c r="B28" s="4" t="s">
        <v>42</v>
      </c>
      <c r="C28" s="10">
        <v>850</v>
      </c>
      <c r="D28" s="8">
        <v>2.2000000000000002</v>
      </c>
      <c r="E28" s="8">
        <v>2.1</v>
      </c>
      <c r="F28" s="8">
        <v>2.1</v>
      </c>
      <c r="G28" s="8">
        <f t="shared" si="0"/>
        <v>2.13</v>
      </c>
      <c r="H28" s="8" t="s">
        <v>123</v>
      </c>
    </row>
    <row r="29" spans="1:8" x14ac:dyDescent="0.2">
      <c r="A29" s="4">
        <v>2</v>
      </c>
      <c r="B29" s="4" t="s">
        <v>42</v>
      </c>
      <c r="C29" s="10">
        <v>852</v>
      </c>
      <c r="D29" s="8">
        <v>1.4</v>
      </c>
      <c r="E29" s="8">
        <v>1.4</v>
      </c>
      <c r="F29" s="8" t="s">
        <v>123</v>
      </c>
      <c r="G29" s="8">
        <f t="shared" si="0"/>
        <v>1.4</v>
      </c>
      <c r="H29" s="8" t="s">
        <v>123</v>
      </c>
    </row>
    <row r="30" spans="1:8" x14ac:dyDescent="0.2">
      <c r="A30" s="4">
        <v>2</v>
      </c>
      <c r="B30" s="4" t="s">
        <v>42</v>
      </c>
      <c r="C30" s="10">
        <v>854</v>
      </c>
      <c r="D30" s="8">
        <v>1</v>
      </c>
      <c r="E30" s="8">
        <v>1</v>
      </c>
      <c r="F30" s="8" t="s">
        <v>123</v>
      </c>
      <c r="G30" s="8">
        <f t="shared" si="0"/>
        <v>1</v>
      </c>
      <c r="H30" s="8" t="s">
        <v>123</v>
      </c>
    </row>
    <row r="31" spans="1:8" x14ac:dyDescent="0.2">
      <c r="A31" s="4">
        <v>2</v>
      </c>
      <c r="B31" s="4" t="s">
        <v>42</v>
      </c>
      <c r="C31" s="10">
        <v>855</v>
      </c>
      <c r="D31" s="8">
        <v>3.3</v>
      </c>
      <c r="E31" s="8">
        <v>3.5</v>
      </c>
      <c r="F31" s="8">
        <v>3.4</v>
      </c>
      <c r="G31" s="8">
        <f t="shared" si="0"/>
        <v>3.4</v>
      </c>
      <c r="H31" s="8" t="s">
        <v>123</v>
      </c>
    </row>
    <row r="32" spans="1:8" x14ac:dyDescent="0.2">
      <c r="A32" s="4">
        <v>2</v>
      </c>
      <c r="B32" s="4" t="s">
        <v>42</v>
      </c>
      <c r="C32" s="10">
        <v>857</v>
      </c>
      <c r="D32" s="8">
        <v>2.2999999999999998</v>
      </c>
      <c r="E32" s="8">
        <v>2.4</v>
      </c>
      <c r="F32" s="8">
        <v>2.2000000000000002</v>
      </c>
      <c r="G32" s="8">
        <f t="shared" si="0"/>
        <v>2.2999999999999998</v>
      </c>
      <c r="H32" s="8" t="s">
        <v>123</v>
      </c>
    </row>
    <row r="33" spans="1:8" x14ac:dyDescent="0.2">
      <c r="A33" s="4">
        <v>2</v>
      </c>
      <c r="B33" s="4" t="s">
        <v>42</v>
      </c>
      <c r="C33" s="10">
        <v>858</v>
      </c>
      <c r="D33" s="8">
        <v>1.2</v>
      </c>
      <c r="E33" s="8">
        <v>1.3</v>
      </c>
      <c r="F33" s="8">
        <v>1.2</v>
      </c>
      <c r="G33" s="8">
        <f t="shared" si="0"/>
        <v>1.23</v>
      </c>
      <c r="H33" s="8" t="s">
        <v>123</v>
      </c>
    </row>
    <row r="34" spans="1:8" x14ac:dyDescent="0.2">
      <c r="A34" s="4">
        <v>2</v>
      </c>
      <c r="B34" s="4" t="s">
        <v>42</v>
      </c>
      <c r="C34" s="10">
        <v>870</v>
      </c>
      <c r="D34" s="8">
        <v>1.1000000000000001</v>
      </c>
      <c r="E34" s="8">
        <v>1</v>
      </c>
      <c r="F34" s="8">
        <v>0.9</v>
      </c>
      <c r="G34" s="8">
        <f t="shared" si="0"/>
        <v>1</v>
      </c>
      <c r="H34" s="8" t="s">
        <v>123</v>
      </c>
    </row>
    <row r="35" spans="1:8" x14ac:dyDescent="0.2">
      <c r="A35" s="4">
        <v>2</v>
      </c>
      <c r="B35" s="4" t="s">
        <v>42</v>
      </c>
      <c r="C35" s="10">
        <v>875</v>
      </c>
      <c r="D35" s="55">
        <v>3</v>
      </c>
      <c r="E35" s="55">
        <v>2.9</v>
      </c>
      <c r="F35" s="55">
        <v>2.9</v>
      </c>
      <c r="G35" s="8">
        <f t="shared" si="0"/>
        <v>2.93</v>
      </c>
      <c r="H35" s="8" t="s">
        <v>123</v>
      </c>
    </row>
    <row r="36" spans="1:8" x14ac:dyDescent="0.2">
      <c r="A36" s="4">
        <v>2</v>
      </c>
      <c r="B36" s="4" t="s">
        <v>42</v>
      </c>
      <c r="C36" s="10">
        <v>880</v>
      </c>
      <c r="D36" s="8">
        <v>2.6</v>
      </c>
      <c r="E36" s="8">
        <v>2.6</v>
      </c>
      <c r="F36" s="8" t="s">
        <v>123</v>
      </c>
      <c r="G36" s="8">
        <f t="shared" si="0"/>
        <v>2.6</v>
      </c>
      <c r="H36" s="8" t="s">
        <v>123</v>
      </c>
    </row>
    <row r="37" spans="1:8" x14ac:dyDescent="0.2">
      <c r="A37" s="4">
        <v>2</v>
      </c>
      <c r="B37" s="4" t="s">
        <v>42</v>
      </c>
      <c r="C37" s="10">
        <v>883</v>
      </c>
      <c r="D37" s="8">
        <v>1.4</v>
      </c>
      <c r="E37" s="8" t="s">
        <v>123</v>
      </c>
      <c r="F37" s="8" t="s">
        <v>123</v>
      </c>
      <c r="G37" s="8">
        <f t="shared" si="0"/>
        <v>1.4</v>
      </c>
      <c r="H37" s="8" t="s">
        <v>123</v>
      </c>
    </row>
    <row r="38" spans="1:8" x14ac:dyDescent="0.2">
      <c r="A38" s="4">
        <v>2</v>
      </c>
      <c r="B38" s="4" t="s">
        <v>42</v>
      </c>
      <c r="C38" s="10">
        <v>884</v>
      </c>
      <c r="D38" s="8">
        <v>1.7</v>
      </c>
      <c r="E38" s="8">
        <v>1.2</v>
      </c>
      <c r="F38" s="8">
        <v>1.2</v>
      </c>
      <c r="G38" s="8">
        <f t="shared" si="0"/>
        <v>1.37</v>
      </c>
      <c r="H38" s="8" t="s">
        <v>123</v>
      </c>
    </row>
    <row r="39" spans="1:8" ht="16" thickBot="1" x14ac:dyDescent="0.25">
      <c r="A39" s="5">
        <v>2</v>
      </c>
      <c r="B39" s="5" t="s">
        <v>42</v>
      </c>
      <c r="C39" s="11">
        <v>886</v>
      </c>
      <c r="D39" s="8">
        <v>1.7</v>
      </c>
      <c r="E39" s="8">
        <v>1.6</v>
      </c>
      <c r="F39" s="8">
        <v>1.6</v>
      </c>
      <c r="G39" s="8">
        <f t="shared" si="0"/>
        <v>1.63</v>
      </c>
      <c r="H39" s="8" t="s">
        <v>123</v>
      </c>
    </row>
    <row r="40" spans="1:8" x14ac:dyDescent="0.2">
      <c r="A40" s="19">
        <v>3</v>
      </c>
      <c r="B40" s="20" t="s">
        <v>74</v>
      </c>
      <c r="C40" s="21">
        <v>802</v>
      </c>
      <c r="D40" s="8">
        <v>1.4</v>
      </c>
      <c r="E40" s="8">
        <v>1.5</v>
      </c>
      <c r="F40" s="8">
        <v>1.5</v>
      </c>
      <c r="G40" s="8">
        <f t="shared" si="0"/>
        <v>1.47</v>
      </c>
      <c r="H40" s="8" t="s">
        <v>123</v>
      </c>
    </row>
    <row r="41" spans="1:8" x14ac:dyDescent="0.2">
      <c r="A41" s="22">
        <v>3</v>
      </c>
      <c r="B41" s="23" t="s">
        <v>74</v>
      </c>
      <c r="C41" s="24">
        <v>803</v>
      </c>
      <c r="D41" s="8">
        <v>1.7</v>
      </c>
      <c r="E41" s="8">
        <v>1.7</v>
      </c>
      <c r="F41" s="8" t="s">
        <v>123</v>
      </c>
      <c r="G41" s="8">
        <f t="shared" si="0"/>
        <v>1.7</v>
      </c>
      <c r="H41" s="8" t="s">
        <v>123</v>
      </c>
    </row>
    <row r="42" spans="1:8" x14ac:dyDescent="0.2">
      <c r="A42" s="22">
        <v>3</v>
      </c>
      <c r="B42" s="23" t="s">
        <v>74</v>
      </c>
      <c r="C42" s="24">
        <v>808</v>
      </c>
      <c r="D42" s="8">
        <v>1.4</v>
      </c>
      <c r="E42" s="8">
        <v>1.3</v>
      </c>
      <c r="F42" s="8">
        <v>1.2</v>
      </c>
      <c r="G42" s="8">
        <f t="shared" si="0"/>
        <v>1.3</v>
      </c>
      <c r="H42" s="8" t="s">
        <v>123</v>
      </c>
    </row>
    <row r="43" spans="1:8" x14ac:dyDescent="0.2">
      <c r="A43" s="22">
        <v>3</v>
      </c>
      <c r="B43" s="23" t="s">
        <v>74</v>
      </c>
      <c r="C43" s="24">
        <v>811</v>
      </c>
      <c r="D43" s="8">
        <v>2.2999999999999998</v>
      </c>
      <c r="E43" s="8">
        <v>2.2999999999999998</v>
      </c>
      <c r="F43" s="8" t="s">
        <v>123</v>
      </c>
      <c r="G43" s="8">
        <f t="shared" si="0"/>
        <v>2.2999999999999998</v>
      </c>
      <c r="H43" s="8" t="s">
        <v>123</v>
      </c>
    </row>
    <row r="44" spans="1:8" x14ac:dyDescent="0.2">
      <c r="A44" s="22">
        <v>3</v>
      </c>
      <c r="B44" s="23" t="s">
        <v>74</v>
      </c>
      <c r="C44" s="24">
        <v>812</v>
      </c>
      <c r="D44" s="8">
        <v>1.9</v>
      </c>
      <c r="E44" s="8">
        <v>1.8</v>
      </c>
      <c r="F44" s="8">
        <v>1.8</v>
      </c>
      <c r="G44" s="8">
        <f t="shared" si="0"/>
        <v>1.83</v>
      </c>
      <c r="H44" s="8" t="s">
        <v>123</v>
      </c>
    </row>
    <row r="45" spans="1:8" x14ac:dyDescent="0.2">
      <c r="A45" s="22">
        <v>3</v>
      </c>
      <c r="B45" s="23" t="s">
        <v>74</v>
      </c>
      <c r="C45" s="24">
        <v>815</v>
      </c>
      <c r="D45" s="8">
        <v>2.2000000000000002</v>
      </c>
      <c r="E45" s="8">
        <v>2.1</v>
      </c>
      <c r="F45" s="8">
        <v>2.1</v>
      </c>
      <c r="G45" s="8">
        <f t="shared" si="0"/>
        <v>2.13</v>
      </c>
      <c r="H45" s="8" t="s">
        <v>123</v>
      </c>
    </row>
    <row r="46" spans="1:8" x14ac:dyDescent="0.2">
      <c r="A46" s="22">
        <v>3</v>
      </c>
      <c r="B46" s="23" t="s">
        <v>74</v>
      </c>
      <c r="C46" s="24">
        <v>816</v>
      </c>
      <c r="D46" s="8">
        <v>2.2000000000000002</v>
      </c>
      <c r="E46" s="8">
        <v>2.2000000000000002</v>
      </c>
      <c r="F46" s="8" t="s">
        <v>123</v>
      </c>
      <c r="G46" s="8">
        <f t="shared" si="0"/>
        <v>2.2000000000000002</v>
      </c>
      <c r="H46" s="8" t="s">
        <v>123</v>
      </c>
    </row>
    <row r="47" spans="1:8" x14ac:dyDescent="0.2">
      <c r="A47" s="22">
        <v>3</v>
      </c>
      <c r="B47" s="23" t="s">
        <v>74</v>
      </c>
      <c r="C47" s="24">
        <v>817</v>
      </c>
      <c r="D47" s="8">
        <v>1.5</v>
      </c>
      <c r="E47" s="8">
        <v>1.5</v>
      </c>
      <c r="F47" s="8" t="s">
        <v>123</v>
      </c>
      <c r="G47" s="8">
        <f t="shared" si="0"/>
        <v>1.5</v>
      </c>
      <c r="H47" s="8" t="s">
        <v>123</v>
      </c>
    </row>
    <row r="48" spans="1:8" x14ac:dyDescent="0.2">
      <c r="A48" s="22">
        <v>3</v>
      </c>
      <c r="B48" s="23" t="s">
        <v>74</v>
      </c>
      <c r="C48" s="24">
        <v>818</v>
      </c>
      <c r="D48" s="8">
        <v>1.8</v>
      </c>
      <c r="E48" s="8">
        <v>1.8</v>
      </c>
      <c r="F48" s="8" t="s">
        <v>123</v>
      </c>
      <c r="G48" s="8">
        <f t="shared" si="0"/>
        <v>1.8</v>
      </c>
      <c r="H48" s="8" t="s">
        <v>123</v>
      </c>
    </row>
    <row r="49" spans="1:8" x14ac:dyDescent="0.2">
      <c r="A49" s="22">
        <v>3</v>
      </c>
      <c r="B49" s="23" t="s">
        <v>74</v>
      </c>
      <c r="C49" s="24">
        <v>833</v>
      </c>
      <c r="D49" s="8">
        <v>1.5</v>
      </c>
      <c r="E49" s="8">
        <v>1.4</v>
      </c>
      <c r="F49" s="8">
        <v>1.5</v>
      </c>
      <c r="G49" s="8">
        <f t="shared" si="0"/>
        <v>1.47</v>
      </c>
      <c r="H49" s="8" t="s">
        <v>123</v>
      </c>
    </row>
    <row r="50" spans="1:8" x14ac:dyDescent="0.2">
      <c r="A50" s="22">
        <v>3</v>
      </c>
      <c r="B50" s="23" t="s">
        <v>74</v>
      </c>
      <c r="C50" s="24">
        <v>834</v>
      </c>
      <c r="D50" s="8">
        <v>2.2999999999999998</v>
      </c>
      <c r="E50" s="8">
        <v>2.2999999999999998</v>
      </c>
      <c r="F50" s="8" t="s">
        <v>123</v>
      </c>
      <c r="G50" s="8">
        <f t="shared" si="0"/>
        <v>2.2999999999999998</v>
      </c>
      <c r="H50" s="8" t="s">
        <v>123</v>
      </c>
    </row>
    <row r="51" spans="1:8" x14ac:dyDescent="0.2">
      <c r="A51" s="22">
        <v>3</v>
      </c>
      <c r="B51" s="23" t="s">
        <v>74</v>
      </c>
      <c r="C51" s="24">
        <v>835</v>
      </c>
      <c r="D51" s="8">
        <v>2.4</v>
      </c>
      <c r="E51" s="8">
        <v>2.4</v>
      </c>
      <c r="F51" s="8" t="s">
        <v>123</v>
      </c>
      <c r="G51" s="8">
        <f t="shared" si="0"/>
        <v>2.4</v>
      </c>
      <c r="H51" s="8" t="s">
        <v>123</v>
      </c>
    </row>
    <row r="52" spans="1:8" x14ac:dyDescent="0.2">
      <c r="A52" s="22">
        <v>3</v>
      </c>
      <c r="B52" s="23" t="s">
        <v>74</v>
      </c>
      <c r="C52" s="24">
        <v>844</v>
      </c>
      <c r="D52" s="8">
        <v>1.7</v>
      </c>
      <c r="E52" s="8">
        <v>1.6</v>
      </c>
      <c r="F52" s="8">
        <v>1.6</v>
      </c>
      <c r="G52" s="8">
        <f t="shared" si="0"/>
        <v>1.63</v>
      </c>
      <c r="H52" s="8" t="s">
        <v>123</v>
      </c>
    </row>
    <row r="53" spans="1:8" x14ac:dyDescent="0.2">
      <c r="A53" s="22">
        <v>3</v>
      </c>
      <c r="B53" s="23" t="s">
        <v>74</v>
      </c>
      <c r="C53" s="24">
        <v>845</v>
      </c>
      <c r="D53" s="8">
        <v>1.7</v>
      </c>
      <c r="E53" s="8">
        <v>1.7</v>
      </c>
      <c r="F53" s="8" t="s">
        <v>123</v>
      </c>
      <c r="G53" s="8">
        <f t="shared" si="0"/>
        <v>1.7</v>
      </c>
      <c r="H53" s="8" t="s">
        <v>123</v>
      </c>
    </row>
    <row r="54" spans="1:8" x14ac:dyDescent="0.2">
      <c r="A54" s="22">
        <v>3</v>
      </c>
      <c r="B54" s="23" t="s">
        <v>74</v>
      </c>
      <c r="C54" s="24">
        <v>846</v>
      </c>
      <c r="D54" s="8">
        <v>1.7</v>
      </c>
      <c r="E54" s="8">
        <v>1.6</v>
      </c>
      <c r="F54" s="8">
        <v>1.6</v>
      </c>
      <c r="G54" s="8">
        <f t="shared" si="0"/>
        <v>1.63</v>
      </c>
      <c r="H54" s="8" t="s">
        <v>123</v>
      </c>
    </row>
    <row r="55" spans="1:8" x14ac:dyDescent="0.2">
      <c r="A55" s="22">
        <v>3</v>
      </c>
      <c r="B55" s="23" t="s">
        <v>74</v>
      </c>
      <c r="C55" s="24">
        <v>849</v>
      </c>
      <c r="D55" s="8">
        <v>2</v>
      </c>
      <c r="E55" s="8">
        <v>2</v>
      </c>
      <c r="F55" s="8" t="s">
        <v>123</v>
      </c>
      <c r="G55" s="8">
        <f t="shared" si="0"/>
        <v>2</v>
      </c>
      <c r="H55" s="8" t="s">
        <v>123</v>
      </c>
    </row>
    <row r="56" spans="1:8" x14ac:dyDescent="0.2">
      <c r="A56" s="22">
        <v>3</v>
      </c>
      <c r="B56" s="23" t="s">
        <v>74</v>
      </c>
      <c r="C56" s="24">
        <v>856</v>
      </c>
      <c r="D56" s="8">
        <v>1.7</v>
      </c>
      <c r="E56" s="8">
        <v>1.7</v>
      </c>
      <c r="F56" s="8" t="s">
        <v>123</v>
      </c>
      <c r="G56" s="8">
        <f t="shared" si="0"/>
        <v>1.7</v>
      </c>
      <c r="H56" s="8" t="s">
        <v>123</v>
      </c>
    </row>
    <row r="57" spans="1:8" x14ac:dyDescent="0.2">
      <c r="A57" s="22">
        <v>3</v>
      </c>
      <c r="B57" s="23" t="s">
        <v>74</v>
      </c>
      <c r="C57" s="24">
        <v>859</v>
      </c>
      <c r="D57" s="8">
        <v>2</v>
      </c>
      <c r="E57" s="8">
        <v>2</v>
      </c>
      <c r="F57" s="8" t="s">
        <v>123</v>
      </c>
      <c r="G57" s="8">
        <f t="shared" si="0"/>
        <v>2</v>
      </c>
      <c r="H57" s="8" t="s">
        <v>123</v>
      </c>
    </row>
    <row r="58" spans="1:8" x14ac:dyDescent="0.2">
      <c r="A58" s="22">
        <v>3</v>
      </c>
      <c r="B58" s="23" t="s">
        <v>74</v>
      </c>
      <c r="C58" s="24">
        <v>861</v>
      </c>
      <c r="D58" s="8">
        <v>1.7</v>
      </c>
      <c r="E58" s="8">
        <v>1.8</v>
      </c>
      <c r="F58" s="8">
        <v>1.7</v>
      </c>
      <c r="G58" s="8">
        <f t="shared" si="0"/>
        <v>1.73</v>
      </c>
      <c r="H58" s="8" t="s">
        <v>123</v>
      </c>
    </row>
    <row r="59" spans="1:8" x14ac:dyDescent="0.2">
      <c r="A59" s="22">
        <v>3</v>
      </c>
      <c r="B59" s="23" t="s">
        <v>74</v>
      </c>
      <c r="C59" s="24">
        <v>862</v>
      </c>
      <c r="D59" s="8">
        <v>1.8</v>
      </c>
      <c r="E59" s="8">
        <v>1.7</v>
      </c>
      <c r="F59" s="8">
        <v>1.7</v>
      </c>
      <c r="G59" s="8">
        <f t="shared" si="0"/>
        <v>1.73</v>
      </c>
      <c r="H59" s="8" t="s">
        <v>123</v>
      </c>
    </row>
    <row r="60" spans="1:8" x14ac:dyDescent="0.2">
      <c r="A60" s="22">
        <v>3</v>
      </c>
      <c r="B60" s="23" t="s">
        <v>74</v>
      </c>
      <c r="C60" s="24">
        <v>865</v>
      </c>
      <c r="D60" s="8">
        <v>1.8</v>
      </c>
      <c r="E60" s="8">
        <v>1.8</v>
      </c>
      <c r="F60" s="8" t="s">
        <v>123</v>
      </c>
      <c r="G60" s="8">
        <f t="shared" si="0"/>
        <v>1.8</v>
      </c>
      <c r="H60" s="8" t="s">
        <v>123</v>
      </c>
    </row>
    <row r="61" spans="1:8" x14ac:dyDescent="0.2">
      <c r="A61" s="22">
        <v>3</v>
      </c>
      <c r="B61" s="23" t="s">
        <v>74</v>
      </c>
      <c r="C61" s="24">
        <v>866</v>
      </c>
      <c r="D61" s="8">
        <v>1.8</v>
      </c>
      <c r="E61" s="8">
        <v>1.8</v>
      </c>
      <c r="F61" s="8" t="s">
        <v>123</v>
      </c>
      <c r="G61" s="8">
        <f t="shared" si="0"/>
        <v>1.8</v>
      </c>
      <c r="H61" s="8" t="s">
        <v>123</v>
      </c>
    </row>
    <row r="62" spans="1:8" x14ac:dyDescent="0.2">
      <c r="A62" s="22">
        <v>3</v>
      </c>
      <c r="B62" s="23" t="s">
        <v>74</v>
      </c>
      <c r="C62" s="24">
        <v>871</v>
      </c>
      <c r="D62" s="8">
        <v>1.8</v>
      </c>
      <c r="E62" s="8">
        <v>1.8</v>
      </c>
      <c r="F62" s="8" t="s">
        <v>123</v>
      </c>
      <c r="G62" s="8">
        <f t="shared" si="0"/>
        <v>1.8</v>
      </c>
      <c r="H62" s="8" t="s">
        <v>123</v>
      </c>
    </row>
    <row r="63" spans="1:8" x14ac:dyDescent="0.2">
      <c r="A63" s="22">
        <v>3</v>
      </c>
      <c r="B63" s="23" t="s">
        <v>74</v>
      </c>
      <c r="C63" s="24">
        <v>873</v>
      </c>
      <c r="D63" s="8">
        <v>1.7</v>
      </c>
      <c r="E63" s="8">
        <v>1.8</v>
      </c>
      <c r="F63" s="8">
        <v>1.7</v>
      </c>
      <c r="G63" s="8">
        <f t="shared" si="0"/>
        <v>1.73</v>
      </c>
      <c r="H63" s="8" t="s">
        <v>123</v>
      </c>
    </row>
    <row r="64" spans="1:8" x14ac:dyDescent="0.2">
      <c r="A64" s="22">
        <v>3</v>
      </c>
      <c r="B64" s="23" t="s">
        <v>74</v>
      </c>
      <c r="C64" s="24">
        <v>874</v>
      </c>
      <c r="D64" s="8">
        <v>1.8</v>
      </c>
      <c r="E64" s="8">
        <v>1.7</v>
      </c>
      <c r="F64" s="8">
        <v>1.7</v>
      </c>
      <c r="G64" s="8">
        <f t="shared" si="0"/>
        <v>1.73</v>
      </c>
      <c r="H64" s="8" t="s">
        <v>123</v>
      </c>
    </row>
    <row r="65" spans="1:9" x14ac:dyDescent="0.2">
      <c r="A65" s="22">
        <v>3</v>
      </c>
      <c r="B65" s="23" t="s">
        <v>74</v>
      </c>
      <c r="C65" s="24">
        <v>877</v>
      </c>
      <c r="D65" s="8">
        <v>1.8</v>
      </c>
      <c r="E65" s="8">
        <v>1.8</v>
      </c>
      <c r="F65" s="8" t="s">
        <v>123</v>
      </c>
      <c r="G65" s="8">
        <f t="shared" si="0"/>
        <v>1.8</v>
      </c>
      <c r="H65" s="8" t="s">
        <v>123</v>
      </c>
    </row>
    <row r="66" spans="1:9" x14ac:dyDescent="0.2">
      <c r="A66" s="22">
        <v>3</v>
      </c>
      <c r="B66" s="23" t="s">
        <v>74</v>
      </c>
      <c r="C66" s="24">
        <v>879</v>
      </c>
      <c r="D66" s="8">
        <v>2.5</v>
      </c>
      <c r="E66" s="8" t="s">
        <v>123</v>
      </c>
      <c r="F66" s="8" t="s">
        <v>123</v>
      </c>
      <c r="G66" s="8">
        <f t="shared" si="0"/>
        <v>2.5</v>
      </c>
      <c r="H66" s="8" t="s">
        <v>152</v>
      </c>
    </row>
    <row r="67" spans="1:9" x14ac:dyDescent="0.2">
      <c r="A67" s="22">
        <v>3</v>
      </c>
      <c r="B67" s="23" t="s">
        <v>74</v>
      </c>
      <c r="C67" s="24">
        <v>887</v>
      </c>
      <c r="D67" s="8">
        <v>2.4</v>
      </c>
      <c r="E67" s="8">
        <v>2.4</v>
      </c>
      <c r="F67" s="8" t="s">
        <v>123</v>
      </c>
      <c r="G67" s="8">
        <f t="shared" si="0"/>
        <v>2.4</v>
      </c>
      <c r="H67" s="8" t="s">
        <v>123</v>
      </c>
    </row>
    <row r="68" spans="1:9" x14ac:dyDescent="0.2">
      <c r="A68" s="22">
        <v>3</v>
      </c>
      <c r="B68" s="23" t="s">
        <v>74</v>
      </c>
      <c r="C68" s="24">
        <v>888</v>
      </c>
      <c r="D68" s="8">
        <v>1.1000000000000001</v>
      </c>
      <c r="E68" s="8">
        <v>1.1000000000000001</v>
      </c>
      <c r="F68" s="8" t="s">
        <v>123</v>
      </c>
      <c r="G68" s="8">
        <f t="shared" si="0"/>
        <v>1.1000000000000001</v>
      </c>
      <c r="H68" s="8" t="s">
        <v>123</v>
      </c>
    </row>
    <row r="69" spans="1:9" x14ac:dyDescent="0.2">
      <c r="A69" s="13">
        <v>4</v>
      </c>
      <c r="B69" s="14" t="s">
        <v>104</v>
      </c>
      <c r="C69" s="15" t="s">
        <v>105</v>
      </c>
      <c r="D69" s="8">
        <v>3.7</v>
      </c>
      <c r="E69" s="8">
        <v>3.6</v>
      </c>
      <c r="F69" s="8">
        <v>3.6</v>
      </c>
      <c r="G69" s="8">
        <f t="shared" si="0"/>
        <v>3.63</v>
      </c>
      <c r="H69" s="8" t="s">
        <v>123</v>
      </c>
    </row>
    <row r="70" spans="1:9" x14ac:dyDescent="0.2">
      <c r="A70" s="16">
        <v>4</v>
      </c>
      <c r="B70" s="14" t="s">
        <v>104</v>
      </c>
      <c r="C70" s="18" t="s">
        <v>106</v>
      </c>
      <c r="D70" s="8">
        <v>2</v>
      </c>
      <c r="E70" s="8">
        <v>2.1</v>
      </c>
      <c r="F70" s="8">
        <v>2.1</v>
      </c>
      <c r="G70" s="8">
        <f t="shared" si="0"/>
        <v>2.0699999999999998</v>
      </c>
      <c r="H70" s="8" t="s">
        <v>123</v>
      </c>
    </row>
    <row r="71" spans="1:9" x14ac:dyDescent="0.2">
      <c r="A71" s="16">
        <v>4</v>
      </c>
      <c r="B71" s="14" t="s">
        <v>104</v>
      </c>
      <c r="C71" s="18" t="s">
        <v>107</v>
      </c>
      <c r="D71" s="8">
        <v>6.4</v>
      </c>
      <c r="E71" s="8">
        <v>6.4</v>
      </c>
      <c r="F71" s="8">
        <v>6.4</v>
      </c>
      <c r="G71" s="8">
        <f t="shared" si="0"/>
        <v>6.4</v>
      </c>
      <c r="H71" s="8" t="s">
        <v>123</v>
      </c>
    </row>
    <row r="72" spans="1:9" x14ac:dyDescent="0.2">
      <c r="A72" s="16">
        <v>4</v>
      </c>
      <c r="B72" s="14" t="s">
        <v>104</v>
      </c>
      <c r="C72" s="18" t="s">
        <v>108</v>
      </c>
      <c r="D72" s="8">
        <v>2.7</v>
      </c>
      <c r="E72" s="8">
        <v>2.6</v>
      </c>
      <c r="F72" s="8">
        <v>2.6</v>
      </c>
      <c r="G72" s="8">
        <f t="shared" si="0"/>
        <v>2.63</v>
      </c>
      <c r="H72" s="8" t="s">
        <v>123</v>
      </c>
    </row>
    <row r="73" spans="1:9" x14ac:dyDescent="0.2">
      <c r="A73" s="16">
        <v>4</v>
      </c>
      <c r="B73" s="14" t="s">
        <v>104</v>
      </c>
      <c r="C73" s="18" t="s">
        <v>109</v>
      </c>
      <c r="D73" s="8">
        <v>3.4</v>
      </c>
      <c r="E73" s="8" t="s">
        <v>123</v>
      </c>
      <c r="F73" s="8" t="s">
        <v>123</v>
      </c>
      <c r="G73" s="8">
        <f t="shared" si="0"/>
        <v>3.4</v>
      </c>
      <c r="H73" s="8" t="s">
        <v>123</v>
      </c>
    </row>
    <row r="74" spans="1:9" x14ac:dyDescent="0.2">
      <c r="A74" s="16">
        <v>4</v>
      </c>
      <c r="B74" s="14" t="s">
        <v>104</v>
      </c>
      <c r="C74" s="18" t="s">
        <v>110</v>
      </c>
      <c r="D74" s="8">
        <v>2.5</v>
      </c>
      <c r="E74" s="8">
        <v>2.5</v>
      </c>
      <c r="F74" s="8" t="s">
        <v>123</v>
      </c>
      <c r="G74" s="8">
        <f t="shared" ref="G74:G102" si="1">IF(D74="NA","NA",ROUND(AVERAGE(D74:F74),2))</f>
        <v>2.5</v>
      </c>
      <c r="H74" s="8" t="s">
        <v>123</v>
      </c>
    </row>
    <row r="75" spans="1:9" x14ac:dyDescent="0.2">
      <c r="A75" s="16">
        <v>4</v>
      </c>
      <c r="B75" s="14" t="s">
        <v>104</v>
      </c>
      <c r="C75" s="18" t="s">
        <v>111</v>
      </c>
      <c r="D75" s="8">
        <v>1.3</v>
      </c>
      <c r="E75" s="8">
        <v>1.2</v>
      </c>
      <c r="F75" s="8">
        <v>1.2</v>
      </c>
      <c r="G75" s="8">
        <f t="shared" si="1"/>
        <v>1.23</v>
      </c>
      <c r="H75" s="8" t="s">
        <v>123</v>
      </c>
    </row>
    <row r="76" spans="1:9" x14ac:dyDescent="0.2">
      <c r="A76" s="16">
        <v>4</v>
      </c>
      <c r="B76" s="14" t="s">
        <v>104</v>
      </c>
      <c r="C76" s="18" t="s">
        <v>112</v>
      </c>
      <c r="D76" s="8">
        <v>2.2000000000000002</v>
      </c>
      <c r="E76" s="8">
        <v>2.4</v>
      </c>
      <c r="F76" s="8">
        <v>2.5</v>
      </c>
      <c r="G76" s="8">
        <f t="shared" si="1"/>
        <v>2.37</v>
      </c>
      <c r="H76" s="8" t="s">
        <v>123</v>
      </c>
    </row>
    <row r="77" spans="1:9" x14ac:dyDescent="0.2">
      <c r="A77" s="16">
        <v>4</v>
      </c>
      <c r="B77" s="14" t="s">
        <v>104</v>
      </c>
      <c r="C77" s="18" t="s">
        <v>113</v>
      </c>
      <c r="D77" s="8">
        <v>2.5</v>
      </c>
      <c r="E77" s="8">
        <v>2.8</v>
      </c>
      <c r="F77" s="8">
        <v>2.8</v>
      </c>
      <c r="G77" s="8">
        <f t="shared" si="1"/>
        <v>2.7</v>
      </c>
      <c r="H77" s="8" t="s">
        <v>123</v>
      </c>
      <c r="I77" s="56"/>
    </row>
    <row r="78" spans="1:9" x14ac:dyDescent="0.2">
      <c r="A78" s="16">
        <v>4</v>
      </c>
      <c r="B78" s="14" t="s">
        <v>104</v>
      </c>
      <c r="C78" s="18" t="s">
        <v>114</v>
      </c>
      <c r="D78" s="8">
        <v>2.7</v>
      </c>
      <c r="E78" s="8">
        <v>2.8</v>
      </c>
      <c r="F78" s="8">
        <v>2.8</v>
      </c>
      <c r="G78" s="8">
        <f t="shared" si="1"/>
        <v>2.77</v>
      </c>
      <c r="H78" s="8" t="s">
        <v>123</v>
      </c>
    </row>
    <row r="79" spans="1:9" x14ac:dyDescent="0.2">
      <c r="A79" s="16">
        <v>4</v>
      </c>
      <c r="B79" s="14" t="s">
        <v>104</v>
      </c>
      <c r="C79" s="18" t="s">
        <v>115</v>
      </c>
      <c r="D79" s="8">
        <v>3.8</v>
      </c>
      <c r="E79" s="8">
        <v>3.6</v>
      </c>
      <c r="F79" s="8">
        <v>3.6</v>
      </c>
      <c r="G79" s="8">
        <f t="shared" si="1"/>
        <v>3.67</v>
      </c>
      <c r="H79" s="8" t="s">
        <v>123</v>
      </c>
    </row>
    <row r="80" spans="1:9" x14ac:dyDescent="0.2">
      <c r="A80" s="16">
        <v>4</v>
      </c>
      <c r="B80" s="14" t="s">
        <v>104</v>
      </c>
      <c r="C80" s="18" t="s">
        <v>116</v>
      </c>
      <c r="D80" s="8" t="s">
        <v>123</v>
      </c>
      <c r="E80" s="8" t="s">
        <v>123</v>
      </c>
      <c r="F80" s="8" t="s">
        <v>123</v>
      </c>
      <c r="G80" s="8" t="str">
        <f t="shared" si="1"/>
        <v>NA</v>
      </c>
      <c r="H80" s="8" t="s">
        <v>153</v>
      </c>
    </row>
    <row r="81" spans="1:8" x14ac:dyDescent="0.2">
      <c r="A81" s="16">
        <v>4</v>
      </c>
      <c r="B81" s="14" t="s">
        <v>104</v>
      </c>
      <c r="C81" s="18" t="s">
        <v>117</v>
      </c>
      <c r="D81" s="8">
        <v>2.7</v>
      </c>
      <c r="E81" s="8">
        <v>2.7</v>
      </c>
      <c r="F81" s="8" t="s">
        <v>123</v>
      </c>
      <c r="G81" s="8">
        <f t="shared" si="1"/>
        <v>2.7</v>
      </c>
      <c r="H81" s="8" t="s">
        <v>123</v>
      </c>
    </row>
    <row r="82" spans="1:8" x14ac:dyDescent="0.2">
      <c r="A82" s="16">
        <v>4</v>
      </c>
      <c r="B82" s="14" t="s">
        <v>104</v>
      </c>
      <c r="C82" s="18" t="s">
        <v>118</v>
      </c>
      <c r="D82" s="8">
        <v>2.6</v>
      </c>
      <c r="E82" s="8">
        <v>2.7</v>
      </c>
      <c r="F82" s="8">
        <v>2.8</v>
      </c>
      <c r="G82" s="8">
        <f t="shared" si="1"/>
        <v>2.7</v>
      </c>
      <c r="H82" s="8" t="s">
        <v>123</v>
      </c>
    </row>
    <row r="83" spans="1:8" x14ac:dyDescent="0.2">
      <c r="A83" s="16">
        <v>4</v>
      </c>
      <c r="B83" s="14" t="s">
        <v>104</v>
      </c>
      <c r="C83" s="18" t="s">
        <v>119</v>
      </c>
      <c r="D83" s="8" t="s">
        <v>123</v>
      </c>
      <c r="E83" s="8" t="s">
        <v>123</v>
      </c>
      <c r="F83" s="8" t="s">
        <v>123</v>
      </c>
      <c r="G83" s="8" t="str">
        <f t="shared" si="1"/>
        <v>NA</v>
      </c>
      <c r="H83" s="8" t="s">
        <v>153</v>
      </c>
    </row>
    <row r="84" spans="1:8" x14ac:dyDescent="0.2">
      <c r="A84" s="16">
        <v>4</v>
      </c>
      <c r="B84" s="14" t="s">
        <v>104</v>
      </c>
      <c r="C84" s="18" t="s">
        <v>120</v>
      </c>
      <c r="D84" s="55">
        <v>2.7</v>
      </c>
      <c r="E84" s="55">
        <v>2.7</v>
      </c>
      <c r="F84" s="55" t="s">
        <v>123</v>
      </c>
      <c r="G84" s="8">
        <f t="shared" si="1"/>
        <v>2.7</v>
      </c>
      <c r="H84" s="8" t="s">
        <v>123</v>
      </c>
    </row>
    <row r="85" spans="1:8" x14ac:dyDescent="0.2">
      <c r="A85" s="16">
        <v>4</v>
      </c>
      <c r="B85" s="14" t="s">
        <v>104</v>
      </c>
      <c r="C85" s="18" t="s">
        <v>121</v>
      </c>
      <c r="D85" s="8">
        <v>2.8</v>
      </c>
      <c r="E85" s="8">
        <v>2.9</v>
      </c>
      <c r="F85" s="8">
        <v>2.9</v>
      </c>
      <c r="G85" s="8">
        <f t="shared" si="1"/>
        <v>2.87</v>
      </c>
      <c r="H85" s="8" t="s">
        <v>123</v>
      </c>
    </row>
    <row r="86" spans="1:8" x14ac:dyDescent="0.2">
      <c r="A86" s="16">
        <v>4</v>
      </c>
      <c r="B86" s="14" t="s">
        <v>104</v>
      </c>
      <c r="C86" s="18" t="s">
        <v>122</v>
      </c>
      <c r="D86" s="8" t="s">
        <v>123</v>
      </c>
      <c r="E86" s="8" t="s">
        <v>123</v>
      </c>
      <c r="F86" s="8" t="s">
        <v>123</v>
      </c>
      <c r="G86" s="8" t="str">
        <f t="shared" si="1"/>
        <v>NA</v>
      </c>
      <c r="H86" s="8" t="s">
        <v>154</v>
      </c>
    </row>
    <row r="87" spans="1:8" x14ac:dyDescent="0.2">
      <c r="A87" s="16">
        <v>4</v>
      </c>
      <c r="B87" s="14" t="s">
        <v>104</v>
      </c>
      <c r="C87" s="18" t="s">
        <v>124</v>
      </c>
      <c r="D87" s="8">
        <v>1.5</v>
      </c>
      <c r="E87" s="8">
        <v>1.6</v>
      </c>
      <c r="F87" s="8">
        <v>1.6</v>
      </c>
      <c r="G87" s="8">
        <f t="shared" si="1"/>
        <v>1.57</v>
      </c>
      <c r="H87" s="8" t="s">
        <v>123</v>
      </c>
    </row>
    <row r="88" spans="1:8" x14ac:dyDescent="0.2">
      <c r="A88" s="16">
        <v>4</v>
      </c>
      <c r="B88" s="14" t="s">
        <v>104</v>
      </c>
      <c r="C88" s="18" t="s">
        <v>125</v>
      </c>
      <c r="D88" s="8">
        <v>2.2999999999999998</v>
      </c>
      <c r="E88" s="8">
        <v>2.9</v>
      </c>
      <c r="F88" s="8">
        <v>2.9</v>
      </c>
      <c r="G88" s="8">
        <f t="shared" si="1"/>
        <v>2.7</v>
      </c>
      <c r="H88" s="8" t="s">
        <v>123</v>
      </c>
    </row>
    <row r="89" spans="1:8" x14ac:dyDescent="0.2">
      <c r="A89" s="16">
        <v>4</v>
      </c>
      <c r="B89" s="14" t="s">
        <v>104</v>
      </c>
      <c r="C89" s="18" t="s">
        <v>126</v>
      </c>
      <c r="D89" s="8">
        <v>1.7</v>
      </c>
      <c r="E89" s="8">
        <v>1.8</v>
      </c>
      <c r="F89" s="8">
        <v>1.8</v>
      </c>
      <c r="G89" s="8">
        <f t="shared" si="1"/>
        <v>1.77</v>
      </c>
      <c r="H89" s="8" t="s">
        <v>123</v>
      </c>
    </row>
    <row r="90" spans="1:8" x14ac:dyDescent="0.2">
      <c r="A90" s="16">
        <v>4</v>
      </c>
      <c r="B90" s="14" t="s">
        <v>104</v>
      </c>
      <c r="C90" s="18" t="s">
        <v>127</v>
      </c>
      <c r="D90" s="8">
        <v>2.7</v>
      </c>
      <c r="E90" s="8">
        <v>2.8</v>
      </c>
      <c r="F90" s="8">
        <v>2.8</v>
      </c>
      <c r="G90" s="8">
        <f t="shared" si="1"/>
        <v>2.77</v>
      </c>
      <c r="H90" s="8" t="s">
        <v>123</v>
      </c>
    </row>
    <row r="91" spans="1:8" x14ac:dyDescent="0.2">
      <c r="A91" s="16">
        <v>4</v>
      </c>
      <c r="B91" s="14" t="s">
        <v>104</v>
      </c>
      <c r="C91" s="18" t="s">
        <v>128</v>
      </c>
      <c r="D91" s="8" t="s">
        <v>123</v>
      </c>
      <c r="E91" s="8" t="s">
        <v>123</v>
      </c>
      <c r="F91" s="8" t="s">
        <v>123</v>
      </c>
      <c r="G91" s="8" t="str">
        <f t="shared" si="1"/>
        <v>NA</v>
      </c>
      <c r="H91" s="8" t="s">
        <v>123</v>
      </c>
    </row>
    <row r="92" spans="1:8" x14ac:dyDescent="0.2">
      <c r="A92" s="16">
        <v>4</v>
      </c>
      <c r="B92" s="14" t="s">
        <v>104</v>
      </c>
      <c r="C92" s="18" t="s">
        <v>129</v>
      </c>
      <c r="D92" s="8">
        <v>3.3</v>
      </c>
      <c r="E92" s="8">
        <v>3.2</v>
      </c>
      <c r="F92" s="8">
        <v>3.3</v>
      </c>
      <c r="G92" s="8">
        <f t="shared" si="1"/>
        <v>3.27</v>
      </c>
      <c r="H92" s="8" t="s">
        <v>123</v>
      </c>
    </row>
    <row r="93" spans="1:8" x14ac:dyDescent="0.2">
      <c r="A93" s="16">
        <v>4</v>
      </c>
      <c r="B93" s="14" t="s">
        <v>104</v>
      </c>
      <c r="C93" s="18" t="s">
        <v>130</v>
      </c>
      <c r="D93" s="8">
        <v>2.8</v>
      </c>
      <c r="E93" s="8">
        <v>2.8</v>
      </c>
      <c r="F93" s="8">
        <v>2.8</v>
      </c>
      <c r="G93" s="8">
        <f t="shared" si="1"/>
        <v>2.8</v>
      </c>
      <c r="H93" s="8" t="s">
        <v>123</v>
      </c>
    </row>
    <row r="94" spans="1:8" x14ac:dyDescent="0.2">
      <c r="A94" s="16">
        <v>4</v>
      </c>
      <c r="B94" s="14" t="s">
        <v>104</v>
      </c>
      <c r="C94" s="18" t="s">
        <v>131</v>
      </c>
      <c r="D94" s="8">
        <v>2.4</v>
      </c>
      <c r="E94" s="8">
        <v>2.2999999999999998</v>
      </c>
      <c r="F94" s="8">
        <v>2.2999999999999998</v>
      </c>
      <c r="G94" s="8">
        <f t="shared" si="1"/>
        <v>2.33</v>
      </c>
      <c r="H94" s="8" t="s">
        <v>123</v>
      </c>
    </row>
    <row r="95" spans="1:8" x14ac:dyDescent="0.2">
      <c r="A95" s="16">
        <v>4</v>
      </c>
      <c r="B95" s="14" t="s">
        <v>104</v>
      </c>
      <c r="C95" s="18" t="s">
        <v>132</v>
      </c>
      <c r="D95" s="8">
        <v>1.9</v>
      </c>
      <c r="E95" s="8">
        <v>1.8</v>
      </c>
      <c r="F95" s="8">
        <v>1.9</v>
      </c>
      <c r="G95" s="8">
        <f t="shared" si="1"/>
        <v>1.87</v>
      </c>
      <c r="H95" s="8" t="s">
        <v>123</v>
      </c>
    </row>
    <row r="96" spans="1:8" x14ac:dyDescent="0.2">
      <c r="A96" s="16">
        <v>4</v>
      </c>
      <c r="B96" s="14" t="s">
        <v>104</v>
      </c>
      <c r="C96" s="18" t="s">
        <v>133</v>
      </c>
      <c r="D96" s="8">
        <v>2.2999999999999998</v>
      </c>
      <c r="E96" s="8">
        <v>2.2999999999999998</v>
      </c>
      <c r="F96" s="8" t="s">
        <v>123</v>
      </c>
      <c r="G96" s="8">
        <f t="shared" si="1"/>
        <v>2.2999999999999998</v>
      </c>
      <c r="H96" s="8" t="s">
        <v>123</v>
      </c>
    </row>
    <row r="97" spans="1:8" x14ac:dyDescent="0.2">
      <c r="A97" s="16">
        <v>4</v>
      </c>
      <c r="B97" s="14" t="s">
        <v>104</v>
      </c>
      <c r="C97" s="18" t="s">
        <v>134</v>
      </c>
      <c r="D97" s="8">
        <v>2.2000000000000002</v>
      </c>
      <c r="E97" s="8">
        <v>2.2000000000000002</v>
      </c>
      <c r="F97" s="8" t="s">
        <v>123</v>
      </c>
      <c r="G97" s="8">
        <f t="shared" si="1"/>
        <v>2.2000000000000002</v>
      </c>
      <c r="H97" s="8" t="s">
        <v>123</v>
      </c>
    </row>
    <row r="98" spans="1:8" x14ac:dyDescent="0.2">
      <c r="A98" s="17">
        <v>4</v>
      </c>
      <c r="B98" s="17" t="s">
        <v>104</v>
      </c>
      <c r="C98" s="17" t="s">
        <v>135</v>
      </c>
      <c r="D98" s="8">
        <v>2.8</v>
      </c>
      <c r="E98" s="8">
        <v>2.7</v>
      </c>
      <c r="F98" s="8">
        <v>2.8</v>
      </c>
      <c r="G98" s="8">
        <f t="shared" si="1"/>
        <v>2.77</v>
      </c>
      <c r="H98" s="8" t="s">
        <v>123</v>
      </c>
    </row>
    <row r="99" spans="1:8" x14ac:dyDescent="0.2">
      <c r="A99" s="17">
        <v>4</v>
      </c>
      <c r="B99" s="17" t="s">
        <v>104</v>
      </c>
      <c r="C99" s="17" t="s">
        <v>136</v>
      </c>
      <c r="D99" s="8">
        <v>2.1</v>
      </c>
      <c r="E99" s="8">
        <v>2</v>
      </c>
      <c r="F99" s="8">
        <v>2</v>
      </c>
      <c r="G99" s="8">
        <f t="shared" si="1"/>
        <v>2.0299999999999998</v>
      </c>
      <c r="H99" s="8" t="s">
        <v>123</v>
      </c>
    </row>
    <row r="100" spans="1:8" x14ac:dyDescent="0.2">
      <c r="A100" s="17">
        <v>4</v>
      </c>
      <c r="B100" s="17" t="s">
        <v>104</v>
      </c>
      <c r="C100" s="17" t="s">
        <v>137</v>
      </c>
      <c r="D100" s="8">
        <v>2.2999999999999998</v>
      </c>
      <c r="E100" s="8">
        <v>2.2999999999999998</v>
      </c>
      <c r="F100" s="8">
        <v>2.2999999999999998</v>
      </c>
      <c r="G100" s="8">
        <f t="shared" si="1"/>
        <v>2.2999999999999998</v>
      </c>
      <c r="H100" s="8" t="s">
        <v>123</v>
      </c>
    </row>
    <row r="101" spans="1:8" x14ac:dyDescent="0.2">
      <c r="A101" s="17">
        <v>4</v>
      </c>
      <c r="B101" s="17" t="s">
        <v>104</v>
      </c>
      <c r="C101" s="17" t="s">
        <v>138</v>
      </c>
      <c r="D101" s="8">
        <v>2.9</v>
      </c>
      <c r="E101" s="8">
        <v>3</v>
      </c>
      <c r="F101" s="8">
        <v>3</v>
      </c>
      <c r="G101" s="8">
        <f t="shared" si="1"/>
        <v>2.97</v>
      </c>
      <c r="H101" s="8" t="s">
        <v>123</v>
      </c>
    </row>
    <row r="102" spans="1:8" x14ac:dyDescent="0.2">
      <c r="A102" s="17">
        <v>4</v>
      </c>
      <c r="B102" s="17" t="s">
        <v>104</v>
      </c>
      <c r="C102" s="17" t="s">
        <v>139</v>
      </c>
      <c r="D102" s="8">
        <v>1.6</v>
      </c>
      <c r="E102" s="8">
        <v>1.5</v>
      </c>
      <c r="F102" s="8">
        <v>1.6</v>
      </c>
      <c r="G102" s="8">
        <f t="shared" si="1"/>
        <v>1.57</v>
      </c>
      <c r="H102" s="8" t="s">
        <v>123</v>
      </c>
    </row>
  </sheetData>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B1057-B3C6-E94F-8FD2-5EDF516C156C}">
  <dimension ref="A1:S102"/>
  <sheetViews>
    <sheetView workbookViewId="0">
      <selection activeCell="G1" sqref="G1:G1048576"/>
    </sheetView>
  </sheetViews>
  <sheetFormatPr baseColWidth="10" defaultColWidth="8.83203125" defaultRowHeight="15" x14ac:dyDescent="0.2"/>
  <cols>
    <col min="4" max="6" width="10.6640625" customWidth="1"/>
    <col min="7" max="7" width="8.83203125" customWidth="1"/>
    <col min="8" max="8" width="26.6640625" customWidth="1"/>
  </cols>
  <sheetData>
    <row r="1" spans="1:19" ht="19" x14ac:dyDescent="0.25">
      <c r="A1" s="12" t="s">
        <v>0</v>
      </c>
      <c r="B1" s="12"/>
      <c r="C1" s="12"/>
      <c r="D1" s="12"/>
      <c r="E1" s="12"/>
      <c r="G1" s="12"/>
      <c r="H1" s="12"/>
      <c r="I1" s="12"/>
      <c r="J1" s="12"/>
      <c r="L1" s="12"/>
    </row>
    <row r="2" spans="1:19" ht="19" x14ac:dyDescent="0.25">
      <c r="A2" s="12"/>
      <c r="B2" s="12"/>
      <c r="C2" s="12"/>
      <c r="D2" s="12"/>
      <c r="E2" s="12"/>
      <c r="G2" s="12"/>
      <c r="H2" s="12"/>
      <c r="I2" s="12"/>
      <c r="J2" s="12"/>
      <c r="K2" s="12"/>
      <c r="L2" s="12"/>
    </row>
    <row r="3" spans="1:19" ht="19" x14ac:dyDescent="0.25">
      <c r="A3" s="12" t="s">
        <v>155</v>
      </c>
      <c r="B3" s="12"/>
      <c r="C3" s="12"/>
      <c r="D3" s="12"/>
      <c r="E3" s="12"/>
      <c r="G3" s="12"/>
      <c r="H3" s="12"/>
      <c r="I3" s="12"/>
      <c r="J3" s="12"/>
      <c r="K3" s="12"/>
      <c r="L3" s="12"/>
    </row>
    <row r="4" spans="1:19" ht="19" x14ac:dyDescent="0.25">
      <c r="A4" s="12"/>
      <c r="B4" s="12"/>
      <c r="C4" s="12"/>
      <c r="D4" s="12"/>
      <c r="E4" s="12"/>
      <c r="G4" s="12"/>
      <c r="H4" s="12"/>
      <c r="I4" s="12"/>
      <c r="J4" s="12"/>
      <c r="K4" s="12"/>
      <c r="L4" s="12"/>
    </row>
    <row r="5" spans="1:19" ht="19" x14ac:dyDescent="0.25">
      <c r="A5" s="12" t="s">
        <v>156</v>
      </c>
      <c r="B5" s="12"/>
      <c r="C5" s="12"/>
      <c r="D5" s="12"/>
      <c r="E5" s="12"/>
      <c r="G5" s="12"/>
      <c r="H5" s="12"/>
      <c r="I5" s="12"/>
      <c r="J5" s="12"/>
      <c r="K5" s="12"/>
      <c r="L5" s="12"/>
    </row>
    <row r="6" spans="1:19" ht="19" x14ac:dyDescent="0.25">
      <c r="A6" s="12" t="s">
        <v>157</v>
      </c>
      <c r="B6" s="12"/>
      <c r="C6" s="12"/>
      <c r="D6" s="12"/>
      <c r="E6" s="12"/>
      <c r="G6" s="12"/>
      <c r="H6" s="12"/>
      <c r="I6" s="12"/>
      <c r="J6" s="12"/>
      <c r="K6" s="12"/>
      <c r="L6" s="12"/>
    </row>
    <row r="8" spans="1:19" ht="41" thickBot="1" x14ac:dyDescent="0.25">
      <c r="A8" s="1" t="s">
        <v>4</v>
      </c>
      <c r="B8" s="2" t="s">
        <v>5</v>
      </c>
      <c r="C8" s="6" t="s">
        <v>7</v>
      </c>
      <c r="D8" s="7" t="s">
        <v>8</v>
      </c>
      <c r="E8" s="7" t="s">
        <v>8</v>
      </c>
      <c r="F8" s="7" t="s">
        <v>8</v>
      </c>
      <c r="G8" s="7" t="s">
        <v>9</v>
      </c>
      <c r="H8" s="7" t="s">
        <v>10</v>
      </c>
      <c r="J8" s="34"/>
      <c r="K8" s="34"/>
      <c r="L8" s="34"/>
      <c r="M8" s="34"/>
      <c r="N8" s="34"/>
      <c r="O8" s="34"/>
      <c r="P8" s="34"/>
      <c r="Q8" s="34"/>
      <c r="R8" s="34"/>
      <c r="S8" s="34"/>
    </row>
    <row r="9" spans="1:19" x14ac:dyDescent="0.2">
      <c r="A9" s="3">
        <v>2</v>
      </c>
      <c r="B9" s="3" t="s">
        <v>42</v>
      </c>
      <c r="C9" s="9">
        <v>800</v>
      </c>
      <c r="D9" s="8">
        <v>2</v>
      </c>
      <c r="E9" s="8">
        <v>2.1</v>
      </c>
      <c r="F9" s="8">
        <v>2.1</v>
      </c>
      <c r="G9" s="8">
        <f>IF(D9="NA","NA",ROUND(AVERAGE(D9:F9),2))</f>
        <v>2.0699999999999998</v>
      </c>
      <c r="H9" s="8" t="s">
        <v>123</v>
      </c>
    </row>
    <row r="10" spans="1:19" x14ac:dyDescent="0.2">
      <c r="A10" s="4">
        <v>2</v>
      </c>
      <c r="B10" s="4" t="s">
        <v>42</v>
      </c>
      <c r="C10" s="10">
        <v>801</v>
      </c>
      <c r="D10" s="8">
        <v>1.6</v>
      </c>
      <c r="E10" s="8">
        <v>1.6</v>
      </c>
      <c r="F10" s="8">
        <v>1.6</v>
      </c>
      <c r="G10" s="8">
        <f t="shared" ref="G10:G73" si="0">IF(D10="NA","NA",ROUND(AVERAGE(D10:F10),2))</f>
        <v>1.6</v>
      </c>
      <c r="H10" s="8" t="s">
        <v>123</v>
      </c>
    </row>
    <row r="11" spans="1:19" x14ac:dyDescent="0.2">
      <c r="A11" s="4">
        <v>2</v>
      </c>
      <c r="B11" s="4" t="s">
        <v>42</v>
      </c>
      <c r="C11" s="10">
        <v>804</v>
      </c>
      <c r="D11" s="8">
        <v>2</v>
      </c>
      <c r="E11" s="8">
        <v>2</v>
      </c>
      <c r="F11" s="8">
        <v>2</v>
      </c>
      <c r="G11" s="8">
        <f t="shared" si="0"/>
        <v>2</v>
      </c>
      <c r="H11" s="8" t="s">
        <v>123</v>
      </c>
    </row>
    <row r="12" spans="1:19" x14ac:dyDescent="0.2">
      <c r="A12" s="4">
        <v>2</v>
      </c>
      <c r="B12" s="4" t="s">
        <v>42</v>
      </c>
      <c r="C12" s="10">
        <v>806</v>
      </c>
      <c r="D12" s="8">
        <v>1.7</v>
      </c>
      <c r="E12" s="8">
        <v>1.7</v>
      </c>
      <c r="F12" s="8">
        <v>1.7</v>
      </c>
      <c r="G12" s="8">
        <f t="shared" si="0"/>
        <v>1.7</v>
      </c>
      <c r="H12" s="8" t="s">
        <v>123</v>
      </c>
    </row>
    <row r="13" spans="1:19" x14ac:dyDescent="0.2">
      <c r="A13" s="4">
        <v>2</v>
      </c>
      <c r="B13" s="4" t="s">
        <v>42</v>
      </c>
      <c r="C13" s="10">
        <v>809</v>
      </c>
      <c r="D13" s="8">
        <v>3</v>
      </c>
      <c r="E13" s="8">
        <v>3.1</v>
      </c>
      <c r="F13" s="8">
        <v>3</v>
      </c>
      <c r="G13" s="8">
        <f t="shared" si="0"/>
        <v>3.03</v>
      </c>
      <c r="H13" s="8" t="s">
        <v>123</v>
      </c>
    </row>
    <row r="14" spans="1:19" x14ac:dyDescent="0.2">
      <c r="A14" s="4">
        <v>2</v>
      </c>
      <c r="B14" s="4" t="s">
        <v>42</v>
      </c>
      <c r="C14" s="10">
        <v>810</v>
      </c>
      <c r="D14" s="8">
        <v>3.7</v>
      </c>
      <c r="E14" s="8">
        <v>3.7</v>
      </c>
      <c r="F14" s="8">
        <v>3.7</v>
      </c>
      <c r="G14" s="8">
        <f t="shared" si="0"/>
        <v>3.7</v>
      </c>
      <c r="H14" s="8" t="s">
        <v>123</v>
      </c>
    </row>
    <row r="15" spans="1:19" x14ac:dyDescent="0.2">
      <c r="A15" s="4">
        <v>2</v>
      </c>
      <c r="B15" s="4" t="s">
        <v>42</v>
      </c>
      <c r="C15" s="10">
        <v>819</v>
      </c>
      <c r="D15" s="8" t="s">
        <v>123</v>
      </c>
      <c r="E15" s="8" t="s">
        <v>123</v>
      </c>
      <c r="F15" s="8" t="s">
        <v>123</v>
      </c>
      <c r="G15" s="8" t="str">
        <f t="shared" si="0"/>
        <v>NA</v>
      </c>
      <c r="H15" s="8" t="s">
        <v>123</v>
      </c>
    </row>
    <row r="16" spans="1:19" x14ac:dyDescent="0.2">
      <c r="A16" s="4">
        <v>2</v>
      </c>
      <c r="B16" s="4" t="s">
        <v>42</v>
      </c>
      <c r="C16" s="10">
        <v>822</v>
      </c>
      <c r="D16" s="8">
        <v>2.1</v>
      </c>
      <c r="E16" s="8">
        <v>2</v>
      </c>
      <c r="F16" s="8">
        <v>2.1</v>
      </c>
      <c r="G16" s="8">
        <f t="shared" si="0"/>
        <v>2.0699999999999998</v>
      </c>
      <c r="H16" s="8" t="s">
        <v>123</v>
      </c>
    </row>
    <row r="17" spans="1:8" x14ac:dyDescent="0.2">
      <c r="A17" s="4">
        <v>2</v>
      </c>
      <c r="B17" s="4" t="s">
        <v>42</v>
      </c>
      <c r="C17" s="10">
        <v>823</v>
      </c>
      <c r="D17" s="8">
        <v>2.5</v>
      </c>
      <c r="E17" s="8">
        <v>2.5</v>
      </c>
      <c r="F17" s="8">
        <v>2.5</v>
      </c>
      <c r="G17" s="8">
        <f t="shared" si="0"/>
        <v>2.5</v>
      </c>
      <c r="H17" s="8" t="s">
        <v>123</v>
      </c>
    </row>
    <row r="18" spans="1:8" x14ac:dyDescent="0.2">
      <c r="A18" s="4">
        <v>2</v>
      </c>
      <c r="B18" s="4" t="s">
        <v>42</v>
      </c>
      <c r="C18" s="10">
        <v>825</v>
      </c>
      <c r="D18" s="8">
        <v>2</v>
      </c>
      <c r="E18" s="8">
        <v>2</v>
      </c>
      <c r="F18" s="8">
        <v>2</v>
      </c>
      <c r="G18" s="8">
        <f t="shared" si="0"/>
        <v>2</v>
      </c>
      <c r="H18" s="8" t="s">
        <v>123</v>
      </c>
    </row>
    <row r="19" spans="1:8" x14ac:dyDescent="0.2">
      <c r="A19" s="4">
        <v>2</v>
      </c>
      <c r="B19" s="4" t="s">
        <v>42</v>
      </c>
      <c r="C19" s="10">
        <v>826</v>
      </c>
      <c r="D19" s="8">
        <v>2.2000000000000002</v>
      </c>
      <c r="E19" s="8">
        <v>2.2000000000000002</v>
      </c>
      <c r="F19" s="8">
        <v>2.2000000000000002</v>
      </c>
      <c r="G19" s="8">
        <f t="shared" si="0"/>
        <v>2.2000000000000002</v>
      </c>
      <c r="H19" s="8" t="s">
        <v>123</v>
      </c>
    </row>
    <row r="20" spans="1:8" x14ac:dyDescent="0.2">
      <c r="A20" s="4">
        <v>2</v>
      </c>
      <c r="B20" s="4" t="s">
        <v>42</v>
      </c>
      <c r="C20" s="10">
        <v>828</v>
      </c>
      <c r="D20" s="8">
        <v>1.7</v>
      </c>
      <c r="E20" s="8">
        <v>1.7</v>
      </c>
      <c r="F20" s="8">
        <v>1.7</v>
      </c>
      <c r="G20" s="8">
        <f t="shared" si="0"/>
        <v>1.7</v>
      </c>
      <c r="H20" s="8" t="s">
        <v>123</v>
      </c>
    </row>
    <row r="21" spans="1:8" x14ac:dyDescent="0.2">
      <c r="A21" s="4">
        <v>2</v>
      </c>
      <c r="B21" s="4" t="s">
        <v>42</v>
      </c>
      <c r="C21" s="10">
        <v>829</v>
      </c>
      <c r="D21" s="8">
        <v>2.1</v>
      </c>
      <c r="E21" s="8">
        <v>2.1</v>
      </c>
      <c r="F21" s="8">
        <v>2.1</v>
      </c>
      <c r="G21" s="8">
        <f t="shared" si="0"/>
        <v>2.1</v>
      </c>
      <c r="H21" s="8" t="s">
        <v>123</v>
      </c>
    </row>
    <row r="22" spans="1:8" x14ac:dyDescent="0.2">
      <c r="A22" s="4">
        <v>2</v>
      </c>
      <c r="B22" s="4" t="s">
        <v>42</v>
      </c>
      <c r="C22" s="10">
        <v>832</v>
      </c>
      <c r="D22" s="8">
        <v>1.9</v>
      </c>
      <c r="E22" s="8">
        <v>1.9</v>
      </c>
      <c r="F22" s="8">
        <v>1.9</v>
      </c>
      <c r="G22" s="8">
        <f t="shared" si="0"/>
        <v>1.9</v>
      </c>
      <c r="H22" s="8" t="s">
        <v>123</v>
      </c>
    </row>
    <row r="23" spans="1:8" x14ac:dyDescent="0.2">
      <c r="A23" s="4">
        <v>2</v>
      </c>
      <c r="B23" s="4" t="s">
        <v>42</v>
      </c>
      <c r="C23" s="10">
        <v>836</v>
      </c>
      <c r="D23" s="8">
        <v>2.2000000000000002</v>
      </c>
      <c r="E23" s="8">
        <v>2.2999999999999998</v>
      </c>
      <c r="F23" s="8">
        <v>2.2999999999999998</v>
      </c>
      <c r="G23" s="8">
        <f t="shared" si="0"/>
        <v>2.27</v>
      </c>
      <c r="H23" s="8" t="s">
        <v>123</v>
      </c>
    </row>
    <row r="24" spans="1:8" x14ac:dyDescent="0.2">
      <c r="A24" s="4">
        <v>2</v>
      </c>
      <c r="B24" s="4" t="s">
        <v>42</v>
      </c>
      <c r="C24" s="10">
        <v>839</v>
      </c>
      <c r="D24" s="8">
        <v>2.5</v>
      </c>
      <c r="E24" s="8">
        <v>2.5</v>
      </c>
      <c r="F24" s="8">
        <v>2.5</v>
      </c>
      <c r="G24" s="8">
        <f t="shared" si="0"/>
        <v>2.5</v>
      </c>
      <c r="H24" s="8" t="s">
        <v>123</v>
      </c>
    </row>
    <row r="25" spans="1:8" x14ac:dyDescent="0.2">
      <c r="A25" s="4">
        <v>2</v>
      </c>
      <c r="B25" s="4" t="s">
        <v>42</v>
      </c>
      <c r="C25" s="10">
        <v>840</v>
      </c>
      <c r="D25" s="8">
        <v>2.4</v>
      </c>
      <c r="E25" s="8">
        <v>2.5</v>
      </c>
      <c r="F25" s="8">
        <v>2.5</v>
      </c>
      <c r="G25" s="8">
        <f t="shared" si="0"/>
        <v>2.4700000000000002</v>
      </c>
      <c r="H25" s="8" t="s">
        <v>123</v>
      </c>
    </row>
    <row r="26" spans="1:8" x14ac:dyDescent="0.2">
      <c r="A26" s="4">
        <v>2</v>
      </c>
      <c r="B26" s="4" t="s">
        <v>42</v>
      </c>
      <c r="C26" s="10">
        <v>841</v>
      </c>
      <c r="D26" s="8">
        <v>2.1</v>
      </c>
      <c r="E26" s="8">
        <v>2</v>
      </c>
      <c r="F26" s="8">
        <v>2.1</v>
      </c>
      <c r="G26" s="8">
        <f t="shared" si="0"/>
        <v>2.0699999999999998</v>
      </c>
      <c r="H26" s="8" t="s">
        <v>123</v>
      </c>
    </row>
    <row r="27" spans="1:8" x14ac:dyDescent="0.2">
      <c r="A27" s="4">
        <v>2</v>
      </c>
      <c r="B27" s="4" t="s">
        <v>42</v>
      </c>
      <c r="C27" s="10">
        <v>843</v>
      </c>
      <c r="D27" s="8">
        <v>2.2000000000000002</v>
      </c>
      <c r="E27" s="8">
        <v>2.2000000000000002</v>
      </c>
      <c r="F27" s="8">
        <v>2.2000000000000002</v>
      </c>
      <c r="G27" s="8">
        <f t="shared" si="0"/>
        <v>2.2000000000000002</v>
      </c>
      <c r="H27" s="8" t="s">
        <v>123</v>
      </c>
    </row>
    <row r="28" spans="1:8" x14ac:dyDescent="0.2">
      <c r="A28" s="4">
        <v>2</v>
      </c>
      <c r="B28" s="4" t="s">
        <v>42</v>
      </c>
      <c r="C28" s="10">
        <v>850</v>
      </c>
      <c r="D28" s="8">
        <v>2.4</v>
      </c>
      <c r="E28" s="8">
        <v>3.1</v>
      </c>
      <c r="F28" s="8">
        <v>3.1</v>
      </c>
      <c r="G28" s="8">
        <f t="shared" si="0"/>
        <v>2.87</v>
      </c>
      <c r="H28" s="8" t="s">
        <v>123</v>
      </c>
    </row>
    <row r="29" spans="1:8" x14ac:dyDescent="0.2">
      <c r="A29" s="4">
        <v>2</v>
      </c>
      <c r="B29" s="4" t="s">
        <v>42</v>
      </c>
      <c r="C29" s="10">
        <v>852</v>
      </c>
      <c r="D29" s="8">
        <v>2.2000000000000002</v>
      </c>
      <c r="E29" s="8">
        <v>2.1</v>
      </c>
      <c r="F29" s="8">
        <v>2.1</v>
      </c>
      <c r="G29" s="8">
        <f t="shared" si="0"/>
        <v>2.13</v>
      </c>
      <c r="H29" s="8" t="s">
        <v>123</v>
      </c>
    </row>
    <row r="30" spans="1:8" x14ac:dyDescent="0.2">
      <c r="A30" s="4">
        <v>2</v>
      </c>
      <c r="B30" s="4" t="s">
        <v>42</v>
      </c>
      <c r="C30" s="10">
        <v>854</v>
      </c>
      <c r="D30" s="8">
        <v>1.7</v>
      </c>
      <c r="E30" s="8">
        <v>1.7</v>
      </c>
      <c r="F30" s="8">
        <v>1.7</v>
      </c>
      <c r="G30" s="8">
        <f t="shared" si="0"/>
        <v>1.7</v>
      </c>
      <c r="H30" s="8" t="s">
        <v>123</v>
      </c>
    </row>
    <row r="31" spans="1:8" x14ac:dyDescent="0.2">
      <c r="A31" s="4">
        <v>2</v>
      </c>
      <c r="B31" s="4" t="s">
        <v>42</v>
      </c>
      <c r="C31" s="10">
        <v>855</v>
      </c>
      <c r="D31" s="8">
        <v>2.2999999999999998</v>
      </c>
      <c r="E31" s="8">
        <v>2.2999999999999998</v>
      </c>
      <c r="F31" s="8">
        <v>2.2999999999999998</v>
      </c>
      <c r="G31" s="8">
        <f t="shared" si="0"/>
        <v>2.2999999999999998</v>
      </c>
      <c r="H31" s="8" t="s">
        <v>123</v>
      </c>
    </row>
    <row r="32" spans="1:8" x14ac:dyDescent="0.2">
      <c r="A32" s="4">
        <v>2</v>
      </c>
      <c r="B32" s="4" t="s">
        <v>42</v>
      </c>
      <c r="C32" s="10">
        <v>857</v>
      </c>
      <c r="D32" s="8">
        <v>2</v>
      </c>
      <c r="E32" s="8">
        <v>2.1</v>
      </c>
      <c r="F32" s="8">
        <v>2.1</v>
      </c>
      <c r="G32" s="8">
        <f t="shared" si="0"/>
        <v>2.0699999999999998</v>
      </c>
      <c r="H32" s="8" t="s">
        <v>123</v>
      </c>
    </row>
    <row r="33" spans="1:8" x14ac:dyDescent="0.2">
      <c r="A33" s="4">
        <v>2</v>
      </c>
      <c r="B33" s="4" t="s">
        <v>42</v>
      </c>
      <c r="C33" s="10">
        <v>858</v>
      </c>
      <c r="D33" s="8">
        <v>2.9</v>
      </c>
      <c r="E33" s="8">
        <v>2.9</v>
      </c>
      <c r="F33" s="8">
        <v>2.9</v>
      </c>
      <c r="G33" s="8">
        <f t="shared" si="0"/>
        <v>2.9</v>
      </c>
      <c r="H33" s="8" t="s">
        <v>123</v>
      </c>
    </row>
    <row r="34" spans="1:8" x14ac:dyDescent="0.2">
      <c r="A34" s="4">
        <v>2</v>
      </c>
      <c r="B34" s="4" t="s">
        <v>42</v>
      </c>
      <c r="C34" s="10">
        <v>870</v>
      </c>
      <c r="D34" s="8">
        <v>1.4</v>
      </c>
      <c r="E34" s="8">
        <v>1.4</v>
      </c>
      <c r="F34" s="8">
        <v>1.4</v>
      </c>
      <c r="G34" s="8">
        <f t="shared" si="0"/>
        <v>1.4</v>
      </c>
      <c r="H34" s="8" t="s">
        <v>123</v>
      </c>
    </row>
    <row r="35" spans="1:8" x14ac:dyDescent="0.2">
      <c r="A35" s="4">
        <v>2</v>
      </c>
      <c r="B35" s="4" t="s">
        <v>42</v>
      </c>
      <c r="C35" s="10">
        <v>875</v>
      </c>
      <c r="D35" s="8">
        <v>2.2999999999999998</v>
      </c>
      <c r="E35" s="8">
        <v>2.2999999999999998</v>
      </c>
      <c r="F35" s="8">
        <v>2.2999999999999998</v>
      </c>
      <c r="G35" s="8">
        <f t="shared" si="0"/>
        <v>2.2999999999999998</v>
      </c>
      <c r="H35" s="8" t="s">
        <v>123</v>
      </c>
    </row>
    <row r="36" spans="1:8" x14ac:dyDescent="0.2">
      <c r="A36" s="4">
        <v>2</v>
      </c>
      <c r="B36" s="4" t="s">
        <v>42</v>
      </c>
      <c r="C36" s="10">
        <v>880</v>
      </c>
      <c r="D36" s="8">
        <v>2.4</v>
      </c>
      <c r="E36" s="8">
        <v>2.2999999999999998</v>
      </c>
      <c r="F36" s="8">
        <v>2.2999999999999998</v>
      </c>
      <c r="G36" s="8">
        <f t="shared" si="0"/>
        <v>2.33</v>
      </c>
      <c r="H36" s="8" t="s">
        <v>158</v>
      </c>
    </row>
    <row r="37" spans="1:8" x14ac:dyDescent="0.2">
      <c r="A37" s="4">
        <v>2</v>
      </c>
      <c r="B37" s="4" t="s">
        <v>42</v>
      </c>
      <c r="C37" s="10">
        <v>883</v>
      </c>
      <c r="D37" s="8">
        <v>2</v>
      </c>
      <c r="E37" s="8">
        <v>2</v>
      </c>
      <c r="F37" s="8">
        <v>2</v>
      </c>
      <c r="G37" s="8">
        <f t="shared" si="0"/>
        <v>2</v>
      </c>
      <c r="H37" s="8" t="s">
        <v>158</v>
      </c>
    </row>
    <row r="38" spans="1:8" x14ac:dyDescent="0.2">
      <c r="A38" s="4">
        <v>2</v>
      </c>
      <c r="B38" s="4" t="s">
        <v>42</v>
      </c>
      <c r="C38" s="10">
        <v>884</v>
      </c>
      <c r="D38" s="8">
        <v>1.6</v>
      </c>
      <c r="E38" s="8">
        <v>1.5</v>
      </c>
      <c r="F38" s="8">
        <v>1.6</v>
      </c>
      <c r="G38" s="8">
        <f t="shared" si="0"/>
        <v>1.57</v>
      </c>
      <c r="H38" s="8" t="s">
        <v>158</v>
      </c>
    </row>
    <row r="39" spans="1:8" ht="16" thickBot="1" x14ac:dyDescent="0.25">
      <c r="A39" s="5">
        <v>2</v>
      </c>
      <c r="B39" s="5" t="s">
        <v>42</v>
      </c>
      <c r="C39" s="11">
        <v>886</v>
      </c>
      <c r="D39" s="8">
        <v>2.5</v>
      </c>
      <c r="E39" s="8">
        <v>2.4</v>
      </c>
      <c r="F39" s="8">
        <v>2.5</v>
      </c>
      <c r="G39" s="8">
        <f t="shared" si="0"/>
        <v>2.4700000000000002</v>
      </c>
      <c r="H39" s="8" t="s">
        <v>158</v>
      </c>
    </row>
    <row r="40" spans="1:8" x14ac:dyDescent="0.2">
      <c r="A40" s="19">
        <v>3</v>
      </c>
      <c r="B40" s="20" t="s">
        <v>74</v>
      </c>
      <c r="C40" s="21">
        <v>802</v>
      </c>
      <c r="D40" s="8">
        <v>1.7</v>
      </c>
      <c r="E40" s="8">
        <v>1.7</v>
      </c>
      <c r="F40" s="8">
        <v>1.7</v>
      </c>
      <c r="G40" s="8">
        <f t="shared" si="0"/>
        <v>1.7</v>
      </c>
      <c r="H40" s="8" t="s">
        <v>123</v>
      </c>
    </row>
    <row r="41" spans="1:8" x14ac:dyDescent="0.2">
      <c r="A41" s="22">
        <v>3</v>
      </c>
      <c r="B41" s="23" t="s">
        <v>74</v>
      </c>
      <c r="C41" s="24">
        <v>803</v>
      </c>
      <c r="D41" s="8">
        <v>2</v>
      </c>
      <c r="E41" s="8">
        <v>2</v>
      </c>
      <c r="F41" s="8">
        <v>2</v>
      </c>
      <c r="G41" s="8">
        <f t="shared" si="0"/>
        <v>2</v>
      </c>
      <c r="H41" s="8" t="s">
        <v>123</v>
      </c>
    </row>
    <row r="42" spans="1:8" x14ac:dyDescent="0.2">
      <c r="A42" s="22">
        <v>3</v>
      </c>
      <c r="B42" s="23" t="s">
        <v>74</v>
      </c>
      <c r="C42" s="24">
        <v>808</v>
      </c>
      <c r="D42" s="8">
        <v>1.5</v>
      </c>
      <c r="E42" s="8">
        <v>1.5</v>
      </c>
      <c r="F42" s="8">
        <v>1.5</v>
      </c>
      <c r="G42" s="8">
        <f t="shared" si="0"/>
        <v>1.5</v>
      </c>
      <c r="H42" s="8" t="s">
        <v>123</v>
      </c>
    </row>
    <row r="43" spans="1:8" x14ac:dyDescent="0.2">
      <c r="A43" s="22">
        <v>3</v>
      </c>
      <c r="B43" s="23" t="s">
        <v>74</v>
      </c>
      <c r="C43" s="24">
        <v>811</v>
      </c>
      <c r="D43" s="8">
        <v>2.5</v>
      </c>
      <c r="E43" s="8">
        <v>2.4</v>
      </c>
      <c r="F43" s="8" t="s">
        <v>123</v>
      </c>
      <c r="G43" s="8">
        <f t="shared" si="0"/>
        <v>2.4500000000000002</v>
      </c>
      <c r="H43" s="8" t="s">
        <v>123</v>
      </c>
    </row>
    <row r="44" spans="1:8" x14ac:dyDescent="0.2">
      <c r="A44" s="22">
        <v>3</v>
      </c>
      <c r="B44" s="23" t="s">
        <v>74</v>
      </c>
      <c r="C44" s="24">
        <v>812</v>
      </c>
      <c r="D44" s="8">
        <v>2</v>
      </c>
      <c r="E44" s="8">
        <v>1.9</v>
      </c>
      <c r="F44" s="8">
        <v>2</v>
      </c>
      <c r="G44" s="8">
        <f t="shared" si="0"/>
        <v>1.97</v>
      </c>
      <c r="H44" s="8" t="s">
        <v>123</v>
      </c>
    </row>
    <row r="45" spans="1:8" x14ac:dyDescent="0.2">
      <c r="A45" s="22">
        <v>3</v>
      </c>
      <c r="B45" s="23" t="s">
        <v>74</v>
      </c>
      <c r="C45" s="24">
        <v>815</v>
      </c>
      <c r="D45" s="8">
        <v>2.5</v>
      </c>
      <c r="E45" s="8">
        <v>2.4</v>
      </c>
      <c r="F45" s="8">
        <v>2.4</v>
      </c>
      <c r="G45" s="8">
        <f t="shared" si="0"/>
        <v>2.4300000000000002</v>
      </c>
      <c r="H45" s="8" t="s">
        <v>123</v>
      </c>
    </row>
    <row r="46" spans="1:8" x14ac:dyDescent="0.2">
      <c r="A46" s="22">
        <v>3</v>
      </c>
      <c r="B46" s="23" t="s">
        <v>74</v>
      </c>
      <c r="C46" s="24">
        <v>816</v>
      </c>
      <c r="D46" s="8">
        <v>2.1</v>
      </c>
      <c r="E46" s="8">
        <v>2.1</v>
      </c>
      <c r="F46" s="8">
        <v>2.1</v>
      </c>
      <c r="G46" s="8">
        <f t="shared" si="0"/>
        <v>2.1</v>
      </c>
      <c r="H46" s="8" t="s">
        <v>123</v>
      </c>
    </row>
    <row r="47" spans="1:8" x14ac:dyDescent="0.2">
      <c r="A47" s="22">
        <v>3</v>
      </c>
      <c r="B47" s="23" t="s">
        <v>74</v>
      </c>
      <c r="C47" s="24">
        <v>817</v>
      </c>
      <c r="D47" s="8">
        <v>2.2000000000000002</v>
      </c>
      <c r="E47" s="8">
        <v>1.6</v>
      </c>
      <c r="F47" s="8">
        <v>1.6</v>
      </c>
      <c r="G47" s="8">
        <f t="shared" si="0"/>
        <v>1.8</v>
      </c>
      <c r="H47" s="8" t="s">
        <v>123</v>
      </c>
    </row>
    <row r="48" spans="1:8" x14ac:dyDescent="0.2">
      <c r="A48" s="22">
        <v>3</v>
      </c>
      <c r="B48" s="23" t="s">
        <v>74</v>
      </c>
      <c r="C48" s="24">
        <v>818</v>
      </c>
      <c r="D48" s="8">
        <v>2</v>
      </c>
      <c r="E48" s="8">
        <v>2</v>
      </c>
      <c r="F48" s="8">
        <v>2</v>
      </c>
      <c r="G48" s="8">
        <f t="shared" si="0"/>
        <v>2</v>
      </c>
      <c r="H48" s="8" t="s">
        <v>123</v>
      </c>
    </row>
    <row r="49" spans="1:8" x14ac:dyDescent="0.2">
      <c r="A49" s="22">
        <v>3</v>
      </c>
      <c r="B49" s="23" t="s">
        <v>74</v>
      </c>
      <c r="C49" s="24">
        <v>833</v>
      </c>
      <c r="D49" s="8">
        <v>1.7</v>
      </c>
      <c r="E49" s="8">
        <v>1.7</v>
      </c>
      <c r="F49" s="8">
        <v>1.7</v>
      </c>
      <c r="G49" s="8">
        <f t="shared" si="0"/>
        <v>1.7</v>
      </c>
      <c r="H49" s="8" t="s">
        <v>123</v>
      </c>
    </row>
    <row r="50" spans="1:8" x14ac:dyDescent="0.2">
      <c r="A50" s="22">
        <v>3</v>
      </c>
      <c r="B50" s="23" t="s">
        <v>74</v>
      </c>
      <c r="C50" s="24">
        <v>834</v>
      </c>
      <c r="D50" s="8">
        <v>2</v>
      </c>
      <c r="E50" s="8">
        <v>2</v>
      </c>
      <c r="F50" s="8">
        <v>2</v>
      </c>
      <c r="G50" s="8">
        <f t="shared" si="0"/>
        <v>2</v>
      </c>
      <c r="H50" s="8" t="s">
        <v>123</v>
      </c>
    </row>
    <row r="51" spans="1:8" x14ac:dyDescent="0.2">
      <c r="A51" s="22">
        <v>3</v>
      </c>
      <c r="B51" s="23" t="s">
        <v>74</v>
      </c>
      <c r="C51" s="24">
        <v>835</v>
      </c>
      <c r="D51" s="8">
        <v>2.4</v>
      </c>
      <c r="E51" s="8">
        <v>2.4</v>
      </c>
      <c r="F51" s="8">
        <v>2.4</v>
      </c>
      <c r="G51" s="8">
        <f t="shared" si="0"/>
        <v>2.4</v>
      </c>
      <c r="H51" s="8" t="s">
        <v>123</v>
      </c>
    </row>
    <row r="52" spans="1:8" x14ac:dyDescent="0.2">
      <c r="A52" s="22">
        <v>3</v>
      </c>
      <c r="B52" s="23" t="s">
        <v>74</v>
      </c>
      <c r="C52" s="24">
        <v>844</v>
      </c>
      <c r="D52" s="8">
        <v>2.2000000000000002</v>
      </c>
      <c r="E52" s="8">
        <v>2.2000000000000002</v>
      </c>
      <c r="F52" s="8">
        <v>2.2000000000000002</v>
      </c>
      <c r="G52" s="8">
        <f t="shared" si="0"/>
        <v>2.2000000000000002</v>
      </c>
      <c r="H52" s="8" t="s">
        <v>123</v>
      </c>
    </row>
    <row r="53" spans="1:8" x14ac:dyDescent="0.2">
      <c r="A53" s="22">
        <v>3</v>
      </c>
      <c r="B53" s="23" t="s">
        <v>74</v>
      </c>
      <c r="C53" s="24">
        <v>845</v>
      </c>
      <c r="D53" s="8">
        <v>2.2000000000000002</v>
      </c>
      <c r="E53" s="8">
        <v>2.2000000000000002</v>
      </c>
      <c r="F53" s="8">
        <v>2.2000000000000002</v>
      </c>
      <c r="G53" s="8">
        <f t="shared" si="0"/>
        <v>2.2000000000000002</v>
      </c>
      <c r="H53" s="8" t="s">
        <v>123</v>
      </c>
    </row>
    <row r="54" spans="1:8" x14ac:dyDescent="0.2">
      <c r="A54" s="22">
        <v>3</v>
      </c>
      <c r="B54" s="23" t="s">
        <v>74</v>
      </c>
      <c r="C54" s="24">
        <v>846</v>
      </c>
      <c r="D54" s="8">
        <v>2.4</v>
      </c>
      <c r="E54" s="8">
        <v>2.4</v>
      </c>
      <c r="F54" s="8">
        <v>2.4</v>
      </c>
      <c r="G54" s="8">
        <f t="shared" si="0"/>
        <v>2.4</v>
      </c>
      <c r="H54" s="8" t="s">
        <v>123</v>
      </c>
    </row>
    <row r="55" spans="1:8" x14ac:dyDescent="0.2">
      <c r="A55" s="22">
        <v>3</v>
      </c>
      <c r="B55" s="23" t="s">
        <v>74</v>
      </c>
      <c r="C55" s="24">
        <v>849</v>
      </c>
      <c r="D55" s="8">
        <v>2.2999999999999998</v>
      </c>
      <c r="E55" s="8">
        <v>2.2999999999999998</v>
      </c>
      <c r="F55" s="8">
        <v>2.2999999999999998</v>
      </c>
      <c r="G55" s="8">
        <f t="shared" si="0"/>
        <v>2.2999999999999998</v>
      </c>
      <c r="H55" s="8" t="s">
        <v>123</v>
      </c>
    </row>
    <row r="56" spans="1:8" x14ac:dyDescent="0.2">
      <c r="A56" s="22">
        <v>3</v>
      </c>
      <c r="B56" s="23" t="s">
        <v>74</v>
      </c>
      <c r="C56" s="24">
        <v>856</v>
      </c>
      <c r="D56" s="8">
        <v>1.4</v>
      </c>
      <c r="E56" s="8">
        <v>1.5</v>
      </c>
      <c r="F56" s="8">
        <v>1.5</v>
      </c>
      <c r="G56" s="8">
        <f t="shared" si="0"/>
        <v>1.47</v>
      </c>
      <c r="H56" s="8" t="s">
        <v>123</v>
      </c>
    </row>
    <row r="57" spans="1:8" x14ac:dyDescent="0.2">
      <c r="A57" s="22">
        <v>3</v>
      </c>
      <c r="B57" s="23" t="s">
        <v>74</v>
      </c>
      <c r="C57" s="24">
        <v>859</v>
      </c>
      <c r="D57" s="8">
        <v>2</v>
      </c>
      <c r="E57" s="8">
        <v>2</v>
      </c>
      <c r="F57" s="8">
        <v>2</v>
      </c>
      <c r="G57" s="8">
        <f t="shared" si="0"/>
        <v>2</v>
      </c>
      <c r="H57" s="8" t="s">
        <v>123</v>
      </c>
    </row>
    <row r="58" spans="1:8" x14ac:dyDescent="0.2">
      <c r="A58" s="22">
        <v>3</v>
      </c>
      <c r="B58" s="23" t="s">
        <v>74</v>
      </c>
      <c r="C58" s="24">
        <v>861</v>
      </c>
      <c r="D58" s="8">
        <v>1.7</v>
      </c>
      <c r="E58" s="8">
        <v>1.8</v>
      </c>
      <c r="F58" s="8">
        <v>1.8</v>
      </c>
      <c r="G58" s="8">
        <f t="shared" si="0"/>
        <v>1.77</v>
      </c>
      <c r="H58" s="8" t="s">
        <v>123</v>
      </c>
    </row>
    <row r="59" spans="1:8" x14ac:dyDescent="0.2">
      <c r="A59" s="22">
        <v>3</v>
      </c>
      <c r="B59" s="23" t="s">
        <v>74</v>
      </c>
      <c r="C59" s="24">
        <v>862</v>
      </c>
      <c r="D59" s="8">
        <v>1.7</v>
      </c>
      <c r="E59" s="8">
        <v>1.7</v>
      </c>
      <c r="F59" s="8">
        <v>1.7</v>
      </c>
      <c r="G59" s="8">
        <f t="shared" si="0"/>
        <v>1.7</v>
      </c>
      <c r="H59" s="8" t="s">
        <v>123</v>
      </c>
    </row>
    <row r="60" spans="1:8" x14ac:dyDescent="0.2">
      <c r="A60" s="22">
        <v>3</v>
      </c>
      <c r="B60" s="23" t="s">
        <v>74</v>
      </c>
      <c r="C60" s="24">
        <v>865</v>
      </c>
      <c r="D60" s="8">
        <v>1.7</v>
      </c>
      <c r="E60" s="8">
        <v>1.7</v>
      </c>
      <c r="F60" s="8">
        <v>1.7</v>
      </c>
      <c r="G60" s="8">
        <f t="shared" si="0"/>
        <v>1.7</v>
      </c>
      <c r="H60" s="8" t="s">
        <v>123</v>
      </c>
    </row>
    <row r="61" spans="1:8" x14ac:dyDescent="0.2">
      <c r="A61" s="22">
        <v>3</v>
      </c>
      <c r="B61" s="23" t="s">
        <v>74</v>
      </c>
      <c r="C61" s="24">
        <v>866</v>
      </c>
      <c r="D61" s="8">
        <v>1.7</v>
      </c>
      <c r="E61" s="8">
        <v>1.7</v>
      </c>
      <c r="F61" s="8">
        <v>1.7</v>
      </c>
      <c r="G61" s="8">
        <f t="shared" si="0"/>
        <v>1.7</v>
      </c>
      <c r="H61" s="8" t="s">
        <v>123</v>
      </c>
    </row>
    <row r="62" spans="1:8" x14ac:dyDescent="0.2">
      <c r="A62" s="22">
        <v>3</v>
      </c>
      <c r="B62" s="23" t="s">
        <v>74</v>
      </c>
      <c r="C62" s="24">
        <v>871</v>
      </c>
      <c r="D62" s="8">
        <v>2.1</v>
      </c>
      <c r="E62" s="8">
        <v>2.1</v>
      </c>
      <c r="F62" s="8">
        <v>2.1</v>
      </c>
      <c r="G62" s="8">
        <f t="shared" si="0"/>
        <v>2.1</v>
      </c>
      <c r="H62" s="8" t="s">
        <v>159</v>
      </c>
    </row>
    <row r="63" spans="1:8" x14ac:dyDescent="0.2">
      <c r="A63" s="22">
        <v>3</v>
      </c>
      <c r="B63" s="23" t="s">
        <v>74</v>
      </c>
      <c r="C63" s="24">
        <v>873</v>
      </c>
      <c r="D63" s="8">
        <v>1.7</v>
      </c>
      <c r="E63" s="8">
        <v>1.7</v>
      </c>
      <c r="F63" s="8">
        <v>1.7</v>
      </c>
      <c r="G63" s="8">
        <f t="shared" si="0"/>
        <v>1.7</v>
      </c>
      <c r="H63" s="8" t="s">
        <v>159</v>
      </c>
    </row>
    <row r="64" spans="1:8" x14ac:dyDescent="0.2">
      <c r="A64" s="22">
        <v>3</v>
      </c>
      <c r="B64" s="23" t="s">
        <v>74</v>
      </c>
      <c r="C64" s="24">
        <v>874</v>
      </c>
      <c r="D64" s="8">
        <v>1.8</v>
      </c>
      <c r="E64" s="8">
        <v>1.7</v>
      </c>
      <c r="F64" s="8">
        <v>1.8</v>
      </c>
      <c r="G64" s="8">
        <f t="shared" si="0"/>
        <v>1.77</v>
      </c>
      <c r="H64" s="8" t="s">
        <v>158</v>
      </c>
    </row>
    <row r="65" spans="1:9" x14ac:dyDescent="0.2">
      <c r="A65" s="22">
        <v>3</v>
      </c>
      <c r="B65" s="23" t="s">
        <v>74</v>
      </c>
      <c r="C65" s="24">
        <v>877</v>
      </c>
      <c r="D65" s="8">
        <v>1.7</v>
      </c>
      <c r="E65" s="8">
        <v>1.7</v>
      </c>
      <c r="F65" s="8">
        <v>1.7</v>
      </c>
      <c r="G65" s="8">
        <f t="shared" si="0"/>
        <v>1.7</v>
      </c>
      <c r="H65" s="8" t="s">
        <v>159</v>
      </c>
    </row>
    <row r="66" spans="1:9" x14ac:dyDescent="0.2">
      <c r="A66" s="22">
        <v>3</v>
      </c>
      <c r="B66" s="23" t="s">
        <v>74</v>
      </c>
      <c r="C66" s="24">
        <v>879</v>
      </c>
      <c r="D66" s="8">
        <v>2.1</v>
      </c>
      <c r="E66" s="8">
        <v>2</v>
      </c>
      <c r="F66" s="8">
        <v>2</v>
      </c>
      <c r="G66" s="8">
        <f t="shared" si="0"/>
        <v>2.0299999999999998</v>
      </c>
      <c r="H66" s="8" t="s">
        <v>159</v>
      </c>
    </row>
    <row r="67" spans="1:9" x14ac:dyDescent="0.2">
      <c r="A67" s="22">
        <v>3</v>
      </c>
      <c r="B67" s="23" t="s">
        <v>74</v>
      </c>
      <c r="C67" s="24">
        <v>887</v>
      </c>
      <c r="D67" s="8">
        <v>2.1</v>
      </c>
      <c r="E67" s="8">
        <v>2.1</v>
      </c>
      <c r="F67" s="8">
        <v>2.1</v>
      </c>
      <c r="G67" s="8">
        <f t="shared" si="0"/>
        <v>2.1</v>
      </c>
      <c r="H67" s="8" t="s">
        <v>159</v>
      </c>
    </row>
    <row r="68" spans="1:9" x14ac:dyDescent="0.2">
      <c r="A68" s="22">
        <v>3</v>
      </c>
      <c r="B68" s="23" t="s">
        <v>74</v>
      </c>
      <c r="C68" s="24">
        <v>888</v>
      </c>
      <c r="D68" s="8">
        <v>1.9</v>
      </c>
      <c r="E68" s="8">
        <v>1.9</v>
      </c>
      <c r="F68" s="8">
        <v>1.9</v>
      </c>
      <c r="G68" s="8">
        <f t="shared" si="0"/>
        <v>1.9</v>
      </c>
      <c r="H68" s="8" t="s">
        <v>159</v>
      </c>
    </row>
    <row r="69" spans="1:9" x14ac:dyDescent="0.2">
      <c r="A69" s="13">
        <v>4</v>
      </c>
      <c r="B69" s="14" t="s">
        <v>104</v>
      </c>
      <c r="C69" s="15" t="s">
        <v>105</v>
      </c>
      <c r="D69" s="8">
        <v>2.9</v>
      </c>
      <c r="E69" s="8">
        <v>3.2</v>
      </c>
      <c r="F69" s="8">
        <v>3.2</v>
      </c>
      <c r="G69" s="8">
        <f t="shared" si="0"/>
        <v>3.1</v>
      </c>
      <c r="H69" s="8" t="s">
        <v>123</v>
      </c>
    </row>
    <row r="70" spans="1:9" x14ac:dyDescent="0.2">
      <c r="A70" s="16">
        <v>4</v>
      </c>
      <c r="B70" s="14" t="s">
        <v>104</v>
      </c>
      <c r="C70" s="18" t="s">
        <v>106</v>
      </c>
      <c r="D70" s="8">
        <v>2.2000000000000002</v>
      </c>
      <c r="E70" s="8">
        <v>2.2000000000000002</v>
      </c>
      <c r="F70" s="8">
        <v>2.2000000000000002</v>
      </c>
      <c r="G70" s="8">
        <f t="shared" si="0"/>
        <v>2.2000000000000002</v>
      </c>
      <c r="H70" s="8" t="s">
        <v>123</v>
      </c>
    </row>
    <row r="71" spans="1:9" x14ac:dyDescent="0.2">
      <c r="A71" s="16">
        <v>4</v>
      </c>
      <c r="B71" s="14" t="s">
        <v>104</v>
      </c>
      <c r="C71" s="18" t="s">
        <v>107</v>
      </c>
      <c r="D71" s="8">
        <v>7</v>
      </c>
      <c r="E71" s="8">
        <v>6.8</v>
      </c>
      <c r="F71" s="8">
        <v>6.9</v>
      </c>
      <c r="G71" s="8">
        <f t="shared" si="0"/>
        <v>6.9</v>
      </c>
      <c r="H71" s="8" t="s">
        <v>123</v>
      </c>
    </row>
    <row r="72" spans="1:9" x14ac:dyDescent="0.2">
      <c r="A72" s="16">
        <v>4</v>
      </c>
      <c r="B72" s="14" t="s">
        <v>104</v>
      </c>
      <c r="C72" s="18" t="s">
        <v>108</v>
      </c>
      <c r="D72" s="8">
        <v>2.9</v>
      </c>
      <c r="E72" s="8">
        <v>3.4</v>
      </c>
      <c r="F72" s="8">
        <v>3.5</v>
      </c>
      <c r="G72" s="8">
        <f t="shared" si="0"/>
        <v>3.27</v>
      </c>
      <c r="H72" s="8" t="s">
        <v>123</v>
      </c>
    </row>
    <row r="73" spans="1:9" x14ac:dyDescent="0.2">
      <c r="A73" s="16">
        <v>4</v>
      </c>
      <c r="B73" s="14" t="s">
        <v>104</v>
      </c>
      <c r="C73" s="18" t="s">
        <v>109</v>
      </c>
      <c r="D73" s="8">
        <v>3.2</v>
      </c>
      <c r="E73" s="8">
        <v>3.3</v>
      </c>
      <c r="F73" s="8">
        <v>3.4</v>
      </c>
      <c r="G73" s="8">
        <f t="shared" si="0"/>
        <v>3.3</v>
      </c>
      <c r="H73" s="8" t="s">
        <v>123</v>
      </c>
    </row>
    <row r="74" spans="1:9" x14ac:dyDescent="0.2">
      <c r="A74" s="16">
        <v>4</v>
      </c>
      <c r="B74" s="14" t="s">
        <v>104</v>
      </c>
      <c r="C74" s="18" t="s">
        <v>110</v>
      </c>
      <c r="D74" s="8">
        <v>2.1</v>
      </c>
      <c r="E74" s="8">
        <v>2.6</v>
      </c>
      <c r="F74" s="8">
        <v>2.6</v>
      </c>
      <c r="G74" s="8">
        <f t="shared" ref="G74:G102" si="1">IF(D74="NA","NA",ROUND(AVERAGE(D74:F74),2))</f>
        <v>2.4300000000000002</v>
      </c>
      <c r="H74" s="8" t="s">
        <v>123</v>
      </c>
    </row>
    <row r="75" spans="1:9" x14ac:dyDescent="0.2">
      <c r="A75" s="16">
        <v>4</v>
      </c>
      <c r="B75" s="14" t="s">
        <v>104</v>
      </c>
      <c r="C75" s="18" t="s">
        <v>111</v>
      </c>
      <c r="D75" s="8">
        <v>1.9</v>
      </c>
      <c r="E75" s="8">
        <v>1.7</v>
      </c>
      <c r="F75" s="8">
        <v>1.8</v>
      </c>
      <c r="G75" s="8">
        <f t="shared" si="1"/>
        <v>1.8</v>
      </c>
      <c r="H75" s="8" t="s">
        <v>123</v>
      </c>
    </row>
    <row r="76" spans="1:9" x14ac:dyDescent="0.2">
      <c r="A76" s="16">
        <v>4</v>
      </c>
      <c r="B76" s="14" t="s">
        <v>104</v>
      </c>
      <c r="C76" s="18" t="s">
        <v>112</v>
      </c>
      <c r="D76" s="8">
        <v>2.6</v>
      </c>
      <c r="E76" s="8">
        <v>2.6</v>
      </c>
      <c r="F76" s="8">
        <v>2.6</v>
      </c>
      <c r="G76" s="8">
        <f t="shared" si="1"/>
        <v>2.6</v>
      </c>
      <c r="H76" s="8" t="s">
        <v>123</v>
      </c>
    </row>
    <row r="77" spans="1:9" x14ac:dyDescent="0.2">
      <c r="A77" s="16">
        <v>4</v>
      </c>
      <c r="B77" s="14" t="s">
        <v>104</v>
      </c>
      <c r="C77" s="18" t="s">
        <v>113</v>
      </c>
      <c r="D77" s="8">
        <v>3</v>
      </c>
      <c r="E77" s="8">
        <v>3.3</v>
      </c>
      <c r="F77" s="8">
        <v>3.3</v>
      </c>
      <c r="G77" s="8">
        <f t="shared" si="1"/>
        <v>3.2</v>
      </c>
      <c r="H77" s="8" t="s">
        <v>123</v>
      </c>
      <c r="I77" s="56"/>
    </row>
    <row r="78" spans="1:9" x14ac:dyDescent="0.2">
      <c r="A78" s="16">
        <v>4</v>
      </c>
      <c r="B78" s="14" t="s">
        <v>104</v>
      </c>
      <c r="C78" s="18" t="s">
        <v>114</v>
      </c>
      <c r="D78" s="8">
        <v>2.2000000000000002</v>
      </c>
      <c r="E78" s="8">
        <v>2.7</v>
      </c>
      <c r="F78" s="8">
        <v>2.8</v>
      </c>
      <c r="G78" s="8">
        <f t="shared" si="1"/>
        <v>2.57</v>
      </c>
      <c r="H78" s="8" t="s">
        <v>123</v>
      </c>
    </row>
    <row r="79" spans="1:9" x14ac:dyDescent="0.2">
      <c r="A79" s="16">
        <v>4</v>
      </c>
      <c r="B79" s="14" t="s">
        <v>104</v>
      </c>
      <c r="C79" s="18" t="s">
        <v>115</v>
      </c>
      <c r="D79" s="8">
        <v>3.4</v>
      </c>
      <c r="E79" s="8">
        <v>3.9</v>
      </c>
      <c r="F79" s="8">
        <v>3.8</v>
      </c>
      <c r="G79" s="8">
        <f t="shared" si="1"/>
        <v>3.7</v>
      </c>
      <c r="H79" s="8" t="s">
        <v>123</v>
      </c>
    </row>
    <row r="80" spans="1:9" x14ac:dyDescent="0.2">
      <c r="A80" s="16">
        <v>4</v>
      </c>
      <c r="B80" s="14" t="s">
        <v>104</v>
      </c>
      <c r="C80" s="18" t="s">
        <v>116</v>
      </c>
      <c r="D80" s="8" t="s">
        <v>123</v>
      </c>
      <c r="E80" s="8" t="s">
        <v>123</v>
      </c>
      <c r="F80" s="8" t="s">
        <v>123</v>
      </c>
      <c r="G80" s="8" t="str">
        <f t="shared" si="1"/>
        <v>NA</v>
      </c>
      <c r="H80" s="8" t="s">
        <v>123</v>
      </c>
    </row>
    <row r="81" spans="1:8" x14ac:dyDescent="0.2">
      <c r="A81" s="16">
        <v>4</v>
      </c>
      <c r="B81" s="14" t="s">
        <v>104</v>
      </c>
      <c r="C81" s="18" t="s">
        <v>117</v>
      </c>
      <c r="D81" s="8">
        <v>2.4</v>
      </c>
      <c r="E81" s="8">
        <v>2.8</v>
      </c>
      <c r="F81" s="8">
        <v>2.9</v>
      </c>
      <c r="G81" s="8">
        <f t="shared" si="1"/>
        <v>2.7</v>
      </c>
      <c r="H81" s="8" t="s">
        <v>123</v>
      </c>
    </row>
    <row r="82" spans="1:8" x14ac:dyDescent="0.2">
      <c r="A82" s="16">
        <v>4</v>
      </c>
      <c r="B82" s="14" t="s">
        <v>104</v>
      </c>
      <c r="C82" s="18" t="s">
        <v>118</v>
      </c>
      <c r="D82" s="8">
        <v>3</v>
      </c>
      <c r="E82" s="8">
        <v>3.1</v>
      </c>
      <c r="F82" s="8">
        <v>3.1</v>
      </c>
      <c r="G82" s="8">
        <f t="shared" si="1"/>
        <v>3.07</v>
      </c>
      <c r="H82" s="8" t="s">
        <v>123</v>
      </c>
    </row>
    <row r="83" spans="1:8" x14ac:dyDescent="0.2">
      <c r="A83" s="16">
        <v>4</v>
      </c>
      <c r="B83" s="14" t="s">
        <v>104</v>
      </c>
      <c r="C83" s="18" t="s">
        <v>119</v>
      </c>
      <c r="D83" s="8">
        <v>2.8</v>
      </c>
      <c r="E83" s="8">
        <v>2.4</v>
      </c>
      <c r="F83" s="8">
        <v>2.2999999999999998</v>
      </c>
      <c r="G83" s="8">
        <f t="shared" si="1"/>
        <v>2.5</v>
      </c>
      <c r="H83" s="8" t="s">
        <v>123</v>
      </c>
    </row>
    <row r="84" spans="1:8" x14ac:dyDescent="0.2">
      <c r="A84" s="16">
        <v>4</v>
      </c>
      <c r="B84" s="14" t="s">
        <v>104</v>
      </c>
      <c r="C84" s="18" t="s">
        <v>120</v>
      </c>
      <c r="D84" s="8">
        <v>3</v>
      </c>
      <c r="E84" s="8">
        <v>3.1</v>
      </c>
      <c r="F84" s="8">
        <v>3.1</v>
      </c>
      <c r="G84" s="8">
        <f t="shared" si="1"/>
        <v>3.07</v>
      </c>
      <c r="H84" s="8" t="s">
        <v>123</v>
      </c>
    </row>
    <row r="85" spans="1:8" x14ac:dyDescent="0.2">
      <c r="A85" s="16">
        <v>4</v>
      </c>
      <c r="B85" s="14" t="s">
        <v>104</v>
      </c>
      <c r="C85" s="18" t="s">
        <v>121</v>
      </c>
      <c r="D85" s="8">
        <v>3.3</v>
      </c>
      <c r="E85" s="8">
        <v>3.3</v>
      </c>
      <c r="F85" s="8">
        <v>3.3</v>
      </c>
      <c r="G85" s="8">
        <f t="shared" si="1"/>
        <v>3.3</v>
      </c>
      <c r="H85" s="8" t="s">
        <v>123</v>
      </c>
    </row>
    <row r="86" spans="1:8" x14ac:dyDescent="0.2">
      <c r="A86" s="16">
        <v>4</v>
      </c>
      <c r="B86" s="14" t="s">
        <v>104</v>
      </c>
      <c r="C86" s="18" t="s">
        <v>122</v>
      </c>
      <c r="D86" s="8" t="s">
        <v>123</v>
      </c>
      <c r="E86" s="8" t="s">
        <v>123</v>
      </c>
      <c r="F86" s="8" t="s">
        <v>123</v>
      </c>
      <c r="G86" s="8" t="str">
        <f t="shared" si="1"/>
        <v>NA</v>
      </c>
      <c r="H86" s="8" t="s">
        <v>123</v>
      </c>
    </row>
    <row r="87" spans="1:8" x14ac:dyDescent="0.2">
      <c r="A87" s="16">
        <v>4</v>
      </c>
      <c r="B87" s="14" t="s">
        <v>104</v>
      </c>
      <c r="C87" s="18" t="s">
        <v>124</v>
      </c>
      <c r="D87" s="8">
        <v>2.2999999999999998</v>
      </c>
      <c r="E87" s="8">
        <v>2.2999999999999998</v>
      </c>
      <c r="F87" s="8">
        <v>2.2999999999999998</v>
      </c>
      <c r="G87" s="8">
        <f t="shared" si="1"/>
        <v>2.2999999999999998</v>
      </c>
      <c r="H87" s="8" t="s">
        <v>123</v>
      </c>
    </row>
    <row r="88" spans="1:8" x14ac:dyDescent="0.2">
      <c r="A88" s="16">
        <v>4</v>
      </c>
      <c r="B88" s="14" t="s">
        <v>104</v>
      </c>
      <c r="C88" s="18" t="s">
        <v>125</v>
      </c>
      <c r="D88" s="8">
        <v>2.6</v>
      </c>
      <c r="E88" s="8">
        <v>2.2999999999999998</v>
      </c>
      <c r="F88" s="8">
        <v>2.2000000000000002</v>
      </c>
      <c r="G88" s="8">
        <f t="shared" si="1"/>
        <v>2.37</v>
      </c>
      <c r="H88" s="8" t="s">
        <v>123</v>
      </c>
    </row>
    <row r="89" spans="1:8" x14ac:dyDescent="0.2">
      <c r="A89" s="16">
        <v>4</v>
      </c>
      <c r="B89" s="14" t="s">
        <v>104</v>
      </c>
      <c r="C89" s="18" t="s">
        <v>126</v>
      </c>
      <c r="D89" s="8">
        <v>2.5</v>
      </c>
      <c r="E89" s="8">
        <v>2.7</v>
      </c>
      <c r="F89" s="8">
        <v>2.5</v>
      </c>
      <c r="G89" s="8">
        <f t="shared" si="1"/>
        <v>2.57</v>
      </c>
      <c r="H89" s="8" t="s">
        <v>123</v>
      </c>
    </row>
    <row r="90" spans="1:8" x14ac:dyDescent="0.2">
      <c r="A90" s="16">
        <v>4</v>
      </c>
      <c r="B90" s="14" t="s">
        <v>104</v>
      </c>
      <c r="C90" s="18" t="s">
        <v>127</v>
      </c>
      <c r="D90" s="8">
        <v>2.7</v>
      </c>
      <c r="E90" s="8">
        <v>2.7</v>
      </c>
      <c r="F90" s="8">
        <v>2.7</v>
      </c>
      <c r="G90" s="8">
        <f t="shared" si="1"/>
        <v>2.7</v>
      </c>
      <c r="H90" s="8" t="s">
        <v>123</v>
      </c>
    </row>
    <row r="91" spans="1:8" x14ac:dyDescent="0.2">
      <c r="A91" s="16">
        <v>4</v>
      </c>
      <c r="B91" s="14" t="s">
        <v>104</v>
      </c>
      <c r="C91" s="18" t="s">
        <v>128</v>
      </c>
      <c r="D91" s="8">
        <v>2.2999999999999998</v>
      </c>
      <c r="E91" s="8">
        <v>2.4</v>
      </c>
      <c r="F91" s="8" t="s">
        <v>123</v>
      </c>
      <c r="G91" s="8">
        <f t="shared" si="1"/>
        <v>2.35</v>
      </c>
      <c r="H91" s="8" t="s">
        <v>123</v>
      </c>
    </row>
    <row r="92" spans="1:8" x14ac:dyDescent="0.2">
      <c r="A92" s="16">
        <v>4</v>
      </c>
      <c r="B92" s="14" t="s">
        <v>104</v>
      </c>
      <c r="C92" s="18" t="s">
        <v>129</v>
      </c>
      <c r="D92" s="8">
        <v>2.9</v>
      </c>
      <c r="E92" s="8">
        <v>3</v>
      </c>
      <c r="F92" s="8">
        <v>3</v>
      </c>
      <c r="G92" s="8">
        <f t="shared" si="1"/>
        <v>2.97</v>
      </c>
      <c r="H92" s="8" t="s">
        <v>123</v>
      </c>
    </row>
    <row r="93" spans="1:8" x14ac:dyDescent="0.2">
      <c r="A93" s="16">
        <v>4</v>
      </c>
      <c r="B93" s="14" t="s">
        <v>104</v>
      </c>
      <c r="C93" s="18" t="s">
        <v>130</v>
      </c>
      <c r="D93" s="8">
        <v>2.6</v>
      </c>
      <c r="E93" s="8">
        <v>2.6</v>
      </c>
      <c r="F93" s="8" t="s">
        <v>123</v>
      </c>
      <c r="G93" s="8">
        <f t="shared" si="1"/>
        <v>2.6</v>
      </c>
      <c r="H93" s="8" t="s">
        <v>123</v>
      </c>
    </row>
    <row r="94" spans="1:8" x14ac:dyDescent="0.2">
      <c r="A94" s="16">
        <v>4</v>
      </c>
      <c r="B94" s="14" t="s">
        <v>104</v>
      </c>
      <c r="C94" s="18" t="s">
        <v>131</v>
      </c>
      <c r="D94" s="8">
        <v>2.9</v>
      </c>
      <c r="E94" s="8">
        <v>2.9</v>
      </c>
      <c r="F94" s="8">
        <v>2.9</v>
      </c>
      <c r="G94" s="8">
        <f t="shared" si="1"/>
        <v>2.9</v>
      </c>
      <c r="H94" s="8" t="s">
        <v>123</v>
      </c>
    </row>
    <row r="95" spans="1:8" x14ac:dyDescent="0.2">
      <c r="A95" s="16">
        <v>4</v>
      </c>
      <c r="B95" s="14" t="s">
        <v>104</v>
      </c>
      <c r="C95" s="18" t="s">
        <v>132</v>
      </c>
      <c r="D95" s="8">
        <v>1.9</v>
      </c>
      <c r="E95" s="8">
        <v>1.9</v>
      </c>
      <c r="F95" s="8">
        <v>1.9</v>
      </c>
      <c r="G95" s="8">
        <f t="shared" si="1"/>
        <v>1.9</v>
      </c>
      <c r="H95" s="8" t="s">
        <v>158</v>
      </c>
    </row>
    <row r="96" spans="1:8" x14ac:dyDescent="0.2">
      <c r="A96" s="16">
        <v>4</v>
      </c>
      <c r="B96" s="14" t="s">
        <v>104</v>
      </c>
      <c r="C96" s="18" t="s">
        <v>133</v>
      </c>
      <c r="D96" s="8">
        <v>2.4</v>
      </c>
      <c r="E96" s="8">
        <v>2.5</v>
      </c>
      <c r="F96" s="8">
        <v>2.5</v>
      </c>
      <c r="G96" s="8">
        <f t="shared" si="1"/>
        <v>2.4700000000000002</v>
      </c>
      <c r="H96" s="8" t="s">
        <v>158</v>
      </c>
    </row>
    <row r="97" spans="1:8" x14ac:dyDescent="0.2">
      <c r="A97" s="16">
        <v>4</v>
      </c>
      <c r="B97" s="14" t="s">
        <v>104</v>
      </c>
      <c r="C97" s="18" t="s">
        <v>134</v>
      </c>
      <c r="D97" s="8">
        <v>2.7</v>
      </c>
      <c r="E97" s="8">
        <v>2.8</v>
      </c>
      <c r="F97" s="8">
        <v>2.8</v>
      </c>
      <c r="G97" s="8">
        <f t="shared" si="1"/>
        <v>2.77</v>
      </c>
      <c r="H97" s="8" t="s">
        <v>159</v>
      </c>
    </row>
    <row r="98" spans="1:8" x14ac:dyDescent="0.2">
      <c r="A98" s="17">
        <v>4</v>
      </c>
      <c r="B98" s="17" t="s">
        <v>104</v>
      </c>
      <c r="C98" s="17" t="s">
        <v>135</v>
      </c>
      <c r="D98" s="8">
        <v>2.7</v>
      </c>
      <c r="E98" s="8">
        <v>3</v>
      </c>
      <c r="F98" s="8">
        <v>3</v>
      </c>
      <c r="G98" s="8">
        <f t="shared" si="1"/>
        <v>2.9</v>
      </c>
      <c r="H98" s="8" t="s">
        <v>159</v>
      </c>
    </row>
    <row r="99" spans="1:8" x14ac:dyDescent="0.2">
      <c r="A99" s="17">
        <v>4</v>
      </c>
      <c r="B99" s="17" t="s">
        <v>104</v>
      </c>
      <c r="C99" s="17" t="s">
        <v>136</v>
      </c>
      <c r="D99" s="8">
        <v>2.8</v>
      </c>
      <c r="E99" s="8">
        <v>2.9</v>
      </c>
      <c r="F99" s="8">
        <v>2.9</v>
      </c>
      <c r="G99" s="8">
        <f t="shared" si="1"/>
        <v>2.87</v>
      </c>
      <c r="H99" s="8" t="s">
        <v>159</v>
      </c>
    </row>
    <row r="100" spans="1:8" x14ac:dyDescent="0.2">
      <c r="A100" s="17">
        <v>4</v>
      </c>
      <c r="B100" s="17" t="s">
        <v>104</v>
      </c>
      <c r="C100" s="17" t="s">
        <v>137</v>
      </c>
      <c r="D100" s="8">
        <v>2.8</v>
      </c>
      <c r="E100" s="8">
        <v>2.9</v>
      </c>
      <c r="F100" s="8">
        <v>2.9</v>
      </c>
      <c r="G100" s="8">
        <f t="shared" si="1"/>
        <v>2.87</v>
      </c>
      <c r="H100" s="8" t="s">
        <v>159</v>
      </c>
    </row>
    <row r="101" spans="1:8" x14ac:dyDescent="0.2">
      <c r="A101" s="17">
        <v>4</v>
      </c>
      <c r="B101" s="17" t="s">
        <v>104</v>
      </c>
      <c r="C101" s="17" t="s">
        <v>138</v>
      </c>
      <c r="D101" s="8">
        <v>3.3</v>
      </c>
      <c r="E101" s="8">
        <v>3.4</v>
      </c>
      <c r="F101" s="8">
        <v>3.3</v>
      </c>
      <c r="G101" s="8">
        <f t="shared" si="1"/>
        <v>3.33</v>
      </c>
      <c r="H101" s="8" t="s">
        <v>158</v>
      </c>
    </row>
    <row r="102" spans="1:8" x14ac:dyDescent="0.2">
      <c r="A102" s="17">
        <v>4</v>
      </c>
      <c r="B102" s="17" t="s">
        <v>104</v>
      </c>
      <c r="C102" s="17" t="s">
        <v>139</v>
      </c>
      <c r="D102" s="8">
        <v>2.4</v>
      </c>
      <c r="E102" s="8">
        <v>2.4</v>
      </c>
      <c r="F102" s="8">
        <v>2.4</v>
      </c>
      <c r="G102" s="8">
        <f t="shared" si="1"/>
        <v>2.4</v>
      </c>
      <c r="H102" s="8" t="s">
        <v>159</v>
      </c>
    </row>
  </sheetData>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5AE39-9504-1949-A167-6CBD44064550}">
  <dimension ref="A1:R102"/>
  <sheetViews>
    <sheetView workbookViewId="0">
      <selection activeCell="K30" sqref="K30"/>
    </sheetView>
  </sheetViews>
  <sheetFormatPr baseColWidth="10" defaultColWidth="8.83203125" defaultRowHeight="15" x14ac:dyDescent="0.2"/>
  <cols>
    <col min="4" max="6" width="10.6640625" customWidth="1"/>
    <col min="7" max="7" width="8.83203125" customWidth="1"/>
  </cols>
  <sheetData>
    <row r="1" spans="1:18" ht="19" x14ac:dyDescent="0.25">
      <c r="A1" s="12" t="s">
        <v>0</v>
      </c>
      <c r="B1" s="12"/>
      <c r="C1" s="12"/>
      <c r="D1" s="12"/>
      <c r="E1" s="12"/>
      <c r="F1" t="s">
        <v>160</v>
      </c>
      <c r="G1" s="12"/>
      <c r="H1" s="12"/>
      <c r="I1" s="12"/>
      <c r="K1" s="12"/>
    </row>
    <row r="2" spans="1:18" ht="19" x14ac:dyDescent="0.25">
      <c r="A2" s="12"/>
      <c r="B2" s="12"/>
      <c r="C2" s="12"/>
      <c r="D2" s="12"/>
      <c r="E2" s="12"/>
      <c r="G2" s="12"/>
      <c r="H2" s="12"/>
      <c r="I2" s="12"/>
      <c r="J2" s="12"/>
      <c r="K2" s="12"/>
    </row>
    <row r="3" spans="1:18" ht="19" x14ac:dyDescent="0.25">
      <c r="A3" s="12" t="s">
        <v>161</v>
      </c>
      <c r="B3" s="12"/>
      <c r="C3" s="12"/>
      <c r="D3" s="12"/>
      <c r="E3" s="12"/>
      <c r="G3" s="12"/>
      <c r="H3" s="12"/>
      <c r="I3" s="12"/>
      <c r="J3" s="12"/>
      <c r="K3" s="12"/>
    </row>
    <row r="4" spans="1:18" ht="19" x14ac:dyDescent="0.25">
      <c r="A4" s="12"/>
      <c r="B4" s="12"/>
      <c r="C4" s="12"/>
      <c r="D4" s="12"/>
      <c r="E4" s="12"/>
      <c r="G4" s="12"/>
      <c r="H4" s="12"/>
      <c r="I4" s="12"/>
      <c r="J4" s="12"/>
      <c r="K4" s="12"/>
    </row>
    <row r="5" spans="1:18" ht="19" x14ac:dyDescent="0.25">
      <c r="A5" s="12" t="s">
        <v>162</v>
      </c>
      <c r="B5" s="12"/>
      <c r="C5" s="12"/>
      <c r="D5" s="12"/>
      <c r="E5" s="12"/>
      <c r="G5" s="12"/>
      <c r="H5" s="12"/>
      <c r="I5" s="12"/>
      <c r="J5" s="12"/>
      <c r="K5" s="12"/>
    </row>
    <row r="6" spans="1:18" ht="19" x14ac:dyDescent="0.25">
      <c r="A6" s="12" t="s">
        <v>3</v>
      </c>
      <c r="B6" s="12"/>
      <c r="C6" s="12"/>
      <c r="D6" s="12"/>
      <c r="E6" s="12"/>
      <c r="G6" s="12"/>
      <c r="H6" s="12"/>
      <c r="I6" s="12"/>
      <c r="J6" s="12"/>
      <c r="K6" s="12"/>
    </row>
    <row r="8" spans="1:18" ht="41" thickBot="1" x14ac:dyDescent="0.25">
      <c r="A8" s="1" t="s">
        <v>4</v>
      </c>
      <c r="B8" s="2" t="s">
        <v>5</v>
      </c>
      <c r="C8" s="6" t="s">
        <v>7</v>
      </c>
      <c r="D8" s="7" t="s">
        <v>8</v>
      </c>
      <c r="E8" s="7" t="s">
        <v>8</v>
      </c>
      <c r="F8" s="7" t="s">
        <v>8</v>
      </c>
      <c r="G8" s="7" t="s">
        <v>9</v>
      </c>
      <c r="H8" s="7" t="s">
        <v>10</v>
      </c>
      <c r="I8" s="34"/>
      <c r="J8" s="34"/>
      <c r="K8" s="34"/>
      <c r="L8" s="34"/>
      <c r="M8" s="34"/>
      <c r="N8" s="34"/>
      <c r="O8" s="34"/>
      <c r="P8" s="34"/>
      <c r="Q8" s="34"/>
      <c r="R8" s="34"/>
    </row>
    <row r="9" spans="1:18" x14ac:dyDescent="0.2">
      <c r="A9" s="3">
        <v>2</v>
      </c>
      <c r="B9" s="3" t="s">
        <v>42</v>
      </c>
      <c r="C9" s="9">
        <v>800</v>
      </c>
      <c r="D9" s="8">
        <v>1.7</v>
      </c>
      <c r="E9" s="8">
        <v>1.7</v>
      </c>
      <c r="F9" s="8">
        <v>1.7</v>
      </c>
      <c r="G9" s="8">
        <f>IF(D9="NA","NA",ROUND(AVERAGE(D9:F9),2))</f>
        <v>1.7</v>
      </c>
      <c r="H9" s="8" t="s">
        <v>123</v>
      </c>
    </row>
    <row r="10" spans="1:18" x14ac:dyDescent="0.2">
      <c r="A10" s="4">
        <v>2</v>
      </c>
      <c r="B10" s="4" t="s">
        <v>42</v>
      </c>
      <c r="C10" s="10">
        <v>801</v>
      </c>
      <c r="D10" s="8">
        <v>1.4</v>
      </c>
      <c r="E10" s="8">
        <v>1.5</v>
      </c>
      <c r="F10" s="8">
        <v>1.4</v>
      </c>
      <c r="G10" s="8">
        <f t="shared" ref="G10:G73" si="0">IF(D10="NA","NA",ROUND(AVERAGE(D10:F10),2))</f>
        <v>1.43</v>
      </c>
      <c r="H10" s="8" t="s">
        <v>123</v>
      </c>
    </row>
    <row r="11" spans="1:18" x14ac:dyDescent="0.2">
      <c r="A11" s="4">
        <v>2</v>
      </c>
      <c r="B11" s="4" t="s">
        <v>42</v>
      </c>
      <c r="C11" s="10">
        <v>804</v>
      </c>
      <c r="D11" s="8">
        <v>1.7</v>
      </c>
      <c r="E11" s="8">
        <v>1.1000000000000001</v>
      </c>
      <c r="F11" s="8">
        <v>1.7</v>
      </c>
      <c r="G11" s="8">
        <f t="shared" si="0"/>
        <v>1.5</v>
      </c>
      <c r="H11" s="8" t="s">
        <v>123</v>
      </c>
    </row>
    <row r="12" spans="1:18" x14ac:dyDescent="0.2">
      <c r="A12" s="4">
        <v>2</v>
      </c>
      <c r="B12" s="4" t="s">
        <v>42</v>
      </c>
      <c r="C12" s="10">
        <v>806</v>
      </c>
      <c r="D12" s="8">
        <v>1.9</v>
      </c>
      <c r="E12" s="8">
        <v>1.9</v>
      </c>
      <c r="F12" s="8">
        <v>1.9</v>
      </c>
      <c r="G12" s="8">
        <f t="shared" si="0"/>
        <v>1.9</v>
      </c>
      <c r="H12" s="8" t="s">
        <v>123</v>
      </c>
    </row>
    <row r="13" spans="1:18" x14ac:dyDescent="0.2">
      <c r="A13" s="4">
        <v>2</v>
      </c>
      <c r="B13" s="4" t="s">
        <v>42</v>
      </c>
      <c r="C13" s="10">
        <v>809</v>
      </c>
      <c r="D13" s="8">
        <v>2.8</v>
      </c>
      <c r="E13" s="8">
        <v>2.9</v>
      </c>
      <c r="F13" s="8">
        <v>2.8</v>
      </c>
      <c r="G13" s="8">
        <f t="shared" si="0"/>
        <v>2.83</v>
      </c>
      <c r="H13" s="8" t="s">
        <v>123</v>
      </c>
    </row>
    <row r="14" spans="1:18" x14ac:dyDescent="0.2">
      <c r="A14" s="4">
        <v>2</v>
      </c>
      <c r="B14" s="4" t="s">
        <v>42</v>
      </c>
      <c r="C14" s="10">
        <v>810</v>
      </c>
      <c r="D14" s="8">
        <v>4.0999999999999996</v>
      </c>
      <c r="E14" s="8">
        <v>4.2</v>
      </c>
      <c r="F14" s="8">
        <v>4.3</v>
      </c>
      <c r="G14" s="8">
        <f t="shared" si="0"/>
        <v>4.2</v>
      </c>
      <c r="H14" s="8" t="s">
        <v>123</v>
      </c>
    </row>
    <row r="15" spans="1:18" x14ac:dyDescent="0.2">
      <c r="A15" s="4">
        <v>2</v>
      </c>
      <c r="B15" s="4" t="s">
        <v>42</v>
      </c>
      <c r="C15" s="10">
        <v>819</v>
      </c>
      <c r="D15" s="8">
        <v>2.6</v>
      </c>
      <c r="E15" s="8">
        <v>2.7</v>
      </c>
      <c r="F15" s="8">
        <v>2.6</v>
      </c>
      <c r="G15" s="8">
        <f t="shared" si="0"/>
        <v>2.63</v>
      </c>
      <c r="H15" s="8" t="s">
        <v>123</v>
      </c>
    </row>
    <row r="16" spans="1:18" x14ac:dyDescent="0.2">
      <c r="A16" s="4">
        <v>2</v>
      </c>
      <c r="B16" s="4" t="s">
        <v>42</v>
      </c>
      <c r="C16" s="10">
        <v>822</v>
      </c>
      <c r="D16" s="8">
        <v>1.9</v>
      </c>
      <c r="E16" s="8">
        <v>1.8</v>
      </c>
      <c r="F16" s="8">
        <v>1.8</v>
      </c>
      <c r="G16" s="8">
        <f t="shared" si="0"/>
        <v>1.83</v>
      </c>
      <c r="H16" s="8" t="s">
        <v>123</v>
      </c>
    </row>
    <row r="17" spans="1:8" x14ac:dyDescent="0.2">
      <c r="A17" s="4">
        <v>2</v>
      </c>
      <c r="B17" s="4" t="s">
        <v>42</v>
      </c>
      <c r="C17" s="10">
        <v>823</v>
      </c>
      <c r="D17" s="8">
        <v>2.2000000000000002</v>
      </c>
      <c r="E17" s="8">
        <v>2</v>
      </c>
      <c r="F17" s="8">
        <v>2</v>
      </c>
      <c r="G17" s="8">
        <f t="shared" si="0"/>
        <v>2.0699999999999998</v>
      </c>
      <c r="H17" s="8" t="s">
        <v>123</v>
      </c>
    </row>
    <row r="18" spans="1:8" x14ac:dyDescent="0.2">
      <c r="A18" s="4">
        <v>2</v>
      </c>
      <c r="B18" s="4" t="s">
        <v>42</v>
      </c>
      <c r="C18" s="10">
        <v>825</v>
      </c>
      <c r="D18" s="8">
        <v>2</v>
      </c>
      <c r="E18" s="8">
        <v>2</v>
      </c>
      <c r="F18" s="8">
        <v>2</v>
      </c>
      <c r="G18" s="8">
        <f t="shared" si="0"/>
        <v>2</v>
      </c>
      <c r="H18" s="8" t="s">
        <v>123</v>
      </c>
    </row>
    <row r="19" spans="1:8" x14ac:dyDescent="0.2">
      <c r="A19" s="4">
        <v>2</v>
      </c>
      <c r="B19" s="4" t="s">
        <v>42</v>
      </c>
      <c r="C19" s="10">
        <v>826</v>
      </c>
      <c r="D19" s="8">
        <v>1.8</v>
      </c>
      <c r="E19" s="8">
        <v>1.8</v>
      </c>
      <c r="F19" s="8">
        <v>1.8</v>
      </c>
      <c r="G19" s="8">
        <f t="shared" si="0"/>
        <v>1.8</v>
      </c>
      <c r="H19" s="8" t="s">
        <v>123</v>
      </c>
    </row>
    <row r="20" spans="1:8" x14ac:dyDescent="0.2">
      <c r="A20" s="4">
        <v>2</v>
      </c>
      <c r="B20" s="4" t="s">
        <v>42</v>
      </c>
      <c r="C20" s="10">
        <v>828</v>
      </c>
      <c r="D20" s="8">
        <v>1.6</v>
      </c>
      <c r="E20" s="8">
        <v>1.6</v>
      </c>
      <c r="F20" s="8">
        <v>1.6</v>
      </c>
      <c r="G20" s="8">
        <f t="shared" si="0"/>
        <v>1.6</v>
      </c>
      <c r="H20" s="8" t="s">
        <v>123</v>
      </c>
    </row>
    <row r="21" spans="1:8" x14ac:dyDescent="0.2">
      <c r="A21" s="4">
        <v>2</v>
      </c>
      <c r="B21" s="4" t="s">
        <v>42</v>
      </c>
      <c r="C21" s="10">
        <v>829</v>
      </c>
      <c r="D21" s="8">
        <v>1.8</v>
      </c>
      <c r="E21" s="8">
        <v>1.8</v>
      </c>
      <c r="F21" s="8">
        <v>1.8</v>
      </c>
      <c r="G21" s="8">
        <f t="shared" si="0"/>
        <v>1.8</v>
      </c>
      <c r="H21" s="8" t="s">
        <v>123</v>
      </c>
    </row>
    <row r="22" spans="1:8" x14ac:dyDescent="0.2">
      <c r="A22" s="4">
        <v>2</v>
      </c>
      <c r="B22" s="4" t="s">
        <v>42</v>
      </c>
      <c r="C22" s="10">
        <v>832</v>
      </c>
      <c r="D22" s="8">
        <v>1.8</v>
      </c>
      <c r="E22" s="8">
        <v>1.7</v>
      </c>
      <c r="F22" s="8">
        <v>1.8</v>
      </c>
      <c r="G22" s="8">
        <f t="shared" si="0"/>
        <v>1.77</v>
      </c>
      <c r="H22" s="8" t="s">
        <v>123</v>
      </c>
    </row>
    <row r="23" spans="1:8" x14ac:dyDescent="0.2">
      <c r="A23" s="4">
        <v>2</v>
      </c>
      <c r="B23" s="4" t="s">
        <v>42</v>
      </c>
      <c r="C23" s="10">
        <v>836</v>
      </c>
      <c r="D23" s="8">
        <v>2.2000000000000002</v>
      </c>
      <c r="E23" s="8">
        <v>2.1</v>
      </c>
      <c r="F23" s="8">
        <v>2.1</v>
      </c>
      <c r="G23" s="8">
        <f t="shared" si="0"/>
        <v>2.13</v>
      </c>
      <c r="H23" s="8" t="s">
        <v>123</v>
      </c>
    </row>
    <row r="24" spans="1:8" x14ac:dyDescent="0.2">
      <c r="A24" s="4">
        <v>2</v>
      </c>
      <c r="B24" s="4" t="s">
        <v>42</v>
      </c>
      <c r="C24" s="10">
        <v>839</v>
      </c>
      <c r="D24" s="8">
        <v>1.7</v>
      </c>
      <c r="E24" s="8">
        <v>1.6</v>
      </c>
      <c r="F24" s="8">
        <v>1.6</v>
      </c>
      <c r="G24" s="8">
        <f t="shared" si="0"/>
        <v>1.63</v>
      </c>
      <c r="H24" s="8" t="s">
        <v>123</v>
      </c>
    </row>
    <row r="25" spans="1:8" x14ac:dyDescent="0.2">
      <c r="A25" s="4">
        <v>2</v>
      </c>
      <c r="B25" s="4" t="s">
        <v>42</v>
      </c>
      <c r="C25" s="10">
        <v>840</v>
      </c>
      <c r="D25" s="8">
        <v>1.8</v>
      </c>
      <c r="E25" s="8">
        <v>1.8</v>
      </c>
      <c r="F25" s="8">
        <v>1.8</v>
      </c>
      <c r="G25" s="8">
        <f t="shared" si="0"/>
        <v>1.8</v>
      </c>
      <c r="H25" s="8" t="s">
        <v>123</v>
      </c>
    </row>
    <row r="26" spans="1:8" x14ac:dyDescent="0.2">
      <c r="A26" s="4">
        <v>2</v>
      </c>
      <c r="B26" s="4" t="s">
        <v>42</v>
      </c>
      <c r="C26" s="10">
        <v>841</v>
      </c>
      <c r="D26" s="8">
        <v>1.7</v>
      </c>
      <c r="E26" s="8">
        <v>1.7</v>
      </c>
      <c r="F26" s="8">
        <v>1.7</v>
      </c>
      <c r="G26" s="8">
        <f t="shared" si="0"/>
        <v>1.7</v>
      </c>
      <c r="H26" s="8" t="s">
        <v>123</v>
      </c>
    </row>
    <row r="27" spans="1:8" x14ac:dyDescent="0.2">
      <c r="A27" s="4">
        <v>2</v>
      </c>
      <c r="B27" s="4" t="s">
        <v>42</v>
      </c>
      <c r="C27" s="10">
        <v>843</v>
      </c>
      <c r="D27" s="8">
        <v>1.8</v>
      </c>
      <c r="E27" s="8">
        <v>1.8</v>
      </c>
      <c r="F27" s="8">
        <v>1.8</v>
      </c>
      <c r="G27" s="8">
        <f t="shared" si="0"/>
        <v>1.8</v>
      </c>
      <c r="H27" s="8" t="s">
        <v>123</v>
      </c>
    </row>
    <row r="28" spans="1:8" x14ac:dyDescent="0.2">
      <c r="A28" s="4">
        <v>2</v>
      </c>
      <c r="B28" s="4" t="s">
        <v>42</v>
      </c>
      <c r="C28" s="10">
        <v>850</v>
      </c>
      <c r="D28" s="8">
        <v>1.7</v>
      </c>
      <c r="E28" s="8">
        <v>2.4</v>
      </c>
      <c r="F28" s="8">
        <v>2.5</v>
      </c>
      <c r="G28" s="8">
        <f t="shared" si="0"/>
        <v>2.2000000000000002</v>
      </c>
      <c r="H28" s="8" t="s">
        <v>123</v>
      </c>
    </row>
    <row r="29" spans="1:8" x14ac:dyDescent="0.2">
      <c r="A29" s="4">
        <v>2</v>
      </c>
      <c r="B29" s="4" t="s">
        <v>42</v>
      </c>
      <c r="C29" s="10">
        <v>852</v>
      </c>
      <c r="D29" s="8">
        <v>1.1000000000000001</v>
      </c>
      <c r="E29" s="8">
        <v>1.1000000000000001</v>
      </c>
      <c r="F29" s="8">
        <v>1.1000000000000001</v>
      </c>
      <c r="G29" s="8">
        <f t="shared" si="0"/>
        <v>1.1000000000000001</v>
      </c>
      <c r="H29" s="8" t="s">
        <v>123</v>
      </c>
    </row>
    <row r="30" spans="1:8" x14ac:dyDescent="0.2">
      <c r="A30" s="4">
        <v>2</v>
      </c>
      <c r="B30" s="4" t="s">
        <v>42</v>
      </c>
      <c r="C30" s="10">
        <v>854</v>
      </c>
      <c r="D30" s="8">
        <v>1.7</v>
      </c>
      <c r="E30" s="8">
        <v>1.6</v>
      </c>
      <c r="F30" s="8">
        <v>1.6</v>
      </c>
      <c r="G30" s="8">
        <f t="shared" si="0"/>
        <v>1.63</v>
      </c>
      <c r="H30" s="8" t="s">
        <v>123</v>
      </c>
    </row>
    <row r="31" spans="1:8" x14ac:dyDescent="0.2">
      <c r="A31" s="4">
        <v>2</v>
      </c>
      <c r="B31" s="4" t="s">
        <v>42</v>
      </c>
      <c r="C31" s="10">
        <v>855</v>
      </c>
      <c r="D31" s="8">
        <v>1.9</v>
      </c>
      <c r="E31" s="8">
        <v>1.9</v>
      </c>
      <c r="F31" s="8">
        <v>1.9</v>
      </c>
      <c r="G31" s="8">
        <f t="shared" si="0"/>
        <v>1.9</v>
      </c>
      <c r="H31" s="8" t="s">
        <v>123</v>
      </c>
    </row>
    <row r="32" spans="1:8" x14ac:dyDescent="0.2">
      <c r="A32" s="4">
        <v>2</v>
      </c>
      <c r="B32" s="4" t="s">
        <v>42</v>
      </c>
      <c r="C32" s="10">
        <v>857</v>
      </c>
      <c r="D32" s="8">
        <v>1.8</v>
      </c>
      <c r="E32" s="8">
        <v>1.7</v>
      </c>
      <c r="F32" s="8">
        <v>1.8</v>
      </c>
      <c r="G32" s="8">
        <f t="shared" si="0"/>
        <v>1.77</v>
      </c>
      <c r="H32" s="8" t="s">
        <v>123</v>
      </c>
    </row>
    <row r="33" spans="1:8" x14ac:dyDescent="0.2">
      <c r="A33" s="4">
        <v>2</v>
      </c>
      <c r="B33" s="4" t="s">
        <v>42</v>
      </c>
      <c r="C33" s="10">
        <v>858</v>
      </c>
      <c r="D33" s="8">
        <v>2.5</v>
      </c>
      <c r="E33" s="8">
        <v>2.5</v>
      </c>
      <c r="F33" s="8">
        <v>2.5</v>
      </c>
      <c r="G33" s="8">
        <f t="shared" si="0"/>
        <v>2.5</v>
      </c>
      <c r="H33" s="8" t="s">
        <v>123</v>
      </c>
    </row>
    <row r="34" spans="1:8" x14ac:dyDescent="0.2">
      <c r="A34" s="4">
        <v>2</v>
      </c>
      <c r="B34" s="4" t="s">
        <v>42</v>
      </c>
      <c r="C34" s="10">
        <v>870</v>
      </c>
      <c r="D34" s="8">
        <v>2.1</v>
      </c>
      <c r="E34" s="8">
        <v>2.1</v>
      </c>
      <c r="F34" s="8">
        <v>2.1</v>
      </c>
      <c r="G34" s="8">
        <f t="shared" si="0"/>
        <v>2.1</v>
      </c>
      <c r="H34" s="8" t="s">
        <v>123</v>
      </c>
    </row>
    <row r="35" spans="1:8" x14ac:dyDescent="0.2">
      <c r="A35" s="4">
        <v>2</v>
      </c>
      <c r="B35" s="4" t="s">
        <v>42</v>
      </c>
      <c r="C35" s="10">
        <v>875</v>
      </c>
      <c r="D35" s="8">
        <v>2.1</v>
      </c>
      <c r="E35" s="8">
        <v>2.1</v>
      </c>
      <c r="F35" s="8">
        <v>2.1</v>
      </c>
      <c r="G35" s="8">
        <f t="shared" si="0"/>
        <v>2.1</v>
      </c>
      <c r="H35" s="8" t="s">
        <v>123</v>
      </c>
    </row>
    <row r="36" spans="1:8" x14ac:dyDescent="0.2">
      <c r="A36" s="4">
        <v>2</v>
      </c>
      <c r="B36" s="4" t="s">
        <v>42</v>
      </c>
      <c r="C36" s="10">
        <v>880</v>
      </c>
      <c r="D36" s="8">
        <v>2.1</v>
      </c>
      <c r="E36" s="8">
        <v>2.2999999999999998</v>
      </c>
      <c r="F36" s="8">
        <v>2.2999999999999998</v>
      </c>
      <c r="G36" s="8">
        <f t="shared" si="0"/>
        <v>2.23</v>
      </c>
      <c r="H36" s="8" t="s">
        <v>123</v>
      </c>
    </row>
    <row r="37" spans="1:8" x14ac:dyDescent="0.2">
      <c r="A37" s="4">
        <v>2</v>
      </c>
      <c r="B37" s="4" t="s">
        <v>42</v>
      </c>
      <c r="C37" s="10">
        <v>883</v>
      </c>
      <c r="D37" s="8">
        <v>1.7</v>
      </c>
      <c r="E37" s="8">
        <v>1.7</v>
      </c>
      <c r="F37" s="8">
        <v>1.7</v>
      </c>
      <c r="G37" s="8">
        <f t="shared" si="0"/>
        <v>1.7</v>
      </c>
      <c r="H37" s="8" t="s">
        <v>123</v>
      </c>
    </row>
    <row r="38" spans="1:8" x14ac:dyDescent="0.2">
      <c r="A38" s="4">
        <v>2</v>
      </c>
      <c r="B38" s="4" t="s">
        <v>42</v>
      </c>
      <c r="C38" s="10">
        <v>884</v>
      </c>
      <c r="D38" s="8">
        <v>1.3</v>
      </c>
      <c r="E38" s="8">
        <v>1.4</v>
      </c>
      <c r="F38" s="8">
        <v>1.3</v>
      </c>
      <c r="G38" s="8">
        <f t="shared" si="0"/>
        <v>1.33</v>
      </c>
      <c r="H38" s="8" t="s">
        <v>123</v>
      </c>
    </row>
    <row r="39" spans="1:8" ht="16" thickBot="1" x14ac:dyDescent="0.25">
      <c r="A39" s="5">
        <v>2</v>
      </c>
      <c r="B39" s="5" t="s">
        <v>42</v>
      </c>
      <c r="C39" s="11">
        <v>886</v>
      </c>
      <c r="D39" s="8">
        <v>2.1</v>
      </c>
      <c r="E39" s="8">
        <v>2.1</v>
      </c>
      <c r="F39" s="8">
        <v>2.1</v>
      </c>
      <c r="G39" s="8">
        <f t="shared" si="0"/>
        <v>2.1</v>
      </c>
      <c r="H39" s="8" t="s">
        <v>123</v>
      </c>
    </row>
    <row r="40" spans="1:8" x14ac:dyDescent="0.2">
      <c r="A40" s="19">
        <v>3</v>
      </c>
      <c r="B40" s="20" t="s">
        <v>74</v>
      </c>
      <c r="C40" s="21">
        <v>802</v>
      </c>
      <c r="D40" s="8">
        <v>1.6</v>
      </c>
      <c r="E40" s="8">
        <v>1.6</v>
      </c>
      <c r="F40" s="8">
        <v>1.6</v>
      </c>
      <c r="G40" s="8">
        <f t="shared" si="0"/>
        <v>1.6</v>
      </c>
      <c r="H40" s="8" t="s">
        <v>123</v>
      </c>
    </row>
    <row r="41" spans="1:8" x14ac:dyDescent="0.2">
      <c r="A41" s="22">
        <v>3</v>
      </c>
      <c r="B41" s="23" t="s">
        <v>74</v>
      </c>
      <c r="C41" s="24">
        <v>803</v>
      </c>
      <c r="D41" s="8">
        <v>1.9</v>
      </c>
      <c r="E41" s="8">
        <v>1.8</v>
      </c>
      <c r="F41" s="8">
        <v>1.8</v>
      </c>
      <c r="G41" s="8">
        <f t="shared" si="0"/>
        <v>1.83</v>
      </c>
      <c r="H41" s="8" t="s">
        <v>123</v>
      </c>
    </row>
    <row r="42" spans="1:8" x14ac:dyDescent="0.2">
      <c r="A42" s="22">
        <v>3</v>
      </c>
      <c r="B42" s="23" t="s">
        <v>74</v>
      </c>
      <c r="C42" s="24">
        <v>808</v>
      </c>
      <c r="D42" s="8">
        <v>1.4</v>
      </c>
      <c r="E42" s="8">
        <v>1.3</v>
      </c>
      <c r="F42" s="8">
        <v>1.2</v>
      </c>
      <c r="G42" s="8">
        <f t="shared" si="0"/>
        <v>1.3</v>
      </c>
      <c r="H42" s="8" t="s">
        <v>123</v>
      </c>
    </row>
    <row r="43" spans="1:8" x14ac:dyDescent="0.2">
      <c r="A43" s="22">
        <v>3</v>
      </c>
      <c r="B43" s="23" t="s">
        <v>74</v>
      </c>
      <c r="C43" s="24">
        <v>811</v>
      </c>
      <c r="D43" s="8">
        <v>2.1</v>
      </c>
      <c r="E43" s="8">
        <v>2.2000000000000002</v>
      </c>
      <c r="F43" s="8">
        <v>2.1</v>
      </c>
      <c r="G43" s="8">
        <f t="shared" si="0"/>
        <v>2.13</v>
      </c>
      <c r="H43" s="8" t="s">
        <v>123</v>
      </c>
    </row>
    <row r="44" spans="1:8" x14ac:dyDescent="0.2">
      <c r="A44" s="22">
        <v>3</v>
      </c>
      <c r="B44" s="23" t="s">
        <v>74</v>
      </c>
      <c r="C44" s="24">
        <v>812</v>
      </c>
      <c r="D44" s="8">
        <v>2.2000000000000002</v>
      </c>
      <c r="E44" s="8">
        <v>2</v>
      </c>
      <c r="F44" s="8">
        <v>2</v>
      </c>
      <c r="G44" s="8">
        <f t="shared" si="0"/>
        <v>2.0699999999999998</v>
      </c>
      <c r="H44" s="8" t="s">
        <v>123</v>
      </c>
    </row>
    <row r="45" spans="1:8" x14ac:dyDescent="0.2">
      <c r="A45" s="22">
        <v>3</v>
      </c>
      <c r="B45" s="23" t="s">
        <v>74</v>
      </c>
      <c r="C45" s="24">
        <v>815</v>
      </c>
      <c r="D45" s="8">
        <v>2.5</v>
      </c>
      <c r="E45" s="8">
        <v>2.6</v>
      </c>
      <c r="F45" s="8">
        <v>2.7</v>
      </c>
      <c r="G45" s="8">
        <f t="shared" si="0"/>
        <v>2.6</v>
      </c>
      <c r="H45" s="8" t="s">
        <v>123</v>
      </c>
    </row>
    <row r="46" spans="1:8" x14ac:dyDescent="0.2">
      <c r="A46" s="22">
        <v>3</v>
      </c>
      <c r="B46" s="23" t="s">
        <v>74</v>
      </c>
      <c r="C46" s="24">
        <v>816</v>
      </c>
      <c r="D46" s="8">
        <v>1.9</v>
      </c>
      <c r="E46" s="8">
        <v>2</v>
      </c>
      <c r="F46" s="8">
        <v>2</v>
      </c>
      <c r="G46" s="8">
        <f t="shared" si="0"/>
        <v>1.97</v>
      </c>
      <c r="H46" s="8" t="s">
        <v>123</v>
      </c>
    </row>
    <row r="47" spans="1:8" x14ac:dyDescent="0.2">
      <c r="A47" s="22">
        <v>3</v>
      </c>
      <c r="B47" s="23" t="s">
        <v>74</v>
      </c>
      <c r="C47" s="24">
        <v>817</v>
      </c>
      <c r="D47" s="8">
        <v>1.5</v>
      </c>
      <c r="E47" s="8">
        <v>1.4</v>
      </c>
      <c r="F47" s="8">
        <v>1.3</v>
      </c>
      <c r="G47" s="8">
        <f t="shared" si="0"/>
        <v>1.4</v>
      </c>
      <c r="H47" s="8" t="s">
        <v>123</v>
      </c>
    </row>
    <row r="48" spans="1:8" x14ac:dyDescent="0.2">
      <c r="A48" s="22">
        <v>3</v>
      </c>
      <c r="B48" s="23" t="s">
        <v>74</v>
      </c>
      <c r="C48" s="24">
        <v>818</v>
      </c>
      <c r="D48" s="8">
        <v>1.9</v>
      </c>
      <c r="E48" s="8">
        <v>2.1</v>
      </c>
      <c r="F48" s="8">
        <v>2</v>
      </c>
      <c r="G48" s="8">
        <f t="shared" si="0"/>
        <v>2</v>
      </c>
      <c r="H48" s="8" t="s">
        <v>123</v>
      </c>
    </row>
    <row r="49" spans="1:8" x14ac:dyDescent="0.2">
      <c r="A49" s="22">
        <v>3</v>
      </c>
      <c r="B49" s="23" t="s">
        <v>74</v>
      </c>
      <c r="C49" s="24">
        <v>833</v>
      </c>
      <c r="D49" s="8">
        <v>1.1000000000000001</v>
      </c>
      <c r="E49" s="8">
        <v>1.2</v>
      </c>
      <c r="F49" s="8">
        <v>1.2</v>
      </c>
      <c r="G49" s="8">
        <f t="shared" si="0"/>
        <v>1.17</v>
      </c>
      <c r="H49" s="8" t="s">
        <v>123</v>
      </c>
    </row>
    <row r="50" spans="1:8" x14ac:dyDescent="0.2">
      <c r="A50" s="22">
        <v>3</v>
      </c>
      <c r="B50" s="23" t="s">
        <v>74</v>
      </c>
      <c r="C50" s="24">
        <v>834</v>
      </c>
      <c r="D50" s="8">
        <v>1.9</v>
      </c>
      <c r="E50" s="8">
        <v>1.8</v>
      </c>
      <c r="F50" s="8">
        <v>1.7</v>
      </c>
      <c r="G50" s="8">
        <f t="shared" si="0"/>
        <v>1.8</v>
      </c>
      <c r="H50" s="8" t="s">
        <v>123</v>
      </c>
    </row>
    <row r="51" spans="1:8" x14ac:dyDescent="0.2">
      <c r="A51" s="22">
        <v>3</v>
      </c>
      <c r="B51" s="23" t="s">
        <v>74</v>
      </c>
      <c r="C51" s="24">
        <v>835</v>
      </c>
      <c r="D51" s="8">
        <v>1.8</v>
      </c>
      <c r="E51" s="8">
        <v>2.2000000000000002</v>
      </c>
      <c r="F51" s="8">
        <v>2.1</v>
      </c>
      <c r="G51" s="8">
        <f t="shared" si="0"/>
        <v>2.0299999999999998</v>
      </c>
      <c r="H51" s="8" t="s">
        <v>123</v>
      </c>
    </row>
    <row r="52" spans="1:8" x14ac:dyDescent="0.2">
      <c r="A52" s="22">
        <v>3</v>
      </c>
      <c r="B52" s="23" t="s">
        <v>74</v>
      </c>
      <c r="C52" s="24">
        <v>844</v>
      </c>
      <c r="D52" s="8">
        <v>1.5</v>
      </c>
      <c r="E52" s="8">
        <v>1.5</v>
      </c>
      <c r="F52" s="8">
        <v>1.5</v>
      </c>
      <c r="G52" s="8">
        <f t="shared" si="0"/>
        <v>1.5</v>
      </c>
      <c r="H52" s="8" t="s">
        <v>123</v>
      </c>
    </row>
    <row r="53" spans="1:8" x14ac:dyDescent="0.2">
      <c r="A53" s="22">
        <v>3</v>
      </c>
      <c r="B53" s="23" t="s">
        <v>74</v>
      </c>
      <c r="C53" s="24">
        <v>845</v>
      </c>
      <c r="D53" s="8">
        <v>1.3</v>
      </c>
      <c r="E53" s="8">
        <v>1.3</v>
      </c>
      <c r="F53" s="8">
        <v>1.3</v>
      </c>
      <c r="G53" s="8">
        <f t="shared" si="0"/>
        <v>1.3</v>
      </c>
      <c r="H53" s="8" t="s">
        <v>123</v>
      </c>
    </row>
    <row r="54" spans="1:8" x14ac:dyDescent="0.2">
      <c r="A54" s="22">
        <v>3</v>
      </c>
      <c r="B54" s="23" t="s">
        <v>74</v>
      </c>
      <c r="C54" s="24">
        <v>846</v>
      </c>
      <c r="D54" s="8">
        <v>1.2</v>
      </c>
      <c r="E54" s="8">
        <v>1.1000000000000001</v>
      </c>
      <c r="F54" s="8">
        <v>1.2</v>
      </c>
      <c r="G54" s="8">
        <f t="shared" si="0"/>
        <v>1.17</v>
      </c>
      <c r="H54" s="8" t="s">
        <v>123</v>
      </c>
    </row>
    <row r="55" spans="1:8" x14ac:dyDescent="0.2">
      <c r="A55" s="22">
        <v>3</v>
      </c>
      <c r="B55" s="23" t="s">
        <v>74</v>
      </c>
      <c r="C55" s="24">
        <v>849</v>
      </c>
      <c r="D55" s="8">
        <v>1.8</v>
      </c>
      <c r="E55" s="8">
        <v>1.8</v>
      </c>
      <c r="F55" s="8">
        <v>1.8</v>
      </c>
      <c r="G55" s="8">
        <f t="shared" si="0"/>
        <v>1.8</v>
      </c>
      <c r="H55" s="8" t="s">
        <v>123</v>
      </c>
    </row>
    <row r="56" spans="1:8" x14ac:dyDescent="0.2">
      <c r="A56" s="22">
        <v>3</v>
      </c>
      <c r="B56" s="23" t="s">
        <v>74</v>
      </c>
      <c r="C56" s="24">
        <v>856</v>
      </c>
      <c r="D56" s="8">
        <v>1.6</v>
      </c>
      <c r="E56" s="8">
        <v>1.6</v>
      </c>
      <c r="F56" s="8">
        <v>1.6</v>
      </c>
      <c r="G56" s="8">
        <f t="shared" si="0"/>
        <v>1.6</v>
      </c>
      <c r="H56" s="8" t="s">
        <v>123</v>
      </c>
    </row>
    <row r="57" spans="1:8" x14ac:dyDescent="0.2">
      <c r="A57" s="22">
        <v>3</v>
      </c>
      <c r="B57" s="23" t="s">
        <v>74</v>
      </c>
      <c r="C57" s="24">
        <v>859</v>
      </c>
      <c r="D57" s="8">
        <v>1.6</v>
      </c>
      <c r="E57" s="8">
        <v>1.7</v>
      </c>
      <c r="F57" s="8">
        <v>1.7</v>
      </c>
      <c r="G57" s="8">
        <f t="shared" si="0"/>
        <v>1.67</v>
      </c>
      <c r="H57" s="8" t="s">
        <v>123</v>
      </c>
    </row>
    <row r="58" spans="1:8" x14ac:dyDescent="0.2">
      <c r="A58" s="22">
        <v>3</v>
      </c>
      <c r="B58" s="23" t="s">
        <v>74</v>
      </c>
      <c r="C58" s="24">
        <v>861</v>
      </c>
      <c r="D58" s="8">
        <v>1.6</v>
      </c>
      <c r="E58" s="8">
        <v>1.6</v>
      </c>
      <c r="F58" s="8">
        <v>1.6</v>
      </c>
      <c r="G58" s="8">
        <f t="shared" si="0"/>
        <v>1.6</v>
      </c>
      <c r="H58" s="8" t="s">
        <v>123</v>
      </c>
    </row>
    <row r="59" spans="1:8" x14ac:dyDescent="0.2">
      <c r="A59" s="22">
        <v>3</v>
      </c>
      <c r="B59" s="23" t="s">
        <v>74</v>
      </c>
      <c r="C59" s="24">
        <v>862</v>
      </c>
      <c r="D59" s="8">
        <v>1.3</v>
      </c>
      <c r="E59" s="8">
        <v>1.7</v>
      </c>
      <c r="F59" s="8">
        <v>1.6</v>
      </c>
      <c r="G59" s="8">
        <f t="shared" si="0"/>
        <v>1.53</v>
      </c>
      <c r="H59" s="8" t="s">
        <v>123</v>
      </c>
    </row>
    <row r="60" spans="1:8" x14ac:dyDescent="0.2">
      <c r="A60" s="22">
        <v>3</v>
      </c>
      <c r="B60" s="23" t="s">
        <v>74</v>
      </c>
      <c r="C60" s="24">
        <v>865</v>
      </c>
      <c r="D60" s="8">
        <v>1.6</v>
      </c>
      <c r="E60" s="8">
        <v>1.6</v>
      </c>
      <c r="F60" s="8">
        <v>1.6</v>
      </c>
      <c r="G60" s="8">
        <f t="shared" si="0"/>
        <v>1.6</v>
      </c>
      <c r="H60" s="8" t="s">
        <v>123</v>
      </c>
    </row>
    <row r="61" spans="1:8" x14ac:dyDescent="0.2">
      <c r="A61" s="22">
        <v>3</v>
      </c>
      <c r="B61" s="23" t="s">
        <v>74</v>
      </c>
      <c r="C61" s="24">
        <v>866</v>
      </c>
      <c r="D61" s="8">
        <v>1.7</v>
      </c>
      <c r="E61" s="8">
        <v>1.9</v>
      </c>
      <c r="F61" s="8">
        <v>2</v>
      </c>
      <c r="G61" s="8">
        <f t="shared" si="0"/>
        <v>1.87</v>
      </c>
      <c r="H61" s="8" t="s">
        <v>123</v>
      </c>
    </row>
    <row r="62" spans="1:8" x14ac:dyDescent="0.2">
      <c r="A62" s="22">
        <v>3</v>
      </c>
      <c r="B62" s="23" t="s">
        <v>74</v>
      </c>
      <c r="C62" s="24">
        <v>871</v>
      </c>
      <c r="D62" s="8">
        <v>2</v>
      </c>
      <c r="E62" s="8">
        <v>2</v>
      </c>
      <c r="F62" s="8">
        <v>2</v>
      </c>
      <c r="G62" s="8">
        <f t="shared" si="0"/>
        <v>2</v>
      </c>
      <c r="H62" s="8" t="s">
        <v>123</v>
      </c>
    </row>
    <row r="63" spans="1:8" x14ac:dyDescent="0.2">
      <c r="A63" s="22">
        <v>3</v>
      </c>
      <c r="B63" s="23" t="s">
        <v>74</v>
      </c>
      <c r="C63" s="24">
        <v>873</v>
      </c>
      <c r="D63" s="8">
        <v>1.7</v>
      </c>
      <c r="E63" s="8">
        <v>1.7</v>
      </c>
      <c r="F63" s="8">
        <v>1.7</v>
      </c>
      <c r="G63" s="8">
        <f t="shared" si="0"/>
        <v>1.7</v>
      </c>
      <c r="H63" s="8" t="s">
        <v>123</v>
      </c>
    </row>
    <row r="64" spans="1:8" x14ac:dyDescent="0.2">
      <c r="A64" s="22">
        <v>3</v>
      </c>
      <c r="B64" s="23" t="s">
        <v>74</v>
      </c>
      <c r="C64" s="24">
        <v>874</v>
      </c>
      <c r="D64" s="8">
        <v>2.1</v>
      </c>
      <c r="E64" s="8">
        <v>2.2000000000000002</v>
      </c>
      <c r="F64" s="8">
        <v>2.2000000000000002</v>
      </c>
      <c r="G64" s="8">
        <f t="shared" si="0"/>
        <v>2.17</v>
      </c>
      <c r="H64" s="8" t="s">
        <v>123</v>
      </c>
    </row>
    <row r="65" spans="1:8" x14ac:dyDescent="0.2">
      <c r="A65" s="22">
        <v>3</v>
      </c>
      <c r="B65" s="23" t="s">
        <v>74</v>
      </c>
      <c r="C65" s="24">
        <v>877</v>
      </c>
      <c r="D65" s="8">
        <v>1</v>
      </c>
      <c r="E65" s="8">
        <v>1</v>
      </c>
      <c r="F65" s="8">
        <v>1</v>
      </c>
      <c r="G65" s="8">
        <f t="shared" si="0"/>
        <v>1</v>
      </c>
      <c r="H65" s="8" t="s">
        <v>123</v>
      </c>
    </row>
    <row r="66" spans="1:8" x14ac:dyDescent="0.2">
      <c r="A66" s="22">
        <v>3</v>
      </c>
      <c r="B66" s="23" t="s">
        <v>74</v>
      </c>
      <c r="C66" s="24">
        <v>879</v>
      </c>
      <c r="D66" s="8">
        <v>2.1</v>
      </c>
      <c r="E66" s="8">
        <v>2.2999999999999998</v>
      </c>
      <c r="F66" s="8">
        <v>2.2000000000000002</v>
      </c>
      <c r="G66" s="8">
        <f t="shared" si="0"/>
        <v>2.2000000000000002</v>
      </c>
      <c r="H66" s="8" t="s">
        <v>123</v>
      </c>
    </row>
    <row r="67" spans="1:8" x14ac:dyDescent="0.2">
      <c r="A67" s="22">
        <v>3</v>
      </c>
      <c r="B67" s="23" t="s">
        <v>74</v>
      </c>
      <c r="C67" s="24">
        <v>887</v>
      </c>
      <c r="D67" s="8">
        <v>1.9</v>
      </c>
      <c r="E67" s="8">
        <v>1.9</v>
      </c>
      <c r="F67" s="8">
        <v>1.9</v>
      </c>
      <c r="G67" s="8">
        <f t="shared" si="0"/>
        <v>1.9</v>
      </c>
      <c r="H67" s="8" t="s">
        <v>123</v>
      </c>
    </row>
    <row r="68" spans="1:8" x14ac:dyDescent="0.2">
      <c r="A68" s="22">
        <v>3</v>
      </c>
      <c r="B68" s="23" t="s">
        <v>74</v>
      </c>
      <c r="C68" s="24">
        <v>888</v>
      </c>
      <c r="D68" s="8">
        <v>0.8</v>
      </c>
      <c r="E68" s="8">
        <v>0.7</v>
      </c>
      <c r="F68" s="8">
        <v>0.7</v>
      </c>
      <c r="G68" s="8">
        <f t="shared" si="0"/>
        <v>0.73</v>
      </c>
      <c r="H68" s="8" t="s">
        <v>123</v>
      </c>
    </row>
    <row r="69" spans="1:8" x14ac:dyDescent="0.2">
      <c r="A69" s="13">
        <v>4</v>
      </c>
      <c r="B69" s="14" t="s">
        <v>104</v>
      </c>
      <c r="C69" s="15" t="s">
        <v>105</v>
      </c>
      <c r="D69" s="8">
        <v>2.8</v>
      </c>
      <c r="E69" s="8">
        <v>2.8</v>
      </c>
      <c r="F69" s="8">
        <v>2.8</v>
      </c>
      <c r="G69" s="8">
        <f t="shared" si="0"/>
        <v>2.8</v>
      </c>
      <c r="H69" s="8" t="s">
        <v>123</v>
      </c>
    </row>
    <row r="70" spans="1:8" x14ac:dyDescent="0.2">
      <c r="A70" s="16">
        <v>4</v>
      </c>
      <c r="B70" s="14" t="s">
        <v>104</v>
      </c>
      <c r="C70" s="18" t="s">
        <v>106</v>
      </c>
      <c r="D70" s="8">
        <v>2.5</v>
      </c>
      <c r="E70" s="8">
        <v>2.5</v>
      </c>
      <c r="F70" s="8">
        <v>2.2999999999999998</v>
      </c>
      <c r="G70" s="8">
        <f t="shared" si="0"/>
        <v>2.4300000000000002</v>
      </c>
      <c r="H70" s="8" t="s">
        <v>123</v>
      </c>
    </row>
    <row r="71" spans="1:8" x14ac:dyDescent="0.2">
      <c r="A71" s="16">
        <v>4</v>
      </c>
      <c r="B71" s="14" t="s">
        <v>104</v>
      </c>
      <c r="C71" s="18" t="s">
        <v>107</v>
      </c>
      <c r="D71" s="8">
        <v>5.0999999999999996</v>
      </c>
      <c r="E71" s="8">
        <v>5.2</v>
      </c>
      <c r="F71" s="8">
        <v>5.2</v>
      </c>
      <c r="G71" s="8">
        <f t="shared" si="0"/>
        <v>5.17</v>
      </c>
      <c r="H71" s="8" t="s">
        <v>123</v>
      </c>
    </row>
    <row r="72" spans="1:8" x14ac:dyDescent="0.2">
      <c r="A72" s="16">
        <v>4</v>
      </c>
      <c r="B72" s="14" t="s">
        <v>104</v>
      </c>
      <c r="C72" s="18" t="s">
        <v>108</v>
      </c>
      <c r="D72" s="8">
        <v>2.1</v>
      </c>
      <c r="E72" s="8">
        <v>2.1</v>
      </c>
      <c r="F72" s="8">
        <v>2.1</v>
      </c>
      <c r="G72" s="8">
        <f t="shared" si="0"/>
        <v>2.1</v>
      </c>
      <c r="H72" s="8" t="s">
        <v>123</v>
      </c>
    </row>
    <row r="73" spans="1:8" x14ac:dyDescent="0.2">
      <c r="A73" s="16">
        <v>4</v>
      </c>
      <c r="B73" s="14" t="s">
        <v>104</v>
      </c>
      <c r="C73" s="18" t="s">
        <v>109</v>
      </c>
      <c r="D73" s="8">
        <v>3.4</v>
      </c>
      <c r="E73" s="8">
        <v>3.4</v>
      </c>
      <c r="F73" s="8">
        <v>3.4</v>
      </c>
      <c r="G73" s="8">
        <f t="shared" si="0"/>
        <v>3.4</v>
      </c>
      <c r="H73" s="8" t="s">
        <v>123</v>
      </c>
    </row>
    <row r="74" spans="1:8" x14ac:dyDescent="0.2">
      <c r="A74" s="16">
        <v>4</v>
      </c>
      <c r="B74" s="14" t="s">
        <v>104</v>
      </c>
      <c r="C74" s="18" t="s">
        <v>110</v>
      </c>
      <c r="D74" s="8">
        <v>2.2000000000000002</v>
      </c>
      <c r="E74" s="8">
        <v>2.2000000000000002</v>
      </c>
      <c r="F74" s="8">
        <v>2.2000000000000002</v>
      </c>
      <c r="G74" s="8">
        <f t="shared" ref="G74:G102" si="1">IF(D74="NA","NA",ROUND(AVERAGE(D74:F74),2))</f>
        <v>2.2000000000000002</v>
      </c>
      <c r="H74" s="8" t="s">
        <v>123</v>
      </c>
    </row>
    <row r="75" spans="1:8" x14ac:dyDescent="0.2">
      <c r="A75" s="16">
        <v>4</v>
      </c>
      <c r="B75" s="14" t="s">
        <v>104</v>
      </c>
      <c r="C75" s="18" t="s">
        <v>111</v>
      </c>
      <c r="D75" s="8">
        <v>1.6</v>
      </c>
      <c r="E75" s="8">
        <v>1.6</v>
      </c>
      <c r="F75" s="8">
        <v>1.6</v>
      </c>
      <c r="G75" s="8">
        <f t="shared" si="1"/>
        <v>1.6</v>
      </c>
      <c r="H75" s="8" t="s">
        <v>123</v>
      </c>
    </row>
    <row r="76" spans="1:8" x14ac:dyDescent="0.2">
      <c r="A76" s="16">
        <v>4</v>
      </c>
      <c r="B76" s="14" t="s">
        <v>104</v>
      </c>
      <c r="C76" s="18" t="s">
        <v>112</v>
      </c>
      <c r="D76" s="8">
        <v>2.2999999999999998</v>
      </c>
      <c r="E76" s="8">
        <v>2.2999999999999998</v>
      </c>
      <c r="F76" s="8">
        <v>2.2999999999999998</v>
      </c>
      <c r="G76" s="8">
        <f t="shared" si="1"/>
        <v>2.2999999999999998</v>
      </c>
      <c r="H76" s="8" t="s">
        <v>123</v>
      </c>
    </row>
    <row r="77" spans="1:8" x14ac:dyDescent="0.2">
      <c r="A77" s="16">
        <v>4</v>
      </c>
      <c r="B77" s="14" t="s">
        <v>104</v>
      </c>
      <c r="C77" s="18" t="s">
        <v>113</v>
      </c>
      <c r="D77" s="8">
        <v>3</v>
      </c>
      <c r="E77" s="8">
        <v>3</v>
      </c>
      <c r="F77" s="8">
        <v>3</v>
      </c>
      <c r="G77" s="8">
        <f t="shared" si="1"/>
        <v>3</v>
      </c>
      <c r="H77" s="8" t="s">
        <v>123</v>
      </c>
    </row>
    <row r="78" spans="1:8" x14ac:dyDescent="0.2">
      <c r="A78" s="16">
        <v>4</v>
      </c>
      <c r="B78" s="14" t="s">
        <v>104</v>
      </c>
      <c r="C78" s="18" t="s">
        <v>114</v>
      </c>
      <c r="D78" s="8">
        <v>2.2000000000000002</v>
      </c>
      <c r="E78" s="8">
        <v>2.2999999999999998</v>
      </c>
      <c r="F78" s="8">
        <v>2.2999999999999998</v>
      </c>
      <c r="G78" s="8">
        <f t="shared" si="1"/>
        <v>2.27</v>
      </c>
      <c r="H78" s="8" t="s">
        <v>123</v>
      </c>
    </row>
    <row r="79" spans="1:8" x14ac:dyDescent="0.2">
      <c r="A79" s="16">
        <v>4</v>
      </c>
      <c r="B79" s="14" t="s">
        <v>104</v>
      </c>
      <c r="C79" s="18" t="s">
        <v>115</v>
      </c>
      <c r="D79" s="8">
        <v>2.9</v>
      </c>
      <c r="E79" s="8">
        <v>3.2</v>
      </c>
      <c r="F79" s="8">
        <v>3.2</v>
      </c>
      <c r="G79" s="8">
        <f t="shared" si="1"/>
        <v>3.1</v>
      </c>
      <c r="H79" s="8" t="s">
        <v>123</v>
      </c>
    </row>
    <row r="80" spans="1:8" x14ac:dyDescent="0.2">
      <c r="A80" s="16">
        <v>4</v>
      </c>
      <c r="B80" s="14" t="s">
        <v>104</v>
      </c>
      <c r="C80" s="18" t="s">
        <v>116</v>
      </c>
      <c r="D80" s="8">
        <v>2.6</v>
      </c>
      <c r="E80" s="8">
        <v>2.6</v>
      </c>
      <c r="F80" s="8">
        <v>2.6</v>
      </c>
      <c r="G80" s="8">
        <f t="shared" si="1"/>
        <v>2.6</v>
      </c>
      <c r="H80" s="8" t="s">
        <v>123</v>
      </c>
    </row>
    <row r="81" spans="1:8" x14ac:dyDescent="0.2">
      <c r="A81" s="16">
        <v>4</v>
      </c>
      <c r="B81" s="14" t="s">
        <v>104</v>
      </c>
      <c r="C81" s="18" t="s">
        <v>117</v>
      </c>
      <c r="D81" s="8">
        <v>2.8</v>
      </c>
      <c r="E81" s="8">
        <v>2.7</v>
      </c>
      <c r="F81" s="8">
        <v>2.6</v>
      </c>
      <c r="G81" s="8">
        <f t="shared" si="1"/>
        <v>2.7</v>
      </c>
      <c r="H81" s="8" t="s">
        <v>123</v>
      </c>
    </row>
    <row r="82" spans="1:8" x14ac:dyDescent="0.2">
      <c r="A82" s="16">
        <v>4</v>
      </c>
      <c r="B82" s="14" t="s">
        <v>104</v>
      </c>
      <c r="C82" s="18" t="s">
        <v>118</v>
      </c>
      <c r="D82" s="8">
        <v>2.7</v>
      </c>
      <c r="E82" s="8">
        <v>2.8</v>
      </c>
      <c r="F82" s="8">
        <v>2.8</v>
      </c>
      <c r="G82" s="8">
        <f t="shared" si="1"/>
        <v>2.77</v>
      </c>
      <c r="H82" s="8" t="s">
        <v>123</v>
      </c>
    </row>
    <row r="83" spans="1:8" x14ac:dyDescent="0.2">
      <c r="A83" s="16">
        <v>4</v>
      </c>
      <c r="B83" s="14" t="s">
        <v>104</v>
      </c>
      <c r="C83" s="18" t="s">
        <v>119</v>
      </c>
      <c r="D83" s="8">
        <v>2.1</v>
      </c>
      <c r="E83" s="8">
        <v>2.1</v>
      </c>
      <c r="F83" s="8">
        <v>2.1</v>
      </c>
      <c r="G83" s="8">
        <f t="shared" si="1"/>
        <v>2.1</v>
      </c>
      <c r="H83" s="8" t="s">
        <v>123</v>
      </c>
    </row>
    <row r="84" spans="1:8" x14ac:dyDescent="0.2">
      <c r="A84" s="16">
        <v>4</v>
      </c>
      <c r="B84" s="14" t="s">
        <v>104</v>
      </c>
      <c r="C84" s="18" t="s">
        <v>120</v>
      </c>
      <c r="D84" s="8">
        <v>2.5</v>
      </c>
      <c r="E84" s="8">
        <v>2.5</v>
      </c>
      <c r="F84" s="8">
        <v>2.5</v>
      </c>
      <c r="G84" s="8">
        <f t="shared" si="1"/>
        <v>2.5</v>
      </c>
      <c r="H84" s="8" t="s">
        <v>123</v>
      </c>
    </row>
    <row r="85" spans="1:8" x14ac:dyDescent="0.2">
      <c r="A85" s="16">
        <v>4</v>
      </c>
      <c r="B85" s="14" t="s">
        <v>104</v>
      </c>
      <c r="C85" s="18" t="s">
        <v>121</v>
      </c>
      <c r="D85" s="8">
        <v>2.8</v>
      </c>
      <c r="E85" s="8">
        <v>2.7</v>
      </c>
      <c r="F85" s="8">
        <v>2.8</v>
      </c>
      <c r="G85" s="8">
        <f t="shared" si="1"/>
        <v>2.77</v>
      </c>
      <c r="H85" s="8" t="s">
        <v>123</v>
      </c>
    </row>
    <row r="86" spans="1:8" x14ac:dyDescent="0.2">
      <c r="A86" s="16">
        <v>4</v>
      </c>
      <c r="B86" s="14" t="s">
        <v>104</v>
      </c>
      <c r="C86" s="18" t="s">
        <v>122</v>
      </c>
      <c r="D86" s="8" t="s">
        <v>123</v>
      </c>
      <c r="E86" s="8" t="s">
        <v>123</v>
      </c>
      <c r="F86" s="8" t="s">
        <v>123</v>
      </c>
      <c r="G86" s="8" t="str">
        <f t="shared" si="1"/>
        <v>NA</v>
      </c>
      <c r="H86" s="8" t="s">
        <v>123</v>
      </c>
    </row>
    <row r="87" spans="1:8" x14ac:dyDescent="0.2">
      <c r="A87" s="16">
        <v>4</v>
      </c>
      <c r="B87" s="14" t="s">
        <v>104</v>
      </c>
      <c r="C87" s="18" t="s">
        <v>124</v>
      </c>
      <c r="D87" s="8">
        <v>2</v>
      </c>
      <c r="E87" s="8">
        <v>2</v>
      </c>
      <c r="F87" s="8">
        <v>2</v>
      </c>
      <c r="G87" s="8">
        <f t="shared" si="1"/>
        <v>2</v>
      </c>
      <c r="H87" s="8" t="s">
        <v>123</v>
      </c>
    </row>
    <row r="88" spans="1:8" x14ac:dyDescent="0.2">
      <c r="A88" s="16">
        <v>4</v>
      </c>
      <c r="B88" s="14" t="s">
        <v>104</v>
      </c>
      <c r="C88" s="18" t="s">
        <v>125</v>
      </c>
      <c r="D88" s="8">
        <v>2.2000000000000002</v>
      </c>
      <c r="E88" s="8">
        <v>2.2000000000000002</v>
      </c>
      <c r="F88" s="8">
        <v>2.2000000000000002</v>
      </c>
      <c r="G88" s="8">
        <f t="shared" si="1"/>
        <v>2.2000000000000002</v>
      </c>
      <c r="H88" s="8" t="s">
        <v>123</v>
      </c>
    </row>
    <row r="89" spans="1:8" x14ac:dyDescent="0.2">
      <c r="A89" s="16">
        <v>4</v>
      </c>
      <c r="B89" s="14" t="s">
        <v>104</v>
      </c>
      <c r="C89" s="18" t="s">
        <v>126</v>
      </c>
      <c r="D89" s="8">
        <v>1.6</v>
      </c>
      <c r="E89" s="8">
        <v>1.6</v>
      </c>
      <c r="F89" s="8">
        <v>1.6</v>
      </c>
      <c r="G89" s="8">
        <f t="shared" si="1"/>
        <v>1.6</v>
      </c>
      <c r="H89" s="8" t="s">
        <v>123</v>
      </c>
    </row>
    <row r="90" spans="1:8" x14ac:dyDescent="0.2">
      <c r="A90" s="16">
        <v>4</v>
      </c>
      <c r="B90" s="14" t="s">
        <v>104</v>
      </c>
      <c r="C90" s="18" t="s">
        <v>127</v>
      </c>
      <c r="D90" s="8">
        <v>2.2000000000000002</v>
      </c>
      <c r="E90" s="8">
        <v>2.2000000000000002</v>
      </c>
      <c r="F90" s="8">
        <v>2.2000000000000002</v>
      </c>
      <c r="G90" s="8">
        <f t="shared" si="1"/>
        <v>2.2000000000000002</v>
      </c>
      <c r="H90" s="8" t="s">
        <v>123</v>
      </c>
    </row>
    <row r="91" spans="1:8" x14ac:dyDescent="0.2">
      <c r="A91" s="16">
        <v>4</v>
      </c>
      <c r="B91" s="14" t="s">
        <v>104</v>
      </c>
      <c r="C91" s="18" t="s">
        <v>128</v>
      </c>
      <c r="D91" s="8" t="s">
        <v>123</v>
      </c>
      <c r="E91" s="8" t="s">
        <v>123</v>
      </c>
      <c r="F91" s="8" t="s">
        <v>123</v>
      </c>
      <c r="G91" s="8" t="str">
        <f t="shared" si="1"/>
        <v>NA</v>
      </c>
      <c r="H91" s="8" t="s">
        <v>123</v>
      </c>
    </row>
    <row r="92" spans="1:8" x14ac:dyDescent="0.2">
      <c r="A92" s="16">
        <v>4</v>
      </c>
      <c r="B92" s="14" t="s">
        <v>104</v>
      </c>
      <c r="C92" s="18" t="s">
        <v>129</v>
      </c>
      <c r="D92" s="8">
        <v>2.4</v>
      </c>
      <c r="E92" s="8">
        <v>2.5</v>
      </c>
      <c r="F92" s="8">
        <v>2.5</v>
      </c>
      <c r="G92" s="8">
        <f t="shared" si="1"/>
        <v>2.4700000000000002</v>
      </c>
      <c r="H92" s="8" t="s">
        <v>123</v>
      </c>
    </row>
    <row r="93" spans="1:8" x14ac:dyDescent="0.2">
      <c r="A93" s="16">
        <v>4</v>
      </c>
      <c r="B93" s="14" t="s">
        <v>104</v>
      </c>
      <c r="C93" s="18" t="s">
        <v>130</v>
      </c>
      <c r="D93" s="8">
        <v>2.7</v>
      </c>
      <c r="E93" s="8">
        <v>2.7</v>
      </c>
      <c r="F93" s="8">
        <v>2.7</v>
      </c>
      <c r="G93" s="8">
        <f t="shared" si="1"/>
        <v>2.7</v>
      </c>
      <c r="H93" s="8" t="s">
        <v>123</v>
      </c>
    </row>
    <row r="94" spans="1:8" x14ac:dyDescent="0.2">
      <c r="A94" s="16">
        <v>4</v>
      </c>
      <c r="B94" s="14" t="s">
        <v>104</v>
      </c>
      <c r="C94" s="18" t="s">
        <v>131</v>
      </c>
      <c r="D94" s="8">
        <v>2.6</v>
      </c>
      <c r="E94" s="8">
        <v>2.7</v>
      </c>
      <c r="F94" s="8">
        <v>2.6</v>
      </c>
      <c r="G94" s="8">
        <f t="shared" si="1"/>
        <v>2.63</v>
      </c>
      <c r="H94" s="8" t="s">
        <v>123</v>
      </c>
    </row>
    <row r="95" spans="1:8" x14ac:dyDescent="0.2">
      <c r="A95" s="16">
        <v>4</v>
      </c>
      <c r="B95" s="14" t="s">
        <v>104</v>
      </c>
      <c r="C95" s="18" t="s">
        <v>132</v>
      </c>
      <c r="D95" s="8">
        <v>2.2000000000000002</v>
      </c>
      <c r="E95" s="8">
        <v>2</v>
      </c>
      <c r="F95" s="8">
        <v>2</v>
      </c>
      <c r="G95" s="8">
        <f t="shared" si="1"/>
        <v>2.0699999999999998</v>
      </c>
      <c r="H95" s="8" t="s">
        <v>123</v>
      </c>
    </row>
    <row r="96" spans="1:8" x14ac:dyDescent="0.2">
      <c r="A96" s="16">
        <v>4</v>
      </c>
      <c r="B96" s="14" t="s">
        <v>104</v>
      </c>
      <c r="C96" s="18" t="s">
        <v>133</v>
      </c>
      <c r="D96" s="8">
        <v>2.7</v>
      </c>
      <c r="E96" s="8">
        <v>2.9</v>
      </c>
      <c r="F96" s="8">
        <v>2.9</v>
      </c>
      <c r="G96" s="8">
        <f t="shared" si="1"/>
        <v>2.83</v>
      </c>
      <c r="H96" s="8" t="s">
        <v>123</v>
      </c>
    </row>
    <row r="97" spans="1:8" x14ac:dyDescent="0.2">
      <c r="A97" s="16">
        <v>4</v>
      </c>
      <c r="B97" s="14" t="s">
        <v>104</v>
      </c>
      <c r="C97" s="18" t="s">
        <v>134</v>
      </c>
      <c r="D97" s="8">
        <v>2.7</v>
      </c>
      <c r="E97" s="8">
        <v>2.6</v>
      </c>
      <c r="F97" s="8">
        <v>2.6</v>
      </c>
      <c r="G97" s="8">
        <f t="shared" si="1"/>
        <v>2.63</v>
      </c>
      <c r="H97" s="8" t="s">
        <v>123</v>
      </c>
    </row>
    <row r="98" spans="1:8" x14ac:dyDescent="0.2">
      <c r="A98" s="17">
        <v>4</v>
      </c>
      <c r="B98" s="17" t="s">
        <v>104</v>
      </c>
      <c r="C98" s="17" t="s">
        <v>135</v>
      </c>
      <c r="D98" s="8">
        <v>2.7</v>
      </c>
      <c r="E98" s="8">
        <v>2.5</v>
      </c>
      <c r="F98" s="8">
        <v>2.5</v>
      </c>
      <c r="G98" s="8">
        <f t="shared" si="1"/>
        <v>2.57</v>
      </c>
      <c r="H98" s="8" t="s">
        <v>123</v>
      </c>
    </row>
    <row r="99" spans="1:8" x14ac:dyDescent="0.2">
      <c r="A99" s="17">
        <v>4</v>
      </c>
      <c r="B99" s="17" t="s">
        <v>104</v>
      </c>
      <c r="C99" s="17" t="s">
        <v>136</v>
      </c>
      <c r="D99" s="8">
        <v>2.5</v>
      </c>
      <c r="E99" s="8">
        <v>2.5</v>
      </c>
      <c r="F99" s="8">
        <v>2.5</v>
      </c>
      <c r="G99" s="8">
        <f t="shared" si="1"/>
        <v>2.5</v>
      </c>
      <c r="H99" s="8" t="s">
        <v>123</v>
      </c>
    </row>
    <row r="100" spans="1:8" x14ac:dyDescent="0.2">
      <c r="A100" s="17">
        <v>4</v>
      </c>
      <c r="B100" s="17" t="s">
        <v>104</v>
      </c>
      <c r="C100" s="17" t="s">
        <v>137</v>
      </c>
      <c r="D100" s="8">
        <v>3</v>
      </c>
      <c r="E100" s="8">
        <v>3</v>
      </c>
      <c r="F100" s="8">
        <v>3</v>
      </c>
      <c r="G100" s="8">
        <f t="shared" si="1"/>
        <v>3</v>
      </c>
      <c r="H100" s="8" t="s">
        <v>123</v>
      </c>
    </row>
    <row r="101" spans="1:8" x14ac:dyDescent="0.2">
      <c r="A101" s="17">
        <v>4</v>
      </c>
      <c r="B101" s="17" t="s">
        <v>104</v>
      </c>
      <c r="C101" s="17" t="s">
        <v>138</v>
      </c>
      <c r="D101" s="8">
        <v>2.8</v>
      </c>
      <c r="E101" s="8">
        <v>2.9</v>
      </c>
      <c r="F101" s="8">
        <v>2.9</v>
      </c>
      <c r="G101" s="8">
        <f t="shared" si="1"/>
        <v>2.87</v>
      </c>
      <c r="H101" s="8" t="s">
        <v>123</v>
      </c>
    </row>
    <row r="102" spans="1:8" x14ac:dyDescent="0.2">
      <c r="A102" s="17">
        <v>4</v>
      </c>
      <c r="B102" s="17" t="s">
        <v>104</v>
      </c>
      <c r="C102" s="17" t="s">
        <v>139</v>
      </c>
      <c r="D102" s="8">
        <v>2.1</v>
      </c>
      <c r="E102" s="8">
        <v>2.1</v>
      </c>
      <c r="F102" s="8">
        <v>2.1</v>
      </c>
      <c r="G102" s="8">
        <f t="shared" si="1"/>
        <v>2.1</v>
      </c>
      <c r="H102" s="8" t="s">
        <v>123</v>
      </c>
    </row>
  </sheetData>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74443-1608-8540-A260-AD0CB9B567A0}">
  <dimension ref="A1:S102"/>
  <sheetViews>
    <sheetView workbookViewId="0">
      <selection activeCell="G1" sqref="G1:G1048576"/>
    </sheetView>
  </sheetViews>
  <sheetFormatPr baseColWidth="10" defaultColWidth="11.5" defaultRowHeight="15" x14ac:dyDescent="0.2"/>
  <cols>
    <col min="8" max="8" width="36.1640625" bestFit="1" customWidth="1"/>
  </cols>
  <sheetData>
    <row r="1" spans="1:19" ht="19" x14ac:dyDescent="0.25">
      <c r="A1" s="35" t="s">
        <v>0</v>
      </c>
      <c r="B1" s="35"/>
      <c r="C1" s="35"/>
      <c r="D1" s="35"/>
      <c r="E1" s="35"/>
      <c r="F1" s="36"/>
      <c r="G1" s="35"/>
      <c r="H1" s="35"/>
      <c r="I1" s="35"/>
      <c r="J1" s="35"/>
      <c r="K1" s="36"/>
      <c r="L1" s="35"/>
      <c r="M1" s="36"/>
      <c r="N1" s="36"/>
      <c r="O1" s="36"/>
      <c r="P1" s="36"/>
      <c r="Q1" s="36"/>
      <c r="R1" s="36"/>
      <c r="S1" s="36"/>
    </row>
    <row r="2" spans="1:19" ht="19" x14ac:dyDescent="0.25">
      <c r="A2" s="35"/>
      <c r="B2" s="35"/>
      <c r="C2" s="35"/>
      <c r="D2" s="35"/>
      <c r="E2" s="35"/>
      <c r="F2" s="36"/>
      <c r="G2" s="35"/>
      <c r="H2" s="35"/>
      <c r="I2" s="35"/>
      <c r="J2" s="35"/>
      <c r="K2" s="35"/>
      <c r="L2" s="35"/>
      <c r="M2" s="36"/>
      <c r="N2" s="36"/>
      <c r="O2" s="36"/>
      <c r="P2" s="36"/>
      <c r="Q2" s="36"/>
      <c r="R2" s="36"/>
      <c r="S2" s="36"/>
    </row>
    <row r="3" spans="1:19" ht="19" x14ac:dyDescent="0.25">
      <c r="A3" s="35" t="s">
        <v>163</v>
      </c>
      <c r="B3" s="35"/>
      <c r="C3" s="35"/>
      <c r="D3" s="35"/>
      <c r="E3" s="35"/>
      <c r="F3" s="36"/>
      <c r="G3" s="35"/>
      <c r="H3" s="35"/>
      <c r="I3" s="35"/>
      <c r="J3" s="35"/>
      <c r="K3" s="35"/>
      <c r="L3" s="35"/>
      <c r="M3" s="36"/>
      <c r="N3" s="36"/>
      <c r="O3" s="36"/>
      <c r="P3" s="36"/>
      <c r="Q3" s="36"/>
      <c r="R3" s="36"/>
      <c r="S3" s="36"/>
    </row>
    <row r="4" spans="1:19" ht="19" x14ac:dyDescent="0.25">
      <c r="A4" s="35"/>
      <c r="B4" s="35"/>
      <c r="C4" s="35"/>
      <c r="D4" s="35"/>
      <c r="E4" s="35"/>
      <c r="F4" s="36"/>
      <c r="G4" s="35"/>
      <c r="H4" s="35"/>
      <c r="I4" s="35"/>
      <c r="J4" s="35"/>
      <c r="K4" s="35"/>
      <c r="L4" s="35"/>
      <c r="M4" s="36"/>
      <c r="N4" s="36"/>
      <c r="O4" s="36"/>
      <c r="P4" s="36"/>
      <c r="Q4" s="36"/>
      <c r="R4" s="36"/>
      <c r="S4" s="36"/>
    </row>
    <row r="5" spans="1:19" ht="19" x14ac:dyDescent="0.25">
      <c r="A5" s="35" t="s">
        <v>164</v>
      </c>
      <c r="B5" s="35"/>
      <c r="C5" s="35"/>
      <c r="D5" s="35"/>
      <c r="E5" s="35"/>
      <c r="F5" s="36"/>
      <c r="G5" s="35"/>
      <c r="H5" s="35"/>
      <c r="I5" s="35"/>
      <c r="J5" s="35"/>
      <c r="K5" s="35"/>
      <c r="L5" s="35"/>
      <c r="M5" s="36"/>
      <c r="N5" s="36"/>
      <c r="O5" s="36"/>
      <c r="P5" s="36"/>
      <c r="Q5" s="36"/>
      <c r="R5" s="36"/>
      <c r="S5" s="36"/>
    </row>
    <row r="6" spans="1:19" ht="19" x14ac:dyDescent="0.25">
      <c r="A6" s="35" t="s">
        <v>165</v>
      </c>
      <c r="B6" s="35"/>
      <c r="C6" s="35"/>
      <c r="D6" s="35"/>
      <c r="E6" s="35"/>
      <c r="F6" s="35"/>
      <c r="G6" s="35"/>
      <c r="H6" s="35"/>
      <c r="I6" s="35"/>
      <c r="J6" s="35"/>
      <c r="K6" s="35"/>
      <c r="L6" s="35"/>
      <c r="M6" s="36"/>
      <c r="N6" s="36"/>
      <c r="O6" s="36"/>
      <c r="P6" s="36"/>
      <c r="Q6" s="36"/>
      <c r="R6" s="36"/>
      <c r="S6" s="36"/>
    </row>
    <row r="7" spans="1:19" x14ac:dyDescent="0.2">
      <c r="A7" s="36"/>
      <c r="B7" s="36"/>
      <c r="C7" s="36"/>
      <c r="D7" s="36"/>
      <c r="E7" s="36"/>
      <c r="F7" s="36"/>
      <c r="G7" s="36"/>
      <c r="H7" s="36"/>
      <c r="I7" s="36"/>
      <c r="J7" s="36"/>
      <c r="K7" s="36"/>
      <c r="L7" s="36"/>
      <c r="M7" s="36"/>
      <c r="N7" s="36"/>
      <c r="O7" s="36"/>
      <c r="P7" s="36"/>
      <c r="Q7" s="36"/>
      <c r="R7" s="36"/>
      <c r="S7" s="36"/>
    </row>
    <row r="8" spans="1:19" ht="28" thickBot="1" x14ac:dyDescent="0.25">
      <c r="A8" s="37" t="s">
        <v>4</v>
      </c>
      <c r="B8" s="38" t="s">
        <v>5</v>
      </c>
      <c r="C8" s="39" t="s">
        <v>7</v>
      </c>
      <c r="D8" s="40" t="s">
        <v>8</v>
      </c>
      <c r="E8" s="41" t="s">
        <v>8</v>
      </c>
      <c r="F8" s="41" t="s">
        <v>8</v>
      </c>
      <c r="G8" s="41" t="s">
        <v>9</v>
      </c>
      <c r="H8" s="60" t="s">
        <v>10</v>
      </c>
      <c r="I8" s="36"/>
      <c r="J8" s="42"/>
      <c r="K8" s="42"/>
      <c r="L8" s="42"/>
      <c r="M8" s="42"/>
      <c r="N8" s="42"/>
      <c r="O8" s="42"/>
      <c r="P8" s="42"/>
      <c r="Q8" s="42"/>
      <c r="R8" s="42"/>
      <c r="S8" s="42"/>
    </row>
    <row r="9" spans="1:19" x14ac:dyDescent="0.2">
      <c r="A9" s="43">
        <v>2</v>
      </c>
      <c r="B9" s="44" t="s">
        <v>42</v>
      </c>
      <c r="C9" s="45">
        <v>800</v>
      </c>
      <c r="D9" s="46">
        <v>1.9</v>
      </c>
      <c r="E9" s="47">
        <v>1.8</v>
      </c>
      <c r="F9" s="47">
        <v>1.8</v>
      </c>
      <c r="G9" s="8">
        <f t="shared" ref="G9:G101" si="0">IF(D9="NA","NA",ROUND(AVERAGE(D9:F9),2))</f>
        <v>1.83</v>
      </c>
      <c r="H9" s="61" t="s">
        <v>123</v>
      </c>
      <c r="I9" s="63"/>
      <c r="L9" s="36"/>
      <c r="M9" s="36"/>
      <c r="N9" s="36"/>
      <c r="O9" s="36"/>
      <c r="P9" s="36"/>
      <c r="Q9" s="36"/>
      <c r="R9" s="36"/>
      <c r="S9" s="36"/>
    </row>
    <row r="10" spans="1:19" x14ac:dyDescent="0.2">
      <c r="A10" s="43">
        <v>2</v>
      </c>
      <c r="B10" s="44" t="s">
        <v>42</v>
      </c>
      <c r="C10" s="45">
        <v>801</v>
      </c>
      <c r="D10" s="46">
        <v>1.4</v>
      </c>
      <c r="E10" s="47">
        <v>1.4</v>
      </c>
      <c r="F10" s="47">
        <v>1.4</v>
      </c>
      <c r="G10" s="8">
        <f t="shared" si="0"/>
        <v>1.4</v>
      </c>
      <c r="H10" s="61" t="s">
        <v>123</v>
      </c>
      <c r="I10" s="63"/>
      <c r="L10" s="36"/>
      <c r="M10" s="36"/>
      <c r="N10" s="36"/>
      <c r="O10" s="36"/>
      <c r="P10" s="36"/>
      <c r="Q10" s="36"/>
      <c r="R10" s="36"/>
      <c r="S10" s="36"/>
    </row>
    <row r="11" spans="1:19" x14ac:dyDescent="0.2">
      <c r="A11" s="43">
        <v>2</v>
      </c>
      <c r="B11" s="44" t="s">
        <v>42</v>
      </c>
      <c r="C11" s="45">
        <v>804</v>
      </c>
      <c r="D11" s="46">
        <v>1.9</v>
      </c>
      <c r="E11" s="47">
        <v>1.9</v>
      </c>
      <c r="F11" s="47">
        <v>1.9</v>
      </c>
      <c r="G11" s="8">
        <f t="shared" si="0"/>
        <v>1.9</v>
      </c>
      <c r="H11" s="61" t="s">
        <v>123</v>
      </c>
      <c r="I11" s="63"/>
      <c r="L11" s="36"/>
      <c r="M11" s="36"/>
      <c r="N11" s="36"/>
      <c r="O11" s="36"/>
      <c r="P11" s="36"/>
      <c r="Q11" s="36"/>
      <c r="R11" s="36"/>
      <c r="S11" s="36"/>
    </row>
    <row r="12" spans="1:19" x14ac:dyDescent="0.2">
      <c r="A12" s="43">
        <v>2</v>
      </c>
      <c r="B12" s="44" t="s">
        <v>42</v>
      </c>
      <c r="C12" s="45">
        <v>806</v>
      </c>
      <c r="D12" s="46">
        <v>1.6</v>
      </c>
      <c r="E12" s="47">
        <v>1.6</v>
      </c>
      <c r="F12" s="47">
        <v>1.6</v>
      </c>
      <c r="G12" s="8">
        <f t="shared" si="0"/>
        <v>1.6</v>
      </c>
      <c r="H12" s="61" t="s">
        <v>123</v>
      </c>
      <c r="I12" s="63"/>
      <c r="L12" s="36"/>
      <c r="M12" s="36"/>
      <c r="N12" s="36"/>
      <c r="O12" s="36"/>
      <c r="P12" s="36"/>
      <c r="Q12" s="36"/>
      <c r="R12" s="36"/>
      <c r="S12" s="36"/>
    </row>
    <row r="13" spans="1:19" x14ac:dyDescent="0.2">
      <c r="A13" s="43">
        <v>2</v>
      </c>
      <c r="B13" s="44" t="s">
        <v>42</v>
      </c>
      <c r="C13" s="45">
        <v>809</v>
      </c>
      <c r="D13" s="46">
        <v>2.8</v>
      </c>
      <c r="E13" s="47">
        <v>2.8</v>
      </c>
      <c r="F13" s="47">
        <v>2.8</v>
      </c>
      <c r="G13" s="8">
        <f t="shared" si="0"/>
        <v>2.8</v>
      </c>
      <c r="H13" s="61" t="s">
        <v>123</v>
      </c>
      <c r="I13" s="63"/>
      <c r="L13" s="36"/>
      <c r="M13" s="36"/>
      <c r="N13" s="36"/>
      <c r="O13" s="36"/>
      <c r="P13" s="36"/>
      <c r="Q13" s="36"/>
      <c r="R13" s="36"/>
      <c r="S13" s="36"/>
    </row>
    <row r="14" spans="1:19" x14ac:dyDescent="0.2">
      <c r="A14" s="43">
        <v>2</v>
      </c>
      <c r="B14" s="44" t="s">
        <v>42</v>
      </c>
      <c r="C14" s="45">
        <v>810</v>
      </c>
      <c r="D14" s="46">
        <v>3.8</v>
      </c>
      <c r="E14" s="47">
        <v>4.0999999999999996</v>
      </c>
      <c r="F14" s="47">
        <v>4.0999999999999996</v>
      </c>
      <c r="G14" s="8">
        <f t="shared" si="0"/>
        <v>4</v>
      </c>
      <c r="H14" s="61" t="s">
        <v>123</v>
      </c>
      <c r="I14" s="63"/>
      <c r="L14" s="36"/>
      <c r="M14" s="36"/>
      <c r="N14" s="36"/>
      <c r="O14" s="36"/>
      <c r="P14" s="36"/>
      <c r="Q14" s="36"/>
      <c r="R14" s="36"/>
      <c r="S14" s="36"/>
    </row>
    <row r="15" spans="1:19" x14ac:dyDescent="0.2">
      <c r="A15" s="43">
        <v>2</v>
      </c>
      <c r="B15" s="44" t="s">
        <v>42</v>
      </c>
      <c r="C15" s="45">
        <v>819</v>
      </c>
      <c r="D15" s="46">
        <v>2.5</v>
      </c>
      <c r="E15" s="47">
        <v>2.5</v>
      </c>
      <c r="F15" s="47">
        <v>2.6</v>
      </c>
      <c r="G15" s="8">
        <f t="shared" si="0"/>
        <v>2.5299999999999998</v>
      </c>
      <c r="H15" s="61" t="s">
        <v>123</v>
      </c>
      <c r="I15" s="63"/>
      <c r="L15" s="36"/>
      <c r="M15" s="36"/>
      <c r="N15" s="36"/>
      <c r="O15" s="36"/>
      <c r="P15" s="36"/>
      <c r="Q15" s="36"/>
      <c r="R15" s="36"/>
      <c r="S15" s="36"/>
    </row>
    <row r="16" spans="1:19" x14ac:dyDescent="0.2">
      <c r="A16" s="43">
        <v>2</v>
      </c>
      <c r="B16" s="44" t="s">
        <v>42</v>
      </c>
      <c r="C16" s="45">
        <v>822</v>
      </c>
      <c r="D16" s="46">
        <v>1.8</v>
      </c>
      <c r="E16" s="47">
        <v>1.8</v>
      </c>
      <c r="F16" s="47">
        <v>1.8</v>
      </c>
      <c r="G16" s="8">
        <f t="shared" si="0"/>
        <v>1.8</v>
      </c>
      <c r="H16" s="61" t="s">
        <v>123</v>
      </c>
      <c r="I16" s="63"/>
      <c r="L16" s="36"/>
      <c r="M16" s="36"/>
      <c r="N16" s="36"/>
      <c r="O16" s="36"/>
      <c r="P16" s="36"/>
      <c r="Q16" s="36"/>
      <c r="R16" s="36"/>
      <c r="S16" s="36"/>
    </row>
    <row r="17" spans="1:19" x14ac:dyDescent="0.2">
      <c r="A17" s="43">
        <v>2</v>
      </c>
      <c r="B17" s="44" t="s">
        <v>42</v>
      </c>
      <c r="C17" s="45">
        <v>823</v>
      </c>
      <c r="D17" s="46">
        <v>2.5</v>
      </c>
      <c r="E17" s="47">
        <v>2.5</v>
      </c>
      <c r="F17" s="47">
        <v>2.6</v>
      </c>
      <c r="G17" s="8">
        <f t="shared" si="0"/>
        <v>2.5299999999999998</v>
      </c>
      <c r="H17" s="61" t="s">
        <v>123</v>
      </c>
      <c r="I17" s="63"/>
      <c r="L17" s="36"/>
      <c r="M17" s="36"/>
      <c r="N17" s="36"/>
      <c r="O17" s="36"/>
      <c r="P17" s="36"/>
      <c r="Q17" s="36"/>
      <c r="R17" s="36"/>
      <c r="S17" s="36"/>
    </row>
    <row r="18" spans="1:19" x14ac:dyDescent="0.2">
      <c r="A18" s="43">
        <v>2</v>
      </c>
      <c r="B18" s="44" t="s">
        <v>42</v>
      </c>
      <c r="C18" s="45">
        <v>825</v>
      </c>
      <c r="D18" s="46">
        <v>1.8</v>
      </c>
      <c r="E18" s="47">
        <v>1.8</v>
      </c>
      <c r="F18" s="47">
        <v>1.8</v>
      </c>
      <c r="G18" s="8">
        <f t="shared" si="0"/>
        <v>1.8</v>
      </c>
      <c r="H18" s="61" t="s">
        <v>123</v>
      </c>
      <c r="I18" s="63"/>
      <c r="L18" s="36"/>
      <c r="M18" s="36"/>
      <c r="N18" s="36"/>
      <c r="O18" s="36"/>
      <c r="P18" s="36"/>
      <c r="Q18" s="36"/>
      <c r="R18" s="36"/>
      <c r="S18" s="36"/>
    </row>
    <row r="19" spans="1:19" x14ac:dyDescent="0.2">
      <c r="A19" s="43">
        <v>2</v>
      </c>
      <c r="B19" s="44" t="s">
        <v>42</v>
      </c>
      <c r="C19" s="45">
        <v>826</v>
      </c>
      <c r="D19" s="46">
        <v>1.9</v>
      </c>
      <c r="E19" s="47">
        <v>1.8</v>
      </c>
      <c r="F19" s="47">
        <v>1.9</v>
      </c>
      <c r="G19" s="8">
        <f t="shared" si="0"/>
        <v>1.87</v>
      </c>
      <c r="H19" s="61" t="s">
        <v>123</v>
      </c>
      <c r="I19" s="63"/>
      <c r="L19" s="36"/>
      <c r="M19" s="36"/>
      <c r="N19" s="36"/>
      <c r="O19" s="36"/>
      <c r="P19" s="36"/>
      <c r="Q19" s="36"/>
      <c r="R19" s="36"/>
      <c r="S19" s="36"/>
    </row>
    <row r="20" spans="1:19" x14ac:dyDescent="0.2">
      <c r="A20" s="43">
        <v>2</v>
      </c>
      <c r="B20" s="44" t="s">
        <v>42</v>
      </c>
      <c r="C20" s="45">
        <v>828</v>
      </c>
      <c r="D20" s="46">
        <v>1.4</v>
      </c>
      <c r="E20" s="47">
        <v>1.3</v>
      </c>
      <c r="F20" s="47">
        <v>1.4</v>
      </c>
      <c r="G20" s="8">
        <f t="shared" si="0"/>
        <v>1.37</v>
      </c>
      <c r="H20" s="61" t="s">
        <v>123</v>
      </c>
      <c r="I20" s="63"/>
      <c r="L20" s="36"/>
      <c r="M20" s="36"/>
      <c r="N20" s="36"/>
      <c r="O20" s="36"/>
      <c r="P20" s="36"/>
      <c r="Q20" s="36"/>
      <c r="R20" s="36"/>
      <c r="S20" s="36"/>
    </row>
    <row r="21" spans="1:19" x14ac:dyDescent="0.2">
      <c r="A21" s="43">
        <v>2</v>
      </c>
      <c r="B21" s="44" t="s">
        <v>42</v>
      </c>
      <c r="C21" s="45">
        <v>829</v>
      </c>
      <c r="D21" s="46">
        <v>1.9</v>
      </c>
      <c r="E21" s="47">
        <v>1.9</v>
      </c>
      <c r="F21" s="47">
        <v>1.9</v>
      </c>
      <c r="G21" s="8">
        <f t="shared" si="0"/>
        <v>1.9</v>
      </c>
      <c r="H21" s="61" t="s">
        <v>123</v>
      </c>
      <c r="I21" s="63"/>
      <c r="L21" s="36"/>
      <c r="M21" s="36"/>
      <c r="N21" s="36"/>
      <c r="O21" s="36"/>
      <c r="P21" s="36"/>
      <c r="Q21" s="36"/>
      <c r="R21" s="36"/>
      <c r="S21" s="36"/>
    </row>
    <row r="22" spans="1:19" x14ac:dyDescent="0.2">
      <c r="A22" s="43">
        <v>2</v>
      </c>
      <c r="B22" s="44" t="s">
        <v>42</v>
      </c>
      <c r="C22" s="45">
        <v>832</v>
      </c>
      <c r="D22" s="46">
        <v>1.8</v>
      </c>
      <c r="E22" s="47">
        <v>1.8</v>
      </c>
      <c r="F22" s="47">
        <v>1.8</v>
      </c>
      <c r="G22" s="8">
        <f t="shared" si="0"/>
        <v>1.8</v>
      </c>
      <c r="H22" s="61" t="s">
        <v>123</v>
      </c>
      <c r="I22" s="63"/>
      <c r="L22" s="36"/>
      <c r="M22" s="36"/>
      <c r="N22" s="36"/>
      <c r="O22" s="36"/>
      <c r="P22" s="36"/>
      <c r="Q22" s="36"/>
      <c r="R22" s="36"/>
      <c r="S22" s="36"/>
    </row>
    <row r="23" spans="1:19" x14ac:dyDescent="0.2">
      <c r="A23" s="43">
        <v>2</v>
      </c>
      <c r="B23" s="44" t="s">
        <v>42</v>
      </c>
      <c r="C23" s="45">
        <v>836</v>
      </c>
      <c r="D23" s="46">
        <v>2.2000000000000002</v>
      </c>
      <c r="E23" s="47">
        <v>2.2000000000000002</v>
      </c>
      <c r="F23" s="47">
        <v>2.2000000000000002</v>
      </c>
      <c r="G23" s="8">
        <f t="shared" si="0"/>
        <v>2.2000000000000002</v>
      </c>
      <c r="H23" s="61" t="s">
        <v>123</v>
      </c>
      <c r="I23" s="63"/>
      <c r="L23" s="36"/>
      <c r="M23" s="36"/>
      <c r="N23" s="36"/>
      <c r="O23" s="36"/>
      <c r="P23" s="36"/>
      <c r="Q23" s="36"/>
      <c r="R23" s="36"/>
      <c r="S23" s="36"/>
    </row>
    <row r="24" spans="1:19" x14ac:dyDescent="0.2">
      <c r="A24" s="43">
        <v>2</v>
      </c>
      <c r="B24" s="44" t="s">
        <v>42</v>
      </c>
      <c r="C24" s="45">
        <v>839</v>
      </c>
      <c r="D24" s="46">
        <v>1.8</v>
      </c>
      <c r="E24" s="47">
        <v>1.9</v>
      </c>
      <c r="F24" s="47">
        <v>1.9</v>
      </c>
      <c r="G24" s="8">
        <f t="shared" si="0"/>
        <v>1.87</v>
      </c>
      <c r="H24" s="61" t="s">
        <v>123</v>
      </c>
      <c r="I24" s="63"/>
      <c r="L24" s="36"/>
      <c r="M24" s="36"/>
      <c r="N24" s="36"/>
      <c r="O24" s="36"/>
      <c r="P24" s="36"/>
      <c r="Q24" s="36"/>
      <c r="R24" s="36"/>
      <c r="S24" s="36"/>
    </row>
    <row r="25" spans="1:19" x14ac:dyDescent="0.2">
      <c r="A25" s="43">
        <v>2</v>
      </c>
      <c r="B25" s="44" t="s">
        <v>42</v>
      </c>
      <c r="C25" s="45">
        <v>840</v>
      </c>
      <c r="D25" s="46">
        <v>1.7</v>
      </c>
      <c r="E25" s="47">
        <v>1.7</v>
      </c>
      <c r="F25" s="47">
        <v>1.8</v>
      </c>
      <c r="G25" s="8">
        <f t="shared" si="0"/>
        <v>1.73</v>
      </c>
      <c r="H25" s="61" t="s">
        <v>123</v>
      </c>
      <c r="I25" s="63"/>
      <c r="L25" s="36"/>
      <c r="M25" s="36"/>
      <c r="N25" s="36"/>
      <c r="O25" s="36"/>
      <c r="P25" s="36"/>
      <c r="Q25" s="36"/>
      <c r="R25" s="36"/>
      <c r="S25" s="36"/>
    </row>
    <row r="26" spans="1:19" x14ac:dyDescent="0.2">
      <c r="A26" s="43">
        <v>2</v>
      </c>
      <c r="B26" s="44" t="s">
        <v>42</v>
      </c>
      <c r="C26" s="45">
        <v>841</v>
      </c>
      <c r="D26" s="46">
        <v>1.7</v>
      </c>
      <c r="E26" s="47">
        <v>1.8</v>
      </c>
      <c r="F26" s="47">
        <v>1.8</v>
      </c>
      <c r="G26" s="8">
        <f t="shared" si="0"/>
        <v>1.77</v>
      </c>
      <c r="H26" s="61" t="s">
        <v>123</v>
      </c>
      <c r="I26" s="63"/>
      <c r="L26" s="36"/>
      <c r="M26" s="36"/>
      <c r="N26" s="36"/>
      <c r="O26" s="36"/>
      <c r="P26" s="36"/>
      <c r="Q26" s="36"/>
      <c r="R26" s="36"/>
      <c r="S26" s="36"/>
    </row>
    <row r="27" spans="1:19" x14ac:dyDescent="0.2">
      <c r="A27" s="43">
        <v>2</v>
      </c>
      <c r="B27" s="44" t="s">
        <v>42</v>
      </c>
      <c r="C27" s="45">
        <v>843</v>
      </c>
      <c r="D27" s="46">
        <v>1.9</v>
      </c>
      <c r="E27" s="47">
        <v>1.9</v>
      </c>
      <c r="F27" s="47">
        <v>1.9</v>
      </c>
      <c r="G27" s="8">
        <f t="shared" si="0"/>
        <v>1.9</v>
      </c>
      <c r="H27" s="61" t="s">
        <v>123</v>
      </c>
      <c r="I27" s="63"/>
      <c r="L27" s="36"/>
      <c r="M27" s="36"/>
      <c r="N27" s="36"/>
      <c r="O27" s="36"/>
      <c r="P27" s="36"/>
      <c r="Q27" s="36"/>
      <c r="R27" s="36"/>
      <c r="S27" s="36"/>
    </row>
    <row r="28" spans="1:19" x14ac:dyDescent="0.2">
      <c r="A28" s="43">
        <v>2</v>
      </c>
      <c r="B28" s="44" t="s">
        <v>42</v>
      </c>
      <c r="C28" s="45">
        <v>850</v>
      </c>
      <c r="D28" s="46">
        <v>1.8</v>
      </c>
      <c r="E28" s="47">
        <v>1.9</v>
      </c>
      <c r="F28" s="47">
        <v>1.8</v>
      </c>
      <c r="G28" s="8">
        <f t="shared" si="0"/>
        <v>1.83</v>
      </c>
      <c r="H28" s="61" t="s">
        <v>123</v>
      </c>
      <c r="I28" s="63"/>
      <c r="L28" s="36"/>
      <c r="M28" s="36"/>
      <c r="N28" s="36"/>
      <c r="O28" s="36"/>
      <c r="P28" s="36"/>
      <c r="Q28" s="36"/>
      <c r="R28" s="36"/>
      <c r="S28" s="36"/>
    </row>
    <row r="29" spans="1:19" x14ac:dyDescent="0.2">
      <c r="A29" s="43">
        <v>2</v>
      </c>
      <c r="B29" s="44" t="s">
        <v>42</v>
      </c>
      <c r="C29" s="45">
        <v>852</v>
      </c>
      <c r="D29" s="46">
        <v>1.3</v>
      </c>
      <c r="E29" s="47">
        <v>1.3</v>
      </c>
      <c r="F29" s="47">
        <v>1.3</v>
      </c>
      <c r="G29" s="8">
        <f t="shared" si="0"/>
        <v>1.3</v>
      </c>
      <c r="H29" s="61" t="s">
        <v>123</v>
      </c>
      <c r="I29" s="63"/>
      <c r="L29" s="36"/>
      <c r="M29" s="36"/>
      <c r="N29" s="36"/>
      <c r="O29" s="36"/>
      <c r="P29" s="36"/>
      <c r="Q29" s="36"/>
      <c r="R29" s="36"/>
      <c r="S29" s="36"/>
    </row>
    <row r="30" spans="1:19" x14ac:dyDescent="0.2">
      <c r="A30" s="43">
        <v>2</v>
      </c>
      <c r="B30" s="44" t="s">
        <v>42</v>
      </c>
      <c r="C30" s="45">
        <v>854</v>
      </c>
      <c r="D30" s="46">
        <v>1.6</v>
      </c>
      <c r="E30" s="47">
        <v>1.6</v>
      </c>
      <c r="F30" s="47">
        <v>1.6</v>
      </c>
      <c r="G30" s="8">
        <f t="shared" si="0"/>
        <v>1.6</v>
      </c>
      <c r="H30" s="61" t="s">
        <v>123</v>
      </c>
      <c r="I30" s="63"/>
      <c r="L30" s="36"/>
      <c r="M30" s="36"/>
      <c r="N30" s="36"/>
      <c r="O30" s="36"/>
      <c r="P30" s="36"/>
      <c r="Q30" s="36"/>
      <c r="R30" s="36"/>
      <c r="S30" s="36"/>
    </row>
    <row r="31" spans="1:19" x14ac:dyDescent="0.2">
      <c r="A31" s="43">
        <v>2</v>
      </c>
      <c r="B31" s="44" t="s">
        <v>42</v>
      </c>
      <c r="C31" s="45">
        <v>855</v>
      </c>
      <c r="D31" s="46">
        <v>2</v>
      </c>
      <c r="E31" s="47">
        <v>2</v>
      </c>
      <c r="F31" s="47">
        <v>2</v>
      </c>
      <c r="G31" s="8">
        <f t="shared" si="0"/>
        <v>2</v>
      </c>
      <c r="H31" s="61" t="s">
        <v>123</v>
      </c>
      <c r="I31" s="63"/>
      <c r="L31" s="36"/>
      <c r="M31" s="36"/>
      <c r="N31" s="36"/>
      <c r="O31" s="36"/>
      <c r="P31" s="36"/>
      <c r="Q31" s="36"/>
      <c r="R31" s="36"/>
      <c r="S31" s="36"/>
    </row>
    <row r="32" spans="1:19" x14ac:dyDescent="0.2">
      <c r="A32" s="43">
        <v>2</v>
      </c>
      <c r="B32" s="44" t="s">
        <v>42</v>
      </c>
      <c r="C32" s="45">
        <v>857</v>
      </c>
      <c r="D32" s="46">
        <v>1.9</v>
      </c>
      <c r="E32" s="47">
        <v>1.9</v>
      </c>
      <c r="F32" s="47">
        <v>1.9</v>
      </c>
      <c r="G32" s="8">
        <f t="shared" si="0"/>
        <v>1.9</v>
      </c>
      <c r="H32" s="61" t="s">
        <v>123</v>
      </c>
      <c r="I32" s="63"/>
      <c r="L32" s="36"/>
      <c r="M32" s="36"/>
      <c r="N32" s="36"/>
      <c r="O32" s="36"/>
      <c r="P32" s="36"/>
      <c r="Q32" s="36"/>
      <c r="R32" s="36"/>
      <c r="S32" s="36"/>
    </row>
    <row r="33" spans="1:19" x14ac:dyDescent="0.2">
      <c r="A33" s="43">
        <v>2</v>
      </c>
      <c r="B33" s="44" t="s">
        <v>42</v>
      </c>
      <c r="C33" s="45">
        <v>858</v>
      </c>
      <c r="D33" s="46">
        <v>2.6</v>
      </c>
      <c r="E33" s="47">
        <v>2.6</v>
      </c>
      <c r="F33" s="47">
        <v>2.6</v>
      </c>
      <c r="G33" s="8">
        <f t="shared" si="0"/>
        <v>2.6</v>
      </c>
      <c r="H33" s="61" t="s">
        <v>123</v>
      </c>
      <c r="I33" s="63"/>
      <c r="L33" s="36"/>
      <c r="M33" s="36"/>
      <c r="N33" s="36"/>
      <c r="O33" s="36"/>
      <c r="P33" s="36"/>
      <c r="Q33" s="36"/>
      <c r="R33" s="36"/>
      <c r="S33" s="36"/>
    </row>
    <row r="34" spans="1:19" x14ac:dyDescent="0.2">
      <c r="A34" s="43">
        <v>2</v>
      </c>
      <c r="B34" s="44" t="s">
        <v>42</v>
      </c>
      <c r="C34" s="45">
        <v>870</v>
      </c>
      <c r="D34" s="46">
        <v>1.8</v>
      </c>
      <c r="E34" s="47">
        <v>1.8</v>
      </c>
      <c r="F34" s="47">
        <v>1.8</v>
      </c>
      <c r="G34" s="8">
        <f t="shared" si="0"/>
        <v>1.8</v>
      </c>
      <c r="H34" s="61" t="s">
        <v>123</v>
      </c>
      <c r="I34" s="63"/>
      <c r="L34" s="36"/>
      <c r="M34" s="36"/>
      <c r="N34" s="36"/>
      <c r="O34" s="36"/>
      <c r="P34" s="36"/>
      <c r="Q34" s="36"/>
      <c r="R34" s="36"/>
      <c r="S34" s="36"/>
    </row>
    <row r="35" spans="1:19" x14ac:dyDescent="0.2">
      <c r="A35" s="43">
        <v>2</v>
      </c>
      <c r="B35" s="44" t="s">
        <v>42</v>
      </c>
      <c r="C35" s="45">
        <v>875</v>
      </c>
      <c r="D35" s="46">
        <v>2</v>
      </c>
      <c r="E35" s="47">
        <v>2</v>
      </c>
      <c r="F35" s="47">
        <v>2</v>
      </c>
      <c r="G35" s="8">
        <f t="shared" si="0"/>
        <v>2</v>
      </c>
      <c r="H35" s="61" t="s">
        <v>123</v>
      </c>
      <c r="I35" s="63"/>
      <c r="L35" s="36"/>
      <c r="M35" s="36"/>
      <c r="N35" s="36"/>
      <c r="O35" s="36"/>
      <c r="P35" s="36"/>
      <c r="Q35" s="36"/>
      <c r="R35" s="36"/>
      <c r="S35" s="36"/>
    </row>
    <row r="36" spans="1:19" x14ac:dyDescent="0.2">
      <c r="A36" s="43">
        <v>2</v>
      </c>
      <c r="B36" s="44" t="s">
        <v>42</v>
      </c>
      <c r="C36" s="45">
        <v>880</v>
      </c>
      <c r="D36" s="46">
        <v>2.4</v>
      </c>
      <c r="E36" s="47">
        <v>2.4</v>
      </c>
      <c r="F36" s="47">
        <v>0.23</v>
      </c>
      <c r="G36" s="8">
        <f t="shared" si="0"/>
        <v>1.68</v>
      </c>
      <c r="H36" s="62" t="s">
        <v>166</v>
      </c>
      <c r="I36" s="63"/>
      <c r="L36" s="36"/>
      <c r="M36" s="36"/>
      <c r="N36" s="36"/>
      <c r="O36" s="36"/>
      <c r="P36" s="36"/>
      <c r="Q36" s="36"/>
      <c r="R36" s="36"/>
      <c r="S36" s="36"/>
    </row>
    <row r="37" spans="1:19" x14ac:dyDescent="0.2">
      <c r="A37" s="43">
        <v>2</v>
      </c>
      <c r="B37" s="44" t="s">
        <v>42</v>
      </c>
      <c r="C37" s="45">
        <v>883</v>
      </c>
      <c r="D37" s="46">
        <v>1.7</v>
      </c>
      <c r="E37" s="47">
        <v>1.7</v>
      </c>
      <c r="F37" s="47">
        <v>1.7</v>
      </c>
      <c r="G37" s="8">
        <f t="shared" si="0"/>
        <v>1.7</v>
      </c>
      <c r="H37" s="61" t="s">
        <v>123</v>
      </c>
      <c r="I37" s="63"/>
      <c r="L37" s="36"/>
      <c r="M37" s="36"/>
      <c r="N37" s="36"/>
      <c r="O37" s="36"/>
      <c r="P37" s="36"/>
      <c r="Q37" s="36"/>
      <c r="R37" s="36"/>
      <c r="S37" s="36"/>
    </row>
    <row r="38" spans="1:19" x14ac:dyDescent="0.2">
      <c r="A38" s="43">
        <v>2</v>
      </c>
      <c r="B38" s="44" t="s">
        <v>42</v>
      </c>
      <c r="C38" s="45">
        <v>884</v>
      </c>
      <c r="D38" s="46">
        <v>1.5</v>
      </c>
      <c r="E38" s="47">
        <v>1.5</v>
      </c>
      <c r="F38" s="47">
        <v>1.5</v>
      </c>
      <c r="G38" s="8">
        <f t="shared" si="0"/>
        <v>1.5</v>
      </c>
      <c r="H38" s="62" t="s">
        <v>167</v>
      </c>
      <c r="I38" s="63"/>
      <c r="L38" s="36"/>
      <c r="M38" s="36"/>
      <c r="N38" s="36"/>
      <c r="O38" s="36"/>
      <c r="P38" s="36"/>
      <c r="Q38" s="36"/>
      <c r="R38" s="36"/>
      <c r="S38" s="36"/>
    </row>
    <row r="39" spans="1:19" ht="16" thickBot="1" x14ac:dyDescent="0.25">
      <c r="A39" s="48">
        <v>2</v>
      </c>
      <c r="B39" s="49" t="s">
        <v>42</v>
      </c>
      <c r="C39" s="50">
        <v>886</v>
      </c>
      <c r="D39" s="46">
        <v>2.2000000000000002</v>
      </c>
      <c r="E39" s="47">
        <v>2.2000000000000002</v>
      </c>
      <c r="F39" s="47">
        <v>2.2000000000000002</v>
      </c>
      <c r="G39" s="8">
        <f t="shared" si="0"/>
        <v>2.2000000000000002</v>
      </c>
      <c r="H39" s="62" t="s">
        <v>168</v>
      </c>
      <c r="I39" s="63"/>
      <c r="L39" s="36"/>
      <c r="M39" s="36"/>
      <c r="N39" s="36"/>
      <c r="O39" s="36"/>
      <c r="P39" s="36"/>
      <c r="Q39" s="36"/>
      <c r="R39" s="36"/>
      <c r="S39" s="36"/>
    </row>
    <row r="40" spans="1:19" x14ac:dyDescent="0.2">
      <c r="A40" s="19">
        <v>3</v>
      </c>
      <c r="B40" s="20" t="s">
        <v>74</v>
      </c>
      <c r="C40" s="21">
        <v>802</v>
      </c>
      <c r="D40" s="8">
        <v>1.6</v>
      </c>
      <c r="E40" s="8">
        <v>1.6</v>
      </c>
      <c r="F40" s="8">
        <v>1.6</v>
      </c>
      <c r="G40" s="8">
        <f t="shared" si="0"/>
        <v>1.6</v>
      </c>
      <c r="H40" s="61" t="s">
        <v>169</v>
      </c>
      <c r="I40" s="63"/>
    </row>
    <row r="41" spans="1:19" x14ac:dyDescent="0.2">
      <c r="A41" s="22">
        <v>3</v>
      </c>
      <c r="B41" s="23" t="s">
        <v>74</v>
      </c>
      <c r="C41" s="24">
        <v>803</v>
      </c>
      <c r="D41" s="8">
        <v>1.8</v>
      </c>
      <c r="E41" s="8">
        <v>1.9</v>
      </c>
      <c r="F41" s="8">
        <v>1.9</v>
      </c>
      <c r="G41" s="8">
        <f t="shared" si="0"/>
        <v>1.87</v>
      </c>
      <c r="H41" s="61" t="s">
        <v>169</v>
      </c>
      <c r="I41" s="63"/>
    </row>
    <row r="42" spans="1:19" x14ac:dyDescent="0.2">
      <c r="A42" s="22">
        <v>3</v>
      </c>
      <c r="B42" s="23" t="s">
        <v>74</v>
      </c>
      <c r="C42" s="24">
        <v>808</v>
      </c>
      <c r="D42" s="8">
        <v>1.4</v>
      </c>
      <c r="E42" s="8">
        <v>1.3</v>
      </c>
      <c r="F42" s="8">
        <v>1.4</v>
      </c>
      <c r="G42" s="8">
        <f t="shared" si="0"/>
        <v>1.37</v>
      </c>
      <c r="H42" s="61" t="s">
        <v>169</v>
      </c>
      <c r="I42" s="63"/>
    </row>
    <row r="43" spans="1:19" x14ac:dyDescent="0.2">
      <c r="A43" s="22">
        <v>3</v>
      </c>
      <c r="B43" s="23" t="s">
        <v>74</v>
      </c>
      <c r="C43" s="24">
        <v>811</v>
      </c>
      <c r="D43" s="8">
        <v>2.2000000000000002</v>
      </c>
      <c r="E43" s="8">
        <v>2.2999999999999998</v>
      </c>
      <c r="F43" s="8">
        <v>2.1</v>
      </c>
      <c r="G43" s="8">
        <f t="shared" si="0"/>
        <v>2.2000000000000002</v>
      </c>
      <c r="H43" s="61" t="s">
        <v>169</v>
      </c>
      <c r="I43" s="63"/>
    </row>
    <row r="44" spans="1:19" x14ac:dyDescent="0.2">
      <c r="A44" s="22">
        <v>3</v>
      </c>
      <c r="B44" s="23" t="s">
        <v>74</v>
      </c>
      <c r="C44" s="24">
        <v>812</v>
      </c>
      <c r="D44" s="8">
        <v>2.1</v>
      </c>
      <c r="E44" s="8">
        <v>2</v>
      </c>
      <c r="F44" s="8">
        <v>2</v>
      </c>
      <c r="G44" s="8">
        <f t="shared" si="0"/>
        <v>2.0299999999999998</v>
      </c>
      <c r="H44" s="61" t="s">
        <v>169</v>
      </c>
      <c r="I44" s="63"/>
    </row>
    <row r="45" spans="1:19" x14ac:dyDescent="0.2">
      <c r="A45" s="22">
        <v>3</v>
      </c>
      <c r="B45" s="23" t="s">
        <v>74</v>
      </c>
      <c r="C45" s="24">
        <v>815</v>
      </c>
      <c r="D45" s="8">
        <v>2.6</v>
      </c>
      <c r="E45" s="8">
        <v>2.7</v>
      </c>
      <c r="F45" s="8">
        <v>2.7</v>
      </c>
      <c r="G45" s="8">
        <f t="shared" si="0"/>
        <v>2.67</v>
      </c>
      <c r="H45" s="61" t="s">
        <v>169</v>
      </c>
      <c r="I45" s="63"/>
    </row>
    <row r="46" spans="1:19" x14ac:dyDescent="0.2">
      <c r="A46" s="22">
        <v>3</v>
      </c>
      <c r="B46" s="23" t="s">
        <v>74</v>
      </c>
      <c r="C46" s="24">
        <v>816</v>
      </c>
      <c r="D46" s="8">
        <v>1.9</v>
      </c>
      <c r="E46" s="8">
        <v>2</v>
      </c>
      <c r="F46" s="8">
        <v>2</v>
      </c>
      <c r="G46" s="8">
        <f t="shared" si="0"/>
        <v>1.97</v>
      </c>
      <c r="H46" s="61" t="s">
        <v>169</v>
      </c>
      <c r="I46" s="63"/>
    </row>
    <row r="47" spans="1:19" x14ac:dyDescent="0.2">
      <c r="A47" s="22">
        <v>3</v>
      </c>
      <c r="B47" s="23" t="s">
        <v>74</v>
      </c>
      <c r="C47" s="24">
        <v>817</v>
      </c>
      <c r="D47" s="8">
        <v>1.5</v>
      </c>
      <c r="E47" s="8">
        <v>1.4</v>
      </c>
      <c r="F47" s="8">
        <v>1.3</v>
      </c>
      <c r="G47" s="8">
        <f t="shared" si="0"/>
        <v>1.4</v>
      </c>
      <c r="H47" s="61" t="s">
        <v>169</v>
      </c>
      <c r="I47" s="63"/>
    </row>
    <row r="48" spans="1:19" x14ac:dyDescent="0.2">
      <c r="A48" s="22">
        <v>3</v>
      </c>
      <c r="B48" s="23" t="s">
        <v>74</v>
      </c>
      <c r="C48" s="24">
        <v>818</v>
      </c>
      <c r="D48" s="8">
        <v>1.9</v>
      </c>
      <c r="E48" s="8">
        <v>2.1</v>
      </c>
      <c r="F48" s="8">
        <v>2</v>
      </c>
      <c r="G48" s="8">
        <f t="shared" si="0"/>
        <v>2</v>
      </c>
      <c r="H48" s="61" t="s">
        <v>169</v>
      </c>
      <c r="I48" s="63"/>
    </row>
    <row r="49" spans="1:9" x14ac:dyDescent="0.2">
      <c r="A49" s="22">
        <v>3</v>
      </c>
      <c r="B49" s="23" t="s">
        <v>74</v>
      </c>
      <c r="C49" s="24">
        <v>833</v>
      </c>
      <c r="D49" s="8">
        <v>0.9</v>
      </c>
      <c r="E49" s="8">
        <v>1.2</v>
      </c>
      <c r="F49" s="8">
        <v>1.2</v>
      </c>
      <c r="G49" s="8">
        <f t="shared" si="0"/>
        <v>1.1000000000000001</v>
      </c>
      <c r="H49" s="61" t="s">
        <v>169</v>
      </c>
      <c r="I49" s="63"/>
    </row>
    <row r="50" spans="1:9" x14ac:dyDescent="0.2">
      <c r="A50" s="22">
        <v>3</v>
      </c>
      <c r="B50" s="23" t="s">
        <v>74</v>
      </c>
      <c r="C50" s="24">
        <v>834</v>
      </c>
      <c r="D50" s="8">
        <v>1.8</v>
      </c>
      <c r="E50" s="8">
        <v>1.7</v>
      </c>
      <c r="F50" s="8">
        <v>1.7</v>
      </c>
      <c r="G50" s="8">
        <f t="shared" si="0"/>
        <v>1.73</v>
      </c>
      <c r="H50" s="61" t="s">
        <v>169</v>
      </c>
      <c r="I50" s="63"/>
    </row>
    <row r="51" spans="1:9" x14ac:dyDescent="0.2">
      <c r="A51" s="22">
        <v>3</v>
      </c>
      <c r="B51" s="23" t="s">
        <v>74</v>
      </c>
      <c r="C51" s="24">
        <v>835</v>
      </c>
      <c r="D51" s="8">
        <v>1.7</v>
      </c>
      <c r="E51" s="8">
        <v>2.2000000000000002</v>
      </c>
      <c r="F51" s="8">
        <v>2.1</v>
      </c>
      <c r="G51" s="8">
        <f t="shared" si="0"/>
        <v>2</v>
      </c>
      <c r="H51" s="61" t="s">
        <v>169</v>
      </c>
      <c r="I51" s="63"/>
    </row>
    <row r="52" spans="1:9" x14ac:dyDescent="0.2">
      <c r="A52" s="22">
        <v>3</v>
      </c>
      <c r="B52" s="23" t="s">
        <v>74</v>
      </c>
      <c r="C52" s="24">
        <v>844</v>
      </c>
      <c r="D52" s="8">
        <v>1.4</v>
      </c>
      <c r="E52" s="8">
        <v>1.5</v>
      </c>
      <c r="F52" s="8">
        <v>1.5</v>
      </c>
      <c r="G52" s="8">
        <f t="shared" si="0"/>
        <v>1.47</v>
      </c>
      <c r="H52" s="61" t="s">
        <v>169</v>
      </c>
      <c r="I52" s="63"/>
    </row>
    <row r="53" spans="1:9" x14ac:dyDescent="0.2">
      <c r="A53" s="22">
        <v>3</v>
      </c>
      <c r="B53" s="23" t="s">
        <v>74</v>
      </c>
      <c r="C53" s="24">
        <v>845</v>
      </c>
      <c r="D53" s="8">
        <v>1.5</v>
      </c>
      <c r="E53" s="8">
        <v>1.3</v>
      </c>
      <c r="F53" s="8">
        <v>1.3</v>
      </c>
      <c r="G53" s="8">
        <f t="shared" si="0"/>
        <v>1.37</v>
      </c>
      <c r="H53" s="61" t="s">
        <v>169</v>
      </c>
      <c r="I53" s="63"/>
    </row>
    <row r="54" spans="1:9" x14ac:dyDescent="0.2">
      <c r="A54" s="22">
        <v>3</v>
      </c>
      <c r="B54" s="23" t="s">
        <v>74</v>
      </c>
      <c r="C54" s="24">
        <v>846</v>
      </c>
      <c r="D54" s="8">
        <v>1.3</v>
      </c>
      <c r="E54" s="8">
        <v>1.1000000000000001</v>
      </c>
      <c r="F54" s="8">
        <v>1.2</v>
      </c>
      <c r="G54" s="8">
        <f t="shared" si="0"/>
        <v>1.2</v>
      </c>
      <c r="H54" s="61" t="s">
        <v>169</v>
      </c>
      <c r="I54" s="63"/>
    </row>
    <row r="55" spans="1:9" x14ac:dyDescent="0.2">
      <c r="A55" s="22">
        <v>3</v>
      </c>
      <c r="B55" s="23" t="s">
        <v>74</v>
      </c>
      <c r="C55" s="24">
        <v>849</v>
      </c>
      <c r="D55" s="8">
        <v>1.7</v>
      </c>
      <c r="E55" s="8">
        <v>1.8</v>
      </c>
      <c r="F55" s="8">
        <v>1.8</v>
      </c>
      <c r="G55" s="8">
        <f t="shared" si="0"/>
        <v>1.77</v>
      </c>
      <c r="H55" s="61" t="s">
        <v>169</v>
      </c>
      <c r="I55" s="63"/>
    </row>
    <row r="56" spans="1:9" x14ac:dyDescent="0.2">
      <c r="A56" s="22">
        <v>3</v>
      </c>
      <c r="B56" s="23" t="s">
        <v>74</v>
      </c>
      <c r="C56" s="24">
        <v>856</v>
      </c>
      <c r="D56" s="8">
        <v>1.8</v>
      </c>
      <c r="E56" s="8">
        <v>1.6</v>
      </c>
      <c r="F56" s="8">
        <v>1.6</v>
      </c>
      <c r="G56" s="8">
        <f t="shared" si="0"/>
        <v>1.67</v>
      </c>
      <c r="H56" s="61" t="s">
        <v>169</v>
      </c>
      <c r="I56" s="63"/>
    </row>
    <row r="57" spans="1:9" x14ac:dyDescent="0.2">
      <c r="A57" s="22">
        <v>3</v>
      </c>
      <c r="B57" s="23" t="s">
        <v>74</v>
      </c>
      <c r="C57" s="24">
        <v>859</v>
      </c>
      <c r="D57" s="8">
        <v>1.4</v>
      </c>
      <c r="E57" s="8">
        <v>1.7</v>
      </c>
      <c r="F57" s="8">
        <v>1.7</v>
      </c>
      <c r="G57" s="8">
        <f t="shared" si="0"/>
        <v>1.6</v>
      </c>
      <c r="H57" s="61" t="s">
        <v>169</v>
      </c>
      <c r="I57" s="63"/>
    </row>
    <row r="58" spans="1:9" x14ac:dyDescent="0.2">
      <c r="A58" s="22">
        <v>3</v>
      </c>
      <c r="B58" s="23" t="s">
        <v>74</v>
      </c>
      <c r="C58" s="24">
        <v>861</v>
      </c>
      <c r="D58" s="8">
        <v>1.6</v>
      </c>
      <c r="E58" s="8">
        <v>1.6</v>
      </c>
      <c r="F58" s="8">
        <v>1.6</v>
      </c>
      <c r="G58" s="8">
        <f t="shared" si="0"/>
        <v>1.6</v>
      </c>
      <c r="H58" s="61" t="s">
        <v>169</v>
      </c>
      <c r="I58" s="63"/>
    </row>
    <row r="59" spans="1:9" x14ac:dyDescent="0.2">
      <c r="A59" s="22">
        <v>3</v>
      </c>
      <c r="B59" s="23" t="s">
        <v>74</v>
      </c>
      <c r="C59" s="24">
        <v>862</v>
      </c>
      <c r="D59" s="8">
        <v>1.4</v>
      </c>
      <c r="E59" s="8">
        <v>1.7</v>
      </c>
      <c r="F59" s="8">
        <v>1.6</v>
      </c>
      <c r="G59" s="8">
        <f t="shared" si="0"/>
        <v>1.57</v>
      </c>
      <c r="H59" s="61" t="s">
        <v>169</v>
      </c>
      <c r="I59" s="63"/>
    </row>
    <row r="60" spans="1:9" x14ac:dyDescent="0.2">
      <c r="A60" s="22">
        <v>3</v>
      </c>
      <c r="B60" s="23" t="s">
        <v>74</v>
      </c>
      <c r="C60" s="24">
        <v>865</v>
      </c>
      <c r="D60" s="8">
        <v>1.9</v>
      </c>
      <c r="E60" s="8">
        <v>1.6</v>
      </c>
      <c r="F60" s="8">
        <v>1.6</v>
      </c>
      <c r="G60" s="8">
        <f t="shared" si="0"/>
        <v>1.7</v>
      </c>
      <c r="H60" s="61" t="s">
        <v>169</v>
      </c>
      <c r="I60" s="63"/>
    </row>
    <row r="61" spans="1:9" x14ac:dyDescent="0.2">
      <c r="A61" s="22">
        <v>3</v>
      </c>
      <c r="B61" s="23" t="s">
        <v>74</v>
      </c>
      <c r="C61" s="24">
        <v>866</v>
      </c>
      <c r="D61" s="8">
        <v>1.9</v>
      </c>
      <c r="E61" s="8">
        <v>1.9</v>
      </c>
      <c r="F61" s="8">
        <v>2</v>
      </c>
      <c r="G61" s="8">
        <f t="shared" si="0"/>
        <v>1.93</v>
      </c>
      <c r="H61" s="61" t="s">
        <v>169</v>
      </c>
      <c r="I61" s="63"/>
    </row>
    <row r="62" spans="1:9" x14ac:dyDescent="0.2">
      <c r="A62" s="22">
        <v>3</v>
      </c>
      <c r="B62" s="23" t="s">
        <v>74</v>
      </c>
      <c r="C62" s="24">
        <v>871</v>
      </c>
      <c r="D62" s="8">
        <v>2.1</v>
      </c>
      <c r="E62" s="8">
        <v>2</v>
      </c>
      <c r="F62" s="8">
        <v>2</v>
      </c>
      <c r="G62" s="8">
        <f t="shared" si="0"/>
        <v>2.0299999999999998</v>
      </c>
      <c r="H62" s="61" t="s">
        <v>169</v>
      </c>
      <c r="I62" s="63"/>
    </row>
    <row r="63" spans="1:9" x14ac:dyDescent="0.2">
      <c r="A63" s="22">
        <v>3</v>
      </c>
      <c r="B63" s="23" t="s">
        <v>74</v>
      </c>
      <c r="C63" s="24">
        <v>873</v>
      </c>
      <c r="D63" s="8">
        <v>1.7</v>
      </c>
      <c r="E63" s="8">
        <v>1.7</v>
      </c>
      <c r="F63" s="8">
        <v>1.7</v>
      </c>
      <c r="G63" s="8">
        <f t="shared" si="0"/>
        <v>1.7</v>
      </c>
      <c r="H63" s="61" t="s">
        <v>169</v>
      </c>
      <c r="I63" s="63"/>
    </row>
    <row r="64" spans="1:9" x14ac:dyDescent="0.2">
      <c r="A64" s="22">
        <v>3</v>
      </c>
      <c r="B64" s="23" t="s">
        <v>74</v>
      </c>
      <c r="C64" s="24">
        <v>874</v>
      </c>
      <c r="D64" s="8">
        <v>2.2000000000000002</v>
      </c>
      <c r="E64" s="8">
        <v>2.2000000000000002</v>
      </c>
      <c r="F64" s="8">
        <v>2.2000000000000002</v>
      </c>
      <c r="G64" s="8">
        <f t="shared" si="0"/>
        <v>2.2000000000000002</v>
      </c>
      <c r="H64" s="61" t="s">
        <v>169</v>
      </c>
      <c r="I64" s="63"/>
    </row>
    <row r="65" spans="1:19" x14ac:dyDescent="0.2">
      <c r="A65" s="22">
        <v>3</v>
      </c>
      <c r="B65" s="23" t="s">
        <v>74</v>
      </c>
      <c r="C65" s="24">
        <v>877</v>
      </c>
      <c r="D65" s="8">
        <v>1.1000000000000001</v>
      </c>
      <c r="E65" s="8">
        <v>1</v>
      </c>
      <c r="F65" s="8">
        <v>1</v>
      </c>
      <c r="G65" s="8">
        <f t="shared" si="0"/>
        <v>1.03</v>
      </c>
      <c r="H65" s="61" t="s">
        <v>169</v>
      </c>
      <c r="I65" s="63"/>
    </row>
    <row r="66" spans="1:19" x14ac:dyDescent="0.2">
      <c r="A66" s="22">
        <v>3</v>
      </c>
      <c r="B66" s="23" t="s">
        <v>74</v>
      </c>
      <c r="C66" s="24">
        <v>879</v>
      </c>
      <c r="D66" s="8">
        <v>2.6</v>
      </c>
      <c r="E66" s="8">
        <v>2.2999999999999998</v>
      </c>
      <c r="F66" s="8">
        <v>2.2000000000000002</v>
      </c>
      <c r="G66" s="8">
        <f t="shared" si="0"/>
        <v>2.37</v>
      </c>
      <c r="H66" s="61" t="s">
        <v>169</v>
      </c>
      <c r="I66" s="63"/>
    </row>
    <row r="67" spans="1:19" x14ac:dyDescent="0.2">
      <c r="A67" s="22">
        <v>3</v>
      </c>
      <c r="B67" s="23" t="s">
        <v>74</v>
      </c>
      <c r="C67" s="24">
        <v>887</v>
      </c>
      <c r="D67" s="8">
        <v>2.2000000000000002</v>
      </c>
      <c r="E67" s="8">
        <v>1.9</v>
      </c>
      <c r="F67" s="8">
        <v>1.9</v>
      </c>
      <c r="G67" s="8">
        <f t="shared" si="0"/>
        <v>2</v>
      </c>
      <c r="H67" s="61" t="s">
        <v>169</v>
      </c>
      <c r="I67" s="63"/>
    </row>
    <row r="68" spans="1:19" x14ac:dyDescent="0.2">
      <c r="A68" s="22">
        <v>3</v>
      </c>
      <c r="B68" s="23" t="s">
        <v>74</v>
      </c>
      <c r="C68" s="24">
        <v>888</v>
      </c>
      <c r="D68" s="8">
        <v>0.8</v>
      </c>
      <c r="E68" s="8">
        <v>0.7</v>
      </c>
      <c r="F68" s="8">
        <v>0.7</v>
      </c>
      <c r="G68" s="8">
        <f t="shared" si="0"/>
        <v>0.73</v>
      </c>
      <c r="H68" s="61" t="s">
        <v>169</v>
      </c>
      <c r="I68" s="63"/>
    </row>
    <row r="69" spans="1:19" x14ac:dyDescent="0.2">
      <c r="A69" s="51">
        <v>4</v>
      </c>
      <c r="B69" s="51" t="s">
        <v>104</v>
      </c>
      <c r="C69" s="52" t="s">
        <v>105</v>
      </c>
      <c r="D69" s="46">
        <v>2.2000000000000002</v>
      </c>
      <c r="E69" s="47">
        <v>2.2000000000000002</v>
      </c>
      <c r="F69" s="47">
        <v>2.2999999999999998</v>
      </c>
      <c r="G69" s="8">
        <f t="shared" si="0"/>
        <v>2.23</v>
      </c>
      <c r="H69" s="61" t="s">
        <v>123</v>
      </c>
      <c r="I69" s="63"/>
      <c r="L69" s="36"/>
      <c r="M69" s="36"/>
      <c r="N69" s="36"/>
      <c r="O69" s="36"/>
      <c r="P69" s="36"/>
      <c r="Q69" s="36"/>
      <c r="R69" s="36"/>
      <c r="S69" s="36"/>
    </row>
    <row r="70" spans="1:19" x14ac:dyDescent="0.2">
      <c r="A70" s="51">
        <v>4</v>
      </c>
      <c r="B70" s="51" t="s">
        <v>104</v>
      </c>
      <c r="C70" s="52" t="s">
        <v>106</v>
      </c>
      <c r="D70" s="46">
        <v>2.5</v>
      </c>
      <c r="E70" s="47">
        <v>2.4</v>
      </c>
      <c r="F70" s="47">
        <v>2.4</v>
      </c>
      <c r="G70" s="8">
        <f t="shared" si="0"/>
        <v>2.4300000000000002</v>
      </c>
      <c r="H70" s="61" t="s">
        <v>123</v>
      </c>
      <c r="I70" s="63"/>
      <c r="L70" s="36"/>
      <c r="M70" s="36"/>
      <c r="N70" s="36"/>
      <c r="O70" s="36"/>
      <c r="P70" s="36"/>
      <c r="Q70" s="36"/>
      <c r="R70" s="36"/>
      <c r="S70" s="36"/>
    </row>
    <row r="71" spans="1:19" x14ac:dyDescent="0.2">
      <c r="A71" s="51">
        <v>4</v>
      </c>
      <c r="B71" s="51" t="s">
        <v>104</v>
      </c>
      <c r="C71" s="52" t="s">
        <v>107</v>
      </c>
      <c r="D71" s="46">
        <v>5.0999999999999996</v>
      </c>
      <c r="E71" s="47">
        <v>5</v>
      </c>
      <c r="F71" s="47">
        <v>5.0999999999999996</v>
      </c>
      <c r="G71" s="8">
        <f t="shared" si="0"/>
        <v>5.07</v>
      </c>
      <c r="H71" s="61" t="s">
        <v>123</v>
      </c>
      <c r="I71" s="63"/>
      <c r="L71" s="36"/>
      <c r="M71" s="36"/>
      <c r="N71" s="36"/>
      <c r="O71" s="36"/>
      <c r="P71" s="36"/>
      <c r="Q71" s="36"/>
      <c r="R71" s="36"/>
      <c r="S71" s="36"/>
    </row>
    <row r="72" spans="1:19" x14ac:dyDescent="0.2">
      <c r="A72" s="51">
        <v>4</v>
      </c>
      <c r="B72" s="51" t="s">
        <v>104</v>
      </c>
      <c r="C72" s="52" t="s">
        <v>108</v>
      </c>
      <c r="D72" s="46">
        <v>2.2000000000000002</v>
      </c>
      <c r="E72" s="47">
        <v>2.2999999999999998</v>
      </c>
      <c r="F72" s="47">
        <v>2.2000000000000002</v>
      </c>
      <c r="G72" s="8">
        <f t="shared" si="0"/>
        <v>2.23</v>
      </c>
      <c r="H72" s="61" t="s">
        <v>123</v>
      </c>
      <c r="I72" s="63"/>
      <c r="L72" s="36"/>
      <c r="M72" s="36"/>
      <c r="N72" s="36"/>
      <c r="O72" s="36"/>
      <c r="P72" s="36"/>
      <c r="Q72" s="36"/>
      <c r="R72" s="36"/>
      <c r="S72" s="36"/>
    </row>
    <row r="73" spans="1:19" x14ac:dyDescent="0.2">
      <c r="A73" s="51">
        <v>4</v>
      </c>
      <c r="B73" s="51" t="s">
        <v>104</v>
      </c>
      <c r="C73" s="52" t="s">
        <v>109</v>
      </c>
      <c r="D73" s="46">
        <v>3.3</v>
      </c>
      <c r="E73" s="47">
        <v>3.3</v>
      </c>
      <c r="F73" s="47">
        <v>3.3</v>
      </c>
      <c r="G73" s="8">
        <f t="shared" si="0"/>
        <v>3.3</v>
      </c>
      <c r="H73" s="61" t="s">
        <v>123</v>
      </c>
      <c r="I73" s="63"/>
      <c r="L73" s="36"/>
      <c r="M73" s="36"/>
      <c r="N73" s="36"/>
      <c r="O73" s="36"/>
      <c r="P73" s="36"/>
      <c r="Q73" s="36"/>
      <c r="R73" s="36"/>
      <c r="S73" s="36"/>
    </row>
    <row r="74" spans="1:19" x14ac:dyDescent="0.2">
      <c r="A74" s="51">
        <v>4</v>
      </c>
      <c r="B74" s="51" t="s">
        <v>104</v>
      </c>
      <c r="C74" s="52" t="s">
        <v>110</v>
      </c>
      <c r="D74" s="46">
        <v>2.2999999999999998</v>
      </c>
      <c r="E74" s="47">
        <v>2.4</v>
      </c>
      <c r="F74" s="47">
        <v>2.2999999999999998</v>
      </c>
      <c r="G74" s="8">
        <f t="shared" si="0"/>
        <v>2.33</v>
      </c>
      <c r="H74" s="61" t="s">
        <v>123</v>
      </c>
      <c r="I74" s="63"/>
      <c r="L74" s="36"/>
      <c r="M74" s="36"/>
      <c r="N74" s="36"/>
      <c r="O74" s="36"/>
      <c r="P74" s="36"/>
      <c r="Q74" s="36"/>
      <c r="R74" s="36"/>
      <c r="S74" s="36"/>
    </row>
    <row r="75" spans="1:19" x14ac:dyDescent="0.2">
      <c r="A75" s="51">
        <v>4</v>
      </c>
      <c r="B75" s="51" t="s">
        <v>104</v>
      </c>
      <c r="C75" s="52" t="s">
        <v>111</v>
      </c>
      <c r="D75" s="46">
        <v>1.9</v>
      </c>
      <c r="E75" s="47">
        <v>1.8</v>
      </c>
      <c r="F75" s="47">
        <v>1.9</v>
      </c>
      <c r="G75" s="8">
        <f t="shared" si="0"/>
        <v>1.87</v>
      </c>
      <c r="H75" s="61" t="s">
        <v>123</v>
      </c>
      <c r="I75" s="63"/>
      <c r="L75" s="36"/>
      <c r="M75" s="36"/>
      <c r="N75" s="36"/>
      <c r="O75" s="36"/>
      <c r="P75" s="36"/>
      <c r="Q75" s="36"/>
      <c r="R75" s="36"/>
      <c r="S75" s="36"/>
    </row>
    <row r="76" spans="1:19" x14ac:dyDescent="0.2">
      <c r="A76" s="51">
        <v>4</v>
      </c>
      <c r="B76" s="51" t="s">
        <v>104</v>
      </c>
      <c r="C76" s="52" t="s">
        <v>112</v>
      </c>
      <c r="D76" s="46">
        <v>2.2000000000000002</v>
      </c>
      <c r="E76" s="47">
        <v>2.2000000000000002</v>
      </c>
      <c r="F76" s="47">
        <v>2.2000000000000002</v>
      </c>
      <c r="G76" s="8">
        <f t="shared" si="0"/>
        <v>2.2000000000000002</v>
      </c>
      <c r="H76" s="61" t="s">
        <v>123</v>
      </c>
      <c r="I76" s="63"/>
      <c r="L76" s="36"/>
      <c r="M76" s="36"/>
      <c r="N76" s="36"/>
      <c r="O76" s="36"/>
      <c r="P76" s="36"/>
      <c r="Q76" s="36"/>
      <c r="R76" s="36"/>
      <c r="S76" s="36"/>
    </row>
    <row r="77" spans="1:19" x14ac:dyDescent="0.2">
      <c r="A77" s="51">
        <v>4</v>
      </c>
      <c r="B77" s="51" t="s">
        <v>104</v>
      </c>
      <c r="C77" s="52" t="s">
        <v>113</v>
      </c>
      <c r="D77" s="46">
        <v>3.2</v>
      </c>
      <c r="E77" s="47">
        <v>3.2</v>
      </c>
      <c r="F77" s="47">
        <v>3.3</v>
      </c>
      <c r="G77" s="8">
        <f t="shared" si="0"/>
        <v>3.23</v>
      </c>
      <c r="H77" s="61" t="s">
        <v>123</v>
      </c>
      <c r="I77" s="63"/>
      <c r="L77" s="36"/>
      <c r="M77" s="36"/>
      <c r="N77" s="36"/>
      <c r="O77" s="36"/>
      <c r="P77" s="36"/>
      <c r="Q77" s="36"/>
      <c r="R77" s="36"/>
      <c r="S77" s="36"/>
    </row>
    <row r="78" spans="1:19" x14ac:dyDescent="0.2">
      <c r="A78" s="51">
        <v>4</v>
      </c>
      <c r="B78" s="51" t="s">
        <v>104</v>
      </c>
      <c r="C78" s="52" t="s">
        <v>114</v>
      </c>
      <c r="D78" s="46">
        <v>2.1</v>
      </c>
      <c r="E78" s="47">
        <v>2.1</v>
      </c>
      <c r="F78" s="47">
        <v>2.1</v>
      </c>
      <c r="G78" s="8">
        <f t="shared" si="0"/>
        <v>2.1</v>
      </c>
      <c r="H78" s="61" t="s">
        <v>123</v>
      </c>
      <c r="I78" s="63"/>
      <c r="L78" s="36"/>
      <c r="M78" s="36"/>
      <c r="N78" s="36"/>
      <c r="O78" s="36"/>
      <c r="P78" s="36"/>
      <c r="Q78" s="36"/>
      <c r="R78" s="36"/>
      <c r="S78" s="36"/>
    </row>
    <row r="79" spans="1:19" x14ac:dyDescent="0.2">
      <c r="A79" s="51">
        <v>4</v>
      </c>
      <c r="B79" s="51" t="s">
        <v>104</v>
      </c>
      <c r="C79" s="52" t="s">
        <v>115</v>
      </c>
      <c r="D79" s="46">
        <v>2.8</v>
      </c>
      <c r="E79" s="47">
        <v>2.8</v>
      </c>
      <c r="F79" s="47">
        <v>2.7</v>
      </c>
      <c r="G79" s="8">
        <f t="shared" si="0"/>
        <v>2.77</v>
      </c>
      <c r="H79" s="62" t="s">
        <v>170</v>
      </c>
      <c r="I79" s="63"/>
      <c r="L79" s="36"/>
      <c r="M79" s="36"/>
      <c r="N79" s="36"/>
      <c r="O79" s="36"/>
      <c r="P79" s="36"/>
      <c r="Q79" s="36"/>
      <c r="R79" s="36"/>
      <c r="S79" s="36"/>
    </row>
    <row r="80" spans="1:19" x14ac:dyDescent="0.2">
      <c r="A80" s="51">
        <v>4</v>
      </c>
      <c r="B80" s="51" t="s">
        <v>104</v>
      </c>
      <c r="C80" s="52" t="s">
        <v>116</v>
      </c>
      <c r="D80" s="46">
        <v>2.9</v>
      </c>
      <c r="E80" s="47">
        <v>2.8</v>
      </c>
      <c r="F80" s="47">
        <v>2.9</v>
      </c>
      <c r="G80" s="8">
        <f t="shared" si="0"/>
        <v>2.87</v>
      </c>
      <c r="H80" s="61" t="s">
        <v>123</v>
      </c>
      <c r="I80" s="63"/>
      <c r="L80" s="36"/>
      <c r="M80" s="36"/>
      <c r="N80" s="36"/>
      <c r="O80" s="36"/>
      <c r="P80" s="36"/>
      <c r="Q80" s="36"/>
      <c r="R80" s="36"/>
      <c r="S80" s="36"/>
    </row>
    <row r="81" spans="1:19" x14ac:dyDescent="0.2">
      <c r="A81" s="51">
        <v>4</v>
      </c>
      <c r="B81" s="51" t="s">
        <v>104</v>
      </c>
      <c r="C81" s="52" t="s">
        <v>117</v>
      </c>
      <c r="D81" s="46">
        <v>2.7</v>
      </c>
      <c r="E81" s="47">
        <v>2.7</v>
      </c>
      <c r="F81" s="47">
        <v>2.7</v>
      </c>
      <c r="G81" s="8">
        <f t="shared" si="0"/>
        <v>2.7</v>
      </c>
      <c r="H81" s="61" t="s">
        <v>123</v>
      </c>
      <c r="I81" s="63"/>
      <c r="L81" s="36"/>
      <c r="M81" s="36"/>
      <c r="N81" s="36"/>
      <c r="O81" s="36"/>
      <c r="P81" s="36"/>
      <c r="Q81" s="36"/>
      <c r="R81" s="36"/>
      <c r="S81" s="36"/>
    </row>
    <row r="82" spans="1:19" x14ac:dyDescent="0.2">
      <c r="A82" s="51">
        <v>4</v>
      </c>
      <c r="B82" s="51" t="s">
        <v>104</v>
      </c>
      <c r="C82" s="52" t="s">
        <v>118</v>
      </c>
      <c r="D82" s="46">
        <v>2.7</v>
      </c>
      <c r="E82" s="47">
        <v>2.5</v>
      </c>
      <c r="F82" s="47">
        <v>2.4</v>
      </c>
      <c r="G82" s="8">
        <f t="shared" si="0"/>
        <v>2.5299999999999998</v>
      </c>
      <c r="H82" s="61" t="s">
        <v>123</v>
      </c>
      <c r="I82" s="63"/>
      <c r="L82" s="36"/>
      <c r="M82" s="36"/>
      <c r="N82" s="36"/>
      <c r="O82" s="36"/>
      <c r="P82" s="36"/>
      <c r="Q82" s="36"/>
      <c r="R82" s="36"/>
      <c r="S82" s="36"/>
    </row>
    <row r="83" spans="1:19" x14ac:dyDescent="0.2">
      <c r="A83" s="51">
        <v>4</v>
      </c>
      <c r="B83" s="51" t="s">
        <v>104</v>
      </c>
      <c r="C83" s="52" t="s">
        <v>119</v>
      </c>
      <c r="D83" s="46">
        <v>2</v>
      </c>
      <c r="E83" s="47">
        <v>2</v>
      </c>
      <c r="F83" s="47">
        <v>2</v>
      </c>
      <c r="G83" s="8">
        <f t="shared" si="0"/>
        <v>2</v>
      </c>
      <c r="H83" s="61" t="s">
        <v>123</v>
      </c>
      <c r="I83" s="63"/>
      <c r="L83" s="36"/>
      <c r="M83" s="36"/>
      <c r="N83" s="36"/>
      <c r="O83" s="36"/>
      <c r="P83" s="36"/>
      <c r="Q83" s="36"/>
      <c r="R83" s="36"/>
      <c r="S83" s="36"/>
    </row>
    <row r="84" spans="1:19" x14ac:dyDescent="0.2">
      <c r="A84" s="51">
        <v>4</v>
      </c>
      <c r="B84" s="51" t="s">
        <v>104</v>
      </c>
      <c r="C84" s="52" t="s">
        <v>120</v>
      </c>
      <c r="D84" s="46">
        <v>2.2999999999999998</v>
      </c>
      <c r="E84" s="47">
        <v>2.4</v>
      </c>
      <c r="F84" s="47">
        <v>2.2999999999999998</v>
      </c>
      <c r="G84" s="8">
        <f t="shared" si="0"/>
        <v>2.33</v>
      </c>
      <c r="H84" s="61" t="s">
        <v>123</v>
      </c>
      <c r="I84" s="63"/>
      <c r="L84" s="36"/>
      <c r="M84" s="36"/>
      <c r="N84" s="36"/>
      <c r="O84" s="36"/>
      <c r="P84" s="36"/>
      <c r="Q84" s="36"/>
      <c r="R84" s="36"/>
      <c r="S84" s="36"/>
    </row>
    <row r="85" spans="1:19" x14ac:dyDescent="0.2">
      <c r="A85" s="51">
        <v>4</v>
      </c>
      <c r="B85" s="51" t="s">
        <v>104</v>
      </c>
      <c r="C85" s="52" t="s">
        <v>121</v>
      </c>
      <c r="D85" s="46">
        <v>2.7</v>
      </c>
      <c r="E85" s="47">
        <v>2.8</v>
      </c>
      <c r="F85" s="47">
        <v>2.7</v>
      </c>
      <c r="G85" s="8">
        <f t="shared" si="0"/>
        <v>2.73</v>
      </c>
      <c r="H85" s="61" t="s">
        <v>123</v>
      </c>
      <c r="I85" s="63"/>
      <c r="L85" s="36"/>
      <c r="M85" s="36"/>
      <c r="N85" s="36"/>
      <c r="O85" s="36"/>
      <c r="P85" s="36"/>
      <c r="Q85" s="36"/>
      <c r="R85" s="36"/>
      <c r="S85" s="36"/>
    </row>
    <row r="86" spans="1:19" x14ac:dyDescent="0.2">
      <c r="A86" s="51">
        <v>4</v>
      </c>
      <c r="B86" s="51" t="s">
        <v>104</v>
      </c>
      <c r="C86" s="52" t="s">
        <v>122</v>
      </c>
      <c r="D86" s="46" t="s">
        <v>123</v>
      </c>
      <c r="E86" s="47" t="s">
        <v>123</v>
      </c>
      <c r="F86" s="47" t="s">
        <v>123</v>
      </c>
      <c r="G86" s="8" t="str">
        <f t="shared" si="0"/>
        <v>NA</v>
      </c>
      <c r="H86" s="61" t="s">
        <v>123</v>
      </c>
      <c r="I86" s="63"/>
      <c r="L86" s="36"/>
      <c r="M86" s="36"/>
      <c r="N86" s="36"/>
      <c r="O86" s="36"/>
      <c r="P86" s="36"/>
      <c r="Q86" s="36"/>
      <c r="R86" s="36"/>
      <c r="S86" s="36"/>
    </row>
    <row r="87" spans="1:19" x14ac:dyDescent="0.2">
      <c r="A87" s="51">
        <v>4</v>
      </c>
      <c r="B87" s="51" t="s">
        <v>104</v>
      </c>
      <c r="C87" s="52" t="s">
        <v>124</v>
      </c>
      <c r="D87" s="46">
        <v>2.1</v>
      </c>
      <c r="E87" s="47">
        <v>2.1</v>
      </c>
      <c r="F87" s="47">
        <v>2.1</v>
      </c>
      <c r="G87" s="8">
        <f t="shared" si="0"/>
        <v>2.1</v>
      </c>
      <c r="H87" s="61" t="s">
        <v>123</v>
      </c>
      <c r="I87" s="63"/>
      <c r="L87" s="36"/>
      <c r="M87" s="36"/>
      <c r="N87" s="36"/>
      <c r="O87" s="36"/>
      <c r="P87" s="36"/>
      <c r="Q87" s="36"/>
      <c r="R87" s="36"/>
      <c r="S87" s="36"/>
    </row>
    <row r="88" spans="1:19" x14ac:dyDescent="0.2">
      <c r="A88" s="51">
        <v>4</v>
      </c>
      <c r="B88" s="51" t="s">
        <v>104</v>
      </c>
      <c r="C88" s="52" t="s">
        <v>125</v>
      </c>
      <c r="D88" s="46">
        <v>2.2999999999999998</v>
      </c>
      <c r="E88" s="47">
        <v>2.4</v>
      </c>
      <c r="F88" s="47">
        <v>2.4</v>
      </c>
      <c r="G88" s="8">
        <f t="shared" si="0"/>
        <v>2.37</v>
      </c>
      <c r="H88" s="61" t="s">
        <v>123</v>
      </c>
      <c r="I88" s="63"/>
      <c r="L88" s="36"/>
      <c r="M88" s="36"/>
      <c r="N88" s="36"/>
      <c r="O88" s="36"/>
      <c r="P88" s="36"/>
      <c r="Q88" s="36"/>
      <c r="R88" s="36"/>
      <c r="S88" s="36"/>
    </row>
    <row r="89" spans="1:19" x14ac:dyDescent="0.2">
      <c r="A89" s="51">
        <v>4</v>
      </c>
      <c r="B89" s="51" t="s">
        <v>104</v>
      </c>
      <c r="C89" s="52" t="s">
        <v>126</v>
      </c>
      <c r="D89" s="46">
        <v>1.8</v>
      </c>
      <c r="E89" s="47">
        <v>1.8</v>
      </c>
      <c r="F89" s="47">
        <v>2</v>
      </c>
      <c r="G89" s="8">
        <f t="shared" si="0"/>
        <v>1.87</v>
      </c>
      <c r="H89" s="61" t="s">
        <v>123</v>
      </c>
      <c r="I89" s="63"/>
      <c r="L89" s="36"/>
      <c r="M89" s="36"/>
      <c r="N89" s="36"/>
      <c r="O89" s="36"/>
      <c r="P89" s="36"/>
      <c r="Q89" s="36"/>
      <c r="R89" s="36"/>
      <c r="S89" s="36"/>
    </row>
    <row r="90" spans="1:19" x14ac:dyDescent="0.2">
      <c r="A90" s="51">
        <v>4</v>
      </c>
      <c r="B90" s="51" t="s">
        <v>104</v>
      </c>
      <c r="C90" s="52" t="s">
        <v>127</v>
      </c>
      <c r="D90" s="46">
        <v>2.5</v>
      </c>
      <c r="E90" s="47">
        <v>2.5</v>
      </c>
      <c r="F90" s="47">
        <v>2.6</v>
      </c>
      <c r="G90" s="8">
        <f t="shared" si="0"/>
        <v>2.5299999999999998</v>
      </c>
      <c r="H90" s="61" t="s">
        <v>123</v>
      </c>
      <c r="I90" s="63"/>
      <c r="L90" s="36"/>
      <c r="M90" s="36"/>
      <c r="N90" s="36"/>
      <c r="O90" s="36"/>
      <c r="P90" s="36"/>
      <c r="Q90" s="36"/>
      <c r="R90" s="36"/>
      <c r="S90" s="36"/>
    </row>
    <row r="91" spans="1:19" x14ac:dyDescent="0.2">
      <c r="A91" s="51">
        <v>4</v>
      </c>
      <c r="B91" s="51" t="s">
        <v>104</v>
      </c>
      <c r="C91" s="52" t="s">
        <v>128</v>
      </c>
      <c r="D91" s="46">
        <v>2.8</v>
      </c>
      <c r="E91" s="47">
        <v>3</v>
      </c>
      <c r="F91" s="47">
        <v>2.8</v>
      </c>
      <c r="G91" s="8">
        <f t="shared" si="0"/>
        <v>2.87</v>
      </c>
      <c r="H91" s="61" t="s">
        <v>123</v>
      </c>
      <c r="I91" s="63"/>
      <c r="L91" s="36"/>
      <c r="M91" s="36"/>
      <c r="N91" s="36"/>
      <c r="O91" s="36"/>
      <c r="P91" s="36"/>
      <c r="Q91" s="36"/>
      <c r="R91" s="36"/>
      <c r="S91" s="36"/>
    </row>
    <row r="92" spans="1:19" x14ac:dyDescent="0.2">
      <c r="A92" s="51">
        <v>4</v>
      </c>
      <c r="B92" s="51" t="s">
        <v>104</v>
      </c>
      <c r="C92" s="52" t="s">
        <v>129</v>
      </c>
      <c r="D92" s="46">
        <v>2.8</v>
      </c>
      <c r="E92" s="47">
        <v>2.5</v>
      </c>
      <c r="F92" s="47">
        <v>2.5</v>
      </c>
      <c r="G92" s="8">
        <f t="shared" si="0"/>
        <v>2.6</v>
      </c>
      <c r="H92" s="61" t="s">
        <v>123</v>
      </c>
      <c r="I92" s="63"/>
      <c r="L92" s="36"/>
      <c r="M92" s="36"/>
      <c r="N92" s="36"/>
      <c r="O92" s="36"/>
      <c r="P92" s="36"/>
      <c r="Q92" s="36"/>
      <c r="R92" s="36"/>
      <c r="S92" s="36"/>
    </row>
    <row r="93" spans="1:19" x14ac:dyDescent="0.2">
      <c r="A93" s="51">
        <v>4</v>
      </c>
      <c r="B93" s="51" t="s">
        <v>104</v>
      </c>
      <c r="C93" s="52" t="s">
        <v>130</v>
      </c>
      <c r="D93" s="46">
        <v>3</v>
      </c>
      <c r="E93" s="47">
        <v>3</v>
      </c>
      <c r="F93" s="47">
        <v>3</v>
      </c>
      <c r="G93" s="8">
        <f t="shared" si="0"/>
        <v>3</v>
      </c>
      <c r="H93" s="61" t="s">
        <v>123</v>
      </c>
      <c r="I93" s="63"/>
      <c r="L93" s="36"/>
      <c r="M93" s="36"/>
      <c r="N93" s="36"/>
      <c r="O93" s="36"/>
      <c r="P93" s="36"/>
      <c r="Q93" s="36"/>
      <c r="R93" s="36"/>
      <c r="S93" s="36"/>
    </row>
    <row r="94" spans="1:19" x14ac:dyDescent="0.2">
      <c r="A94" s="51">
        <v>4</v>
      </c>
      <c r="B94" s="51" t="s">
        <v>104</v>
      </c>
      <c r="C94" s="52" t="s">
        <v>131</v>
      </c>
      <c r="D94" s="46">
        <v>2.9</v>
      </c>
      <c r="E94" s="47">
        <v>3</v>
      </c>
      <c r="F94" s="47">
        <v>2.9</v>
      </c>
      <c r="G94" s="8">
        <f t="shared" si="0"/>
        <v>2.93</v>
      </c>
      <c r="H94" s="61" t="s">
        <v>123</v>
      </c>
      <c r="I94" s="63"/>
      <c r="L94" s="36"/>
      <c r="M94" s="36"/>
      <c r="N94" s="36"/>
      <c r="O94" s="36"/>
      <c r="P94" s="36"/>
      <c r="Q94" s="36"/>
      <c r="R94" s="36"/>
      <c r="S94" s="36"/>
    </row>
    <row r="95" spans="1:19" x14ac:dyDescent="0.2">
      <c r="A95" s="51">
        <v>4</v>
      </c>
      <c r="B95" s="51" t="s">
        <v>104</v>
      </c>
      <c r="C95" s="52" t="s">
        <v>132</v>
      </c>
      <c r="D95" s="46">
        <v>2.4</v>
      </c>
      <c r="E95" s="47">
        <v>2.2999999999999998</v>
      </c>
      <c r="F95" s="47">
        <v>2.4</v>
      </c>
      <c r="G95" s="8">
        <f t="shared" si="0"/>
        <v>2.37</v>
      </c>
      <c r="H95" s="61" t="s">
        <v>123</v>
      </c>
      <c r="I95" s="63"/>
      <c r="L95" s="36"/>
      <c r="M95" s="36"/>
      <c r="N95" s="36"/>
      <c r="O95" s="36"/>
      <c r="P95" s="36"/>
      <c r="Q95" s="36"/>
      <c r="R95" s="36"/>
      <c r="S95" s="36"/>
    </row>
    <row r="96" spans="1:19" x14ac:dyDescent="0.2">
      <c r="A96" s="51">
        <v>4</v>
      </c>
      <c r="B96" s="51" t="s">
        <v>104</v>
      </c>
      <c r="C96" s="52" t="s">
        <v>133</v>
      </c>
      <c r="D96" s="46">
        <v>2.8</v>
      </c>
      <c r="E96" s="47">
        <v>3.3</v>
      </c>
      <c r="F96" s="47">
        <v>2.7</v>
      </c>
      <c r="G96" s="8">
        <f t="shared" si="0"/>
        <v>2.93</v>
      </c>
      <c r="H96" s="61" t="s">
        <v>123</v>
      </c>
      <c r="I96" s="63"/>
      <c r="L96" s="36"/>
      <c r="M96" s="36"/>
      <c r="N96" s="36"/>
      <c r="O96" s="36"/>
      <c r="P96" s="36"/>
      <c r="Q96" s="36"/>
      <c r="R96" s="36"/>
      <c r="S96" s="36"/>
    </row>
    <row r="97" spans="1:19" x14ac:dyDescent="0.2">
      <c r="A97" s="51">
        <v>4</v>
      </c>
      <c r="B97" s="51" t="s">
        <v>104</v>
      </c>
      <c r="C97" s="52" t="s">
        <v>134</v>
      </c>
      <c r="D97" s="46">
        <v>2.2999999999999998</v>
      </c>
      <c r="E97" s="47">
        <v>2.2000000000000002</v>
      </c>
      <c r="F97" s="47">
        <v>2.2000000000000002</v>
      </c>
      <c r="G97" s="8">
        <f t="shared" si="0"/>
        <v>2.23</v>
      </c>
      <c r="H97" s="61" t="s">
        <v>123</v>
      </c>
      <c r="I97" s="63"/>
      <c r="L97" s="36"/>
      <c r="M97" s="36"/>
      <c r="N97" s="36"/>
      <c r="O97" s="36"/>
      <c r="P97" s="36"/>
      <c r="Q97" s="36"/>
      <c r="R97" s="36"/>
      <c r="S97" s="36"/>
    </row>
    <row r="98" spans="1:19" x14ac:dyDescent="0.2">
      <c r="A98" s="53">
        <v>4</v>
      </c>
      <c r="B98" s="51" t="s">
        <v>104</v>
      </c>
      <c r="C98" s="51" t="s">
        <v>135</v>
      </c>
      <c r="D98" s="47">
        <v>2.6</v>
      </c>
      <c r="E98" s="47">
        <v>2.5</v>
      </c>
      <c r="F98" s="47">
        <v>2.4</v>
      </c>
      <c r="G98" s="8">
        <f t="shared" si="0"/>
        <v>2.5</v>
      </c>
      <c r="H98" s="61" t="s">
        <v>123</v>
      </c>
      <c r="I98" s="63"/>
      <c r="L98" s="36"/>
      <c r="M98" s="36"/>
      <c r="N98" s="36"/>
      <c r="O98" s="36"/>
      <c r="P98" s="36"/>
      <c r="Q98" s="36"/>
      <c r="R98" s="36"/>
      <c r="S98" s="36"/>
    </row>
    <row r="99" spans="1:19" x14ac:dyDescent="0.2">
      <c r="A99" s="53">
        <v>4</v>
      </c>
      <c r="B99" s="51" t="s">
        <v>104</v>
      </c>
      <c r="C99" s="51" t="s">
        <v>136</v>
      </c>
      <c r="D99" s="47">
        <v>2.5</v>
      </c>
      <c r="E99" s="47">
        <v>2.6</v>
      </c>
      <c r="F99" s="47">
        <v>2.7</v>
      </c>
      <c r="G99" s="8">
        <f t="shared" si="0"/>
        <v>2.6</v>
      </c>
      <c r="H99" s="61" t="s">
        <v>123</v>
      </c>
      <c r="I99" s="63"/>
      <c r="L99" s="36"/>
      <c r="M99" s="36"/>
      <c r="N99" s="36"/>
      <c r="O99" s="36"/>
      <c r="P99" s="36"/>
      <c r="Q99" s="36"/>
      <c r="R99" s="36"/>
      <c r="S99" s="36"/>
    </row>
    <row r="100" spans="1:19" x14ac:dyDescent="0.2">
      <c r="A100" s="53">
        <v>4</v>
      </c>
      <c r="B100" s="51" t="s">
        <v>104</v>
      </c>
      <c r="C100" s="51" t="s">
        <v>137</v>
      </c>
      <c r="D100" s="47">
        <v>2.9</v>
      </c>
      <c r="E100" s="47">
        <v>2.8</v>
      </c>
      <c r="F100" s="47">
        <v>2.8</v>
      </c>
      <c r="G100" s="8">
        <f t="shared" si="0"/>
        <v>2.83</v>
      </c>
      <c r="H100" s="61" t="s">
        <v>123</v>
      </c>
      <c r="I100" s="63"/>
      <c r="L100" s="36"/>
      <c r="M100" s="36"/>
      <c r="N100" s="36"/>
      <c r="O100" s="36"/>
      <c r="P100" s="36"/>
      <c r="Q100" s="36"/>
      <c r="R100" s="36"/>
      <c r="S100" s="36"/>
    </row>
    <row r="101" spans="1:19" x14ac:dyDescent="0.2">
      <c r="A101" s="53">
        <v>4</v>
      </c>
      <c r="B101" s="51" t="s">
        <v>104</v>
      </c>
      <c r="C101" s="51" t="s">
        <v>138</v>
      </c>
      <c r="D101" s="47">
        <v>2.9</v>
      </c>
      <c r="E101" s="47">
        <v>3</v>
      </c>
      <c r="F101" s="47">
        <v>2.9</v>
      </c>
      <c r="G101" s="8">
        <f t="shared" si="0"/>
        <v>2.93</v>
      </c>
      <c r="H101" s="61" t="s">
        <v>123</v>
      </c>
      <c r="I101" s="63"/>
      <c r="L101" s="36"/>
      <c r="M101" s="36"/>
      <c r="N101" s="36"/>
      <c r="O101" s="36"/>
      <c r="P101" s="36"/>
      <c r="Q101" s="36"/>
      <c r="R101" s="36"/>
      <c r="S101" s="36"/>
    </row>
    <row r="102" spans="1:19" x14ac:dyDescent="0.2">
      <c r="A102" s="53">
        <v>4</v>
      </c>
      <c r="B102" s="51" t="s">
        <v>104</v>
      </c>
      <c r="C102" s="51" t="s">
        <v>139</v>
      </c>
      <c r="D102" s="47">
        <v>2.5</v>
      </c>
      <c r="E102" s="47">
        <v>2.9</v>
      </c>
      <c r="F102" s="47">
        <v>2.4</v>
      </c>
      <c r="G102" s="8">
        <f t="shared" ref="G102" si="1">IF(D102="NA","NA",ROUND(AVERAGE(D102:F102),2))</f>
        <v>2.6</v>
      </c>
      <c r="H102" s="61" t="s">
        <v>123</v>
      </c>
      <c r="I102" s="63"/>
      <c r="L102" s="36"/>
      <c r="M102" s="36"/>
      <c r="N102" s="36"/>
      <c r="O102" s="36"/>
      <c r="P102" s="36"/>
      <c r="Q102" s="36"/>
      <c r="R102" s="36"/>
      <c r="S102" s="36"/>
    </row>
  </sheetData>
  <pageMargins left="0.7" right="0.7" top="0.75" bottom="0.75" header="0.3" footer="0.3"/>
  <pageSetup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EBCA8-D476-D947-B6D6-820614E589D9}">
  <dimension ref="A1:S102"/>
  <sheetViews>
    <sheetView topLeftCell="A8" workbookViewId="0">
      <selection activeCell="L39" sqref="L39"/>
    </sheetView>
  </sheetViews>
  <sheetFormatPr baseColWidth="10" defaultColWidth="8.83203125" defaultRowHeight="15" x14ac:dyDescent="0.2"/>
  <cols>
    <col min="4" max="6" width="10.6640625" customWidth="1"/>
  </cols>
  <sheetData>
    <row r="1" spans="1:19" ht="19" x14ac:dyDescent="0.25">
      <c r="A1" s="12" t="s">
        <v>0</v>
      </c>
      <c r="B1" s="12"/>
      <c r="C1" s="12"/>
      <c r="D1" s="12"/>
      <c r="E1" s="12"/>
      <c r="G1" s="12"/>
      <c r="H1" s="12"/>
      <c r="I1" s="12"/>
      <c r="J1" s="12"/>
      <c r="L1" s="12"/>
    </row>
    <row r="2" spans="1:19" ht="19" x14ac:dyDescent="0.25">
      <c r="A2" s="12"/>
      <c r="B2" s="12"/>
      <c r="C2" s="12"/>
      <c r="D2" s="12"/>
      <c r="E2" s="12"/>
      <c r="G2" s="12"/>
      <c r="H2" s="12"/>
      <c r="I2" s="12"/>
      <c r="J2" s="12"/>
      <c r="K2" s="12"/>
      <c r="L2" s="12"/>
    </row>
    <row r="3" spans="1:19" ht="19" x14ac:dyDescent="0.25">
      <c r="A3" s="12" t="s">
        <v>171</v>
      </c>
      <c r="B3" s="12"/>
      <c r="C3" s="12"/>
      <c r="D3" s="12"/>
      <c r="E3" s="12"/>
      <c r="G3" s="12"/>
      <c r="H3" s="12"/>
      <c r="I3" s="12"/>
      <c r="J3" s="12"/>
      <c r="K3" s="12"/>
      <c r="L3" s="12"/>
    </row>
    <row r="4" spans="1:19" ht="19" x14ac:dyDescent="0.25">
      <c r="A4" s="12"/>
      <c r="B4" s="12"/>
      <c r="C4" s="12"/>
      <c r="D4" s="12"/>
      <c r="E4" s="12"/>
      <c r="G4" s="12"/>
      <c r="H4" s="12"/>
      <c r="I4" s="12"/>
      <c r="J4" s="12"/>
      <c r="K4" s="12"/>
      <c r="L4" s="12"/>
    </row>
    <row r="5" spans="1:19" ht="19" x14ac:dyDescent="0.25">
      <c r="A5" s="12" t="s">
        <v>172</v>
      </c>
      <c r="B5" s="12"/>
      <c r="C5" s="12"/>
      <c r="D5" s="12"/>
      <c r="E5" s="12"/>
      <c r="G5" s="12"/>
      <c r="H5" s="12"/>
      <c r="I5" s="12"/>
      <c r="J5" s="12"/>
      <c r="K5" s="12"/>
      <c r="L5" s="12"/>
    </row>
    <row r="6" spans="1:19" ht="19" x14ac:dyDescent="0.25">
      <c r="A6" s="12" t="s">
        <v>3</v>
      </c>
      <c r="B6" s="12"/>
      <c r="C6" s="12"/>
      <c r="D6" s="12"/>
      <c r="E6" s="12"/>
      <c r="G6" s="12"/>
      <c r="H6" s="12"/>
      <c r="I6" s="12"/>
      <c r="J6" s="12"/>
      <c r="K6" s="12"/>
      <c r="L6" s="12"/>
    </row>
    <row r="8" spans="1:19" ht="41" thickBot="1" x14ac:dyDescent="0.25">
      <c r="A8" s="1" t="s">
        <v>4</v>
      </c>
      <c r="B8" s="2" t="s">
        <v>5</v>
      </c>
      <c r="C8" s="6" t="s">
        <v>7</v>
      </c>
      <c r="D8" s="7" t="s">
        <v>8</v>
      </c>
      <c r="E8" s="7" t="s">
        <v>8</v>
      </c>
      <c r="F8" s="7" t="s">
        <v>8</v>
      </c>
      <c r="G8" s="7" t="s">
        <v>9</v>
      </c>
      <c r="H8" s="7" t="s">
        <v>10</v>
      </c>
      <c r="J8" s="34"/>
      <c r="K8" s="34"/>
      <c r="L8" s="34"/>
      <c r="M8" s="34"/>
      <c r="N8" s="34"/>
      <c r="O8" s="34"/>
      <c r="P8" s="34"/>
      <c r="Q8" s="34"/>
      <c r="R8" s="34"/>
      <c r="S8" s="34"/>
    </row>
    <row r="9" spans="1:19" x14ac:dyDescent="0.2">
      <c r="A9" s="3">
        <v>2</v>
      </c>
      <c r="B9" s="3" t="s">
        <v>42</v>
      </c>
      <c r="C9" s="9">
        <v>800</v>
      </c>
      <c r="D9" s="8">
        <v>1.9</v>
      </c>
      <c r="E9" s="8">
        <v>2</v>
      </c>
      <c r="F9" s="8">
        <v>1.9</v>
      </c>
      <c r="G9" s="8">
        <f t="shared" ref="G9:G72" si="0">IF(D9="NA","NA",ROUND(AVERAGE(D9:F9),2))</f>
        <v>1.93</v>
      </c>
      <c r="H9" s="8" t="s">
        <v>123</v>
      </c>
    </row>
    <row r="10" spans="1:19" x14ac:dyDescent="0.2">
      <c r="A10" s="4">
        <v>2</v>
      </c>
      <c r="B10" s="4" t="s">
        <v>42</v>
      </c>
      <c r="C10" s="10">
        <v>801</v>
      </c>
      <c r="D10" s="8">
        <v>1.5</v>
      </c>
      <c r="E10" s="8">
        <v>1.5</v>
      </c>
      <c r="F10" s="8">
        <v>1.5</v>
      </c>
      <c r="G10" s="8">
        <f t="shared" si="0"/>
        <v>1.5</v>
      </c>
      <c r="H10" s="8" t="s">
        <v>123</v>
      </c>
    </row>
    <row r="11" spans="1:19" x14ac:dyDescent="0.2">
      <c r="A11" s="4">
        <v>2</v>
      </c>
      <c r="B11" s="4" t="s">
        <v>42</v>
      </c>
      <c r="C11" s="10">
        <v>804</v>
      </c>
      <c r="D11" s="8">
        <v>1.7</v>
      </c>
      <c r="E11" s="8">
        <v>1.6</v>
      </c>
      <c r="F11" s="8">
        <v>1.6</v>
      </c>
      <c r="G11" s="8">
        <f t="shared" si="0"/>
        <v>1.63</v>
      </c>
      <c r="H11" s="8" t="s">
        <v>123</v>
      </c>
    </row>
    <row r="12" spans="1:19" x14ac:dyDescent="0.2">
      <c r="A12" s="4">
        <v>2</v>
      </c>
      <c r="B12" s="4" t="s">
        <v>42</v>
      </c>
      <c r="C12" s="10">
        <v>806</v>
      </c>
      <c r="D12" s="8">
        <v>1.4</v>
      </c>
      <c r="E12" s="8">
        <v>1.3</v>
      </c>
      <c r="F12" s="8">
        <v>1.3</v>
      </c>
      <c r="G12" s="8">
        <f t="shared" si="0"/>
        <v>1.33</v>
      </c>
      <c r="H12" s="8" t="s">
        <v>123</v>
      </c>
    </row>
    <row r="13" spans="1:19" x14ac:dyDescent="0.2">
      <c r="A13" s="4">
        <v>2</v>
      </c>
      <c r="B13" s="4" t="s">
        <v>42</v>
      </c>
      <c r="C13" s="10">
        <v>809</v>
      </c>
      <c r="D13" s="8">
        <v>1.9</v>
      </c>
      <c r="E13" s="8">
        <v>2</v>
      </c>
      <c r="F13" s="8">
        <v>2</v>
      </c>
      <c r="G13" s="8">
        <f t="shared" si="0"/>
        <v>1.97</v>
      </c>
      <c r="H13" s="8" t="s">
        <v>123</v>
      </c>
    </row>
    <row r="14" spans="1:19" x14ac:dyDescent="0.2">
      <c r="A14" s="4">
        <v>2</v>
      </c>
      <c r="B14" s="4" t="s">
        <v>42</v>
      </c>
      <c r="C14" s="10">
        <v>810</v>
      </c>
      <c r="D14" s="8">
        <v>3.2</v>
      </c>
      <c r="E14" s="8">
        <v>3.3</v>
      </c>
      <c r="F14" s="8">
        <v>3.2</v>
      </c>
      <c r="G14" s="8">
        <f t="shared" si="0"/>
        <v>3.23</v>
      </c>
      <c r="H14" s="8" t="s">
        <v>123</v>
      </c>
    </row>
    <row r="15" spans="1:19" x14ac:dyDescent="0.2">
      <c r="A15" s="4">
        <v>2</v>
      </c>
      <c r="B15" s="4" t="s">
        <v>42</v>
      </c>
      <c r="C15" s="10">
        <v>819</v>
      </c>
      <c r="D15" s="8">
        <v>2.6</v>
      </c>
      <c r="E15" s="8">
        <v>2.6</v>
      </c>
      <c r="F15" s="8">
        <v>2.6</v>
      </c>
      <c r="G15" s="8">
        <f t="shared" si="0"/>
        <v>2.6</v>
      </c>
      <c r="H15" s="8" t="s">
        <v>123</v>
      </c>
    </row>
    <row r="16" spans="1:19" x14ac:dyDescent="0.2">
      <c r="A16" s="4">
        <v>2</v>
      </c>
      <c r="B16" s="4" t="s">
        <v>42</v>
      </c>
      <c r="C16" s="10">
        <v>822</v>
      </c>
      <c r="D16" s="8">
        <v>2.2000000000000002</v>
      </c>
      <c r="E16" s="8">
        <v>2.2000000000000002</v>
      </c>
      <c r="F16" s="8">
        <v>2.2000000000000002</v>
      </c>
      <c r="G16" s="8">
        <f t="shared" si="0"/>
        <v>2.2000000000000002</v>
      </c>
      <c r="H16" s="8" t="s">
        <v>123</v>
      </c>
    </row>
    <row r="17" spans="1:8" x14ac:dyDescent="0.2">
      <c r="A17" s="4">
        <v>2</v>
      </c>
      <c r="B17" s="4" t="s">
        <v>42</v>
      </c>
      <c r="C17" s="10">
        <v>823</v>
      </c>
      <c r="D17" s="8">
        <v>2.7</v>
      </c>
      <c r="E17" s="8">
        <v>2.6</v>
      </c>
      <c r="F17" s="8">
        <v>2.7</v>
      </c>
      <c r="G17" s="8">
        <f t="shared" si="0"/>
        <v>2.67</v>
      </c>
      <c r="H17" s="8" t="s">
        <v>123</v>
      </c>
    </row>
    <row r="18" spans="1:8" x14ac:dyDescent="0.2">
      <c r="A18" s="4">
        <v>2</v>
      </c>
      <c r="B18" s="4" t="s">
        <v>42</v>
      </c>
      <c r="C18" s="10">
        <v>825</v>
      </c>
      <c r="D18" s="8">
        <v>1.1000000000000001</v>
      </c>
      <c r="E18" s="8">
        <v>1</v>
      </c>
      <c r="F18" s="8">
        <v>0.9</v>
      </c>
      <c r="G18" s="8">
        <f t="shared" si="0"/>
        <v>1</v>
      </c>
      <c r="H18" s="8" t="s">
        <v>123</v>
      </c>
    </row>
    <row r="19" spans="1:8" x14ac:dyDescent="0.2">
      <c r="A19" s="4">
        <v>2</v>
      </c>
      <c r="B19" s="4" t="s">
        <v>42</v>
      </c>
      <c r="C19" s="10">
        <v>826</v>
      </c>
      <c r="D19" s="8">
        <v>1.8</v>
      </c>
      <c r="E19" s="8">
        <v>1.7</v>
      </c>
      <c r="F19" s="8">
        <v>1.7</v>
      </c>
      <c r="G19" s="8">
        <f t="shared" si="0"/>
        <v>1.73</v>
      </c>
      <c r="H19" s="8" t="s">
        <v>123</v>
      </c>
    </row>
    <row r="20" spans="1:8" x14ac:dyDescent="0.2">
      <c r="A20" s="4">
        <v>2</v>
      </c>
      <c r="B20" s="4" t="s">
        <v>42</v>
      </c>
      <c r="C20" s="10">
        <v>828</v>
      </c>
      <c r="D20" s="8">
        <v>1.5</v>
      </c>
      <c r="E20" s="8">
        <v>1.5</v>
      </c>
      <c r="F20" s="8">
        <v>1.5</v>
      </c>
      <c r="G20" s="8">
        <f t="shared" si="0"/>
        <v>1.5</v>
      </c>
      <c r="H20" s="8" t="s">
        <v>123</v>
      </c>
    </row>
    <row r="21" spans="1:8" x14ac:dyDescent="0.2">
      <c r="A21" s="4">
        <v>2</v>
      </c>
      <c r="B21" s="4" t="s">
        <v>42</v>
      </c>
      <c r="C21" s="10">
        <v>829</v>
      </c>
      <c r="D21" s="8">
        <v>1.7</v>
      </c>
      <c r="E21" s="8">
        <v>1.8</v>
      </c>
      <c r="F21" s="8">
        <v>1.8</v>
      </c>
      <c r="G21" s="8">
        <f t="shared" si="0"/>
        <v>1.77</v>
      </c>
      <c r="H21" s="8" t="s">
        <v>123</v>
      </c>
    </row>
    <row r="22" spans="1:8" x14ac:dyDescent="0.2">
      <c r="A22" s="4">
        <v>2</v>
      </c>
      <c r="B22" s="4" t="s">
        <v>42</v>
      </c>
      <c r="C22" s="10">
        <v>832</v>
      </c>
      <c r="D22" s="8">
        <v>1.4</v>
      </c>
      <c r="E22" s="8">
        <v>1.4</v>
      </c>
      <c r="F22" s="8">
        <v>1.3</v>
      </c>
      <c r="G22" s="8">
        <f t="shared" si="0"/>
        <v>1.37</v>
      </c>
      <c r="H22" s="8" t="s">
        <v>123</v>
      </c>
    </row>
    <row r="23" spans="1:8" x14ac:dyDescent="0.2">
      <c r="A23" s="4">
        <v>2</v>
      </c>
      <c r="B23" s="4" t="s">
        <v>42</v>
      </c>
      <c r="C23" s="10">
        <v>836</v>
      </c>
      <c r="D23" s="8">
        <v>2</v>
      </c>
      <c r="E23" s="8">
        <v>2.1</v>
      </c>
      <c r="F23" s="8">
        <v>2</v>
      </c>
      <c r="G23" s="8">
        <f t="shared" si="0"/>
        <v>2.0299999999999998</v>
      </c>
      <c r="H23" s="8" t="s">
        <v>123</v>
      </c>
    </row>
    <row r="24" spans="1:8" x14ac:dyDescent="0.2">
      <c r="A24" s="4">
        <v>2</v>
      </c>
      <c r="B24" s="4" t="s">
        <v>42</v>
      </c>
      <c r="C24" s="10">
        <v>839</v>
      </c>
      <c r="D24" s="8">
        <v>1.6</v>
      </c>
      <c r="E24" s="8">
        <v>1.6</v>
      </c>
      <c r="F24" s="8">
        <v>1.6</v>
      </c>
      <c r="G24" s="8">
        <f t="shared" si="0"/>
        <v>1.6</v>
      </c>
      <c r="H24" s="8" t="s">
        <v>123</v>
      </c>
    </row>
    <row r="25" spans="1:8" x14ac:dyDescent="0.2">
      <c r="A25" s="4">
        <v>2</v>
      </c>
      <c r="B25" s="4" t="s">
        <v>42</v>
      </c>
      <c r="C25" s="10">
        <v>840</v>
      </c>
      <c r="D25" s="8">
        <v>1.3</v>
      </c>
      <c r="E25" s="8">
        <v>1.2</v>
      </c>
      <c r="F25" s="8">
        <v>1.2</v>
      </c>
      <c r="G25" s="8">
        <f t="shared" si="0"/>
        <v>1.23</v>
      </c>
      <c r="H25" s="8" t="s">
        <v>123</v>
      </c>
    </row>
    <row r="26" spans="1:8" x14ac:dyDescent="0.2">
      <c r="A26" s="4">
        <v>2</v>
      </c>
      <c r="B26" s="4" t="s">
        <v>42</v>
      </c>
      <c r="C26" s="10">
        <v>841</v>
      </c>
      <c r="D26" s="8">
        <v>2.1</v>
      </c>
      <c r="E26" s="8">
        <v>2.1</v>
      </c>
      <c r="F26" s="8">
        <v>2.1</v>
      </c>
      <c r="G26" s="8">
        <f t="shared" si="0"/>
        <v>2.1</v>
      </c>
      <c r="H26" s="8" t="s">
        <v>123</v>
      </c>
    </row>
    <row r="27" spans="1:8" x14ac:dyDescent="0.2">
      <c r="A27" s="4">
        <v>2</v>
      </c>
      <c r="B27" s="4" t="s">
        <v>42</v>
      </c>
      <c r="C27" s="10">
        <v>843</v>
      </c>
      <c r="D27" s="8">
        <v>1.7</v>
      </c>
      <c r="E27" s="8">
        <v>1.7</v>
      </c>
      <c r="F27" s="8">
        <v>1.7</v>
      </c>
      <c r="G27" s="8">
        <f t="shared" si="0"/>
        <v>1.7</v>
      </c>
      <c r="H27" s="8" t="s">
        <v>123</v>
      </c>
    </row>
    <row r="28" spans="1:8" x14ac:dyDescent="0.2">
      <c r="A28" s="4">
        <v>2</v>
      </c>
      <c r="B28" s="4" t="s">
        <v>42</v>
      </c>
      <c r="C28" s="10">
        <v>850</v>
      </c>
      <c r="D28" s="8">
        <v>1.2</v>
      </c>
      <c r="E28" s="8">
        <v>1.1000000000000001</v>
      </c>
      <c r="F28" s="8">
        <v>1.1000000000000001</v>
      </c>
      <c r="G28" s="8">
        <f t="shared" si="0"/>
        <v>1.1299999999999999</v>
      </c>
      <c r="H28" s="8" t="s">
        <v>123</v>
      </c>
    </row>
    <row r="29" spans="1:8" x14ac:dyDescent="0.2">
      <c r="A29" s="4">
        <v>2</v>
      </c>
      <c r="B29" s="4" t="s">
        <v>42</v>
      </c>
      <c r="C29" s="10">
        <v>852</v>
      </c>
      <c r="D29" s="8">
        <v>1.6</v>
      </c>
      <c r="E29" s="8">
        <v>1.5</v>
      </c>
      <c r="F29" s="8">
        <v>1.5</v>
      </c>
      <c r="G29" s="8">
        <f t="shared" si="0"/>
        <v>1.53</v>
      </c>
      <c r="H29" s="8" t="s">
        <v>123</v>
      </c>
    </row>
    <row r="30" spans="1:8" x14ac:dyDescent="0.2">
      <c r="A30" s="4">
        <v>2</v>
      </c>
      <c r="B30" s="4" t="s">
        <v>42</v>
      </c>
      <c r="C30" s="10">
        <v>854</v>
      </c>
      <c r="D30" s="8">
        <v>1.4</v>
      </c>
      <c r="E30" s="8">
        <v>1.4</v>
      </c>
      <c r="F30" s="8">
        <v>1.4</v>
      </c>
      <c r="G30" s="8">
        <f t="shared" si="0"/>
        <v>1.4</v>
      </c>
      <c r="H30" s="8" t="s">
        <v>123</v>
      </c>
    </row>
    <row r="31" spans="1:8" x14ac:dyDescent="0.2">
      <c r="A31" s="4">
        <v>2</v>
      </c>
      <c r="B31" s="4" t="s">
        <v>42</v>
      </c>
      <c r="C31" s="10">
        <v>855</v>
      </c>
      <c r="D31" s="8">
        <v>1.4</v>
      </c>
      <c r="E31" s="8">
        <v>1.5</v>
      </c>
      <c r="F31" s="8">
        <v>1.5</v>
      </c>
      <c r="G31" s="8">
        <f t="shared" si="0"/>
        <v>1.47</v>
      </c>
      <c r="H31" s="8" t="s">
        <v>123</v>
      </c>
    </row>
    <row r="32" spans="1:8" x14ac:dyDescent="0.2">
      <c r="A32" s="4">
        <v>2</v>
      </c>
      <c r="B32" s="4" t="s">
        <v>42</v>
      </c>
      <c r="C32" s="10">
        <v>857</v>
      </c>
      <c r="D32" s="8">
        <v>1.2</v>
      </c>
      <c r="E32" s="8">
        <v>1.2</v>
      </c>
      <c r="F32" s="8">
        <v>1.1000000000000001</v>
      </c>
      <c r="G32" s="8">
        <f t="shared" si="0"/>
        <v>1.17</v>
      </c>
      <c r="H32" s="8" t="s">
        <v>123</v>
      </c>
    </row>
    <row r="33" spans="1:8" x14ac:dyDescent="0.2">
      <c r="A33" s="4">
        <v>2</v>
      </c>
      <c r="B33" s="4" t="s">
        <v>42</v>
      </c>
      <c r="C33" s="10">
        <v>858</v>
      </c>
      <c r="D33" s="8">
        <v>2.2999999999999998</v>
      </c>
      <c r="E33" s="8">
        <v>2.1</v>
      </c>
      <c r="F33" s="8">
        <v>2.2000000000000002</v>
      </c>
      <c r="G33" s="8">
        <f t="shared" si="0"/>
        <v>2.2000000000000002</v>
      </c>
      <c r="H33" s="8" t="s">
        <v>123</v>
      </c>
    </row>
    <row r="34" spans="1:8" x14ac:dyDescent="0.2">
      <c r="A34" s="4">
        <v>2</v>
      </c>
      <c r="B34" s="4" t="s">
        <v>42</v>
      </c>
      <c r="C34" s="10">
        <v>870</v>
      </c>
      <c r="D34" s="8">
        <v>1.8</v>
      </c>
      <c r="E34" s="8">
        <v>1.8</v>
      </c>
      <c r="F34" s="8">
        <v>1.8</v>
      </c>
      <c r="G34" s="8">
        <f t="shared" si="0"/>
        <v>1.8</v>
      </c>
      <c r="H34" s="8" t="s">
        <v>123</v>
      </c>
    </row>
    <row r="35" spans="1:8" x14ac:dyDescent="0.2">
      <c r="A35" s="4">
        <v>2</v>
      </c>
      <c r="B35" s="4" t="s">
        <v>42</v>
      </c>
      <c r="C35" s="10">
        <v>875</v>
      </c>
      <c r="D35" s="8">
        <v>1.7</v>
      </c>
      <c r="E35" s="8">
        <v>1.7</v>
      </c>
      <c r="F35" s="8">
        <v>1.7</v>
      </c>
      <c r="G35" s="8">
        <f t="shared" si="0"/>
        <v>1.7</v>
      </c>
      <c r="H35" s="8" t="s">
        <v>123</v>
      </c>
    </row>
    <row r="36" spans="1:8" x14ac:dyDescent="0.2">
      <c r="A36" s="4">
        <v>2</v>
      </c>
      <c r="B36" s="4" t="s">
        <v>42</v>
      </c>
      <c r="C36" s="10">
        <v>880</v>
      </c>
      <c r="D36" s="8">
        <v>1.8</v>
      </c>
      <c r="E36" s="8">
        <v>1.8</v>
      </c>
      <c r="F36" s="8">
        <v>1.8</v>
      </c>
      <c r="G36" s="8">
        <f t="shared" si="0"/>
        <v>1.8</v>
      </c>
      <c r="H36" s="8" t="s">
        <v>123</v>
      </c>
    </row>
    <row r="37" spans="1:8" x14ac:dyDescent="0.2">
      <c r="A37" s="4">
        <v>2</v>
      </c>
      <c r="B37" s="4" t="s">
        <v>42</v>
      </c>
      <c r="C37" s="10">
        <v>883</v>
      </c>
      <c r="D37" s="8">
        <v>1.6</v>
      </c>
      <c r="E37" s="8">
        <v>1.6</v>
      </c>
      <c r="F37" s="8">
        <v>1.6</v>
      </c>
      <c r="G37" s="8">
        <f t="shared" si="0"/>
        <v>1.6</v>
      </c>
      <c r="H37" s="8" t="s">
        <v>123</v>
      </c>
    </row>
    <row r="38" spans="1:8" x14ac:dyDescent="0.2">
      <c r="A38" s="4">
        <v>2</v>
      </c>
      <c r="B38" s="4" t="s">
        <v>42</v>
      </c>
      <c r="C38" s="10">
        <v>884</v>
      </c>
      <c r="D38" s="8">
        <v>2</v>
      </c>
      <c r="E38" s="8">
        <v>2</v>
      </c>
      <c r="F38" s="8">
        <v>2</v>
      </c>
      <c r="G38" s="8">
        <f t="shared" si="0"/>
        <v>2</v>
      </c>
      <c r="H38" s="8" t="s">
        <v>123</v>
      </c>
    </row>
    <row r="39" spans="1:8" ht="16" thickBot="1" x14ac:dyDescent="0.25">
      <c r="A39" s="5">
        <v>2</v>
      </c>
      <c r="B39" s="5" t="s">
        <v>42</v>
      </c>
      <c r="C39" s="11">
        <v>886</v>
      </c>
      <c r="D39" s="8">
        <v>1.3</v>
      </c>
      <c r="E39" s="8">
        <v>1.2</v>
      </c>
      <c r="F39" s="8">
        <v>1.2</v>
      </c>
      <c r="G39" s="8">
        <f t="shared" si="0"/>
        <v>1.23</v>
      </c>
      <c r="H39" s="8" t="s">
        <v>123</v>
      </c>
    </row>
    <row r="40" spans="1:8" x14ac:dyDescent="0.2">
      <c r="A40" s="19">
        <v>3</v>
      </c>
      <c r="B40" s="20" t="s">
        <v>74</v>
      </c>
      <c r="C40" s="21">
        <v>802</v>
      </c>
      <c r="D40" s="8">
        <v>1.5</v>
      </c>
      <c r="E40" s="8">
        <v>1.5</v>
      </c>
      <c r="F40" s="8">
        <v>1.5</v>
      </c>
      <c r="G40" s="8">
        <f t="shared" si="0"/>
        <v>1.5</v>
      </c>
      <c r="H40" s="8" t="s">
        <v>123</v>
      </c>
    </row>
    <row r="41" spans="1:8" x14ac:dyDescent="0.2">
      <c r="A41" s="22">
        <v>3</v>
      </c>
      <c r="B41" s="23" t="s">
        <v>74</v>
      </c>
      <c r="C41" s="24">
        <v>803</v>
      </c>
      <c r="D41" s="8">
        <v>1.7</v>
      </c>
      <c r="E41" s="8">
        <v>1.8</v>
      </c>
      <c r="F41" s="8">
        <v>1.8</v>
      </c>
      <c r="G41" s="8">
        <f t="shared" si="0"/>
        <v>1.77</v>
      </c>
      <c r="H41" s="8" t="s">
        <v>123</v>
      </c>
    </row>
    <row r="42" spans="1:8" x14ac:dyDescent="0.2">
      <c r="A42" s="22">
        <v>3</v>
      </c>
      <c r="B42" s="23" t="s">
        <v>74</v>
      </c>
      <c r="C42" s="24">
        <v>808</v>
      </c>
      <c r="D42" s="8">
        <v>1.5</v>
      </c>
      <c r="E42" s="8">
        <v>1.4</v>
      </c>
      <c r="F42" s="8">
        <v>1.5</v>
      </c>
      <c r="G42" s="8">
        <f t="shared" si="0"/>
        <v>1.47</v>
      </c>
      <c r="H42" s="8" t="s">
        <v>123</v>
      </c>
    </row>
    <row r="43" spans="1:8" x14ac:dyDescent="0.2">
      <c r="A43" s="22">
        <v>3</v>
      </c>
      <c r="B43" s="23" t="s">
        <v>74</v>
      </c>
      <c r="C43" s="24">
        <v>811</v>
      </c>
      <c r="D43" s="8">
        <v>2.2999999999999998</v>
      </c>
      <c r="E43" s="8">
        <v>2.4</v>
      </c>
      <c r="F43" s="8">
        <v>2.2000000000000002</v>
      </c>
      <c r="G43" s="8">
        <f t="shared" si="0"/>
        <v>2.2999999999999998</v>
      </c>
      <c r="H43" s="8" t="s">
        <v>123</v>
      </c>
    </row>
    <row r="44" spans="1:8" x14ac:dyDescent="0.2">
      <c r="A44" s="22">
        <v>3</v>
      </c>
      <c r="B44" s="23" t="s">
        <v>74</v>
      </c>
      <c r="C44" s="24">
        <v>812</v>
      </c>
      <c r="D44" s="8">
        <v>1.6</v>
      </c>
      <c r="E44" s="8">
        <v>1.5</v>
      </c>
      <c r="F44" s="8">
        <v>1.5</v>
      </c>
      <c r="G44" s="8">
        <f t="shared" si="0"/>
        <v>1.53</v>
      </c>
      <c r="H44" s="8" t="s">
        <v>123</v>
      </c>
    </row>
    <row r="45" spans="1:8" x14ac:dyDescent="0.2">
      <c r="A45" s="22">
        <v>3</v>
      </c>
      <c r="B45" s="23" t="s">
        <v>74</v>
      </c>
      <c r="C45" s="24">
        <v>815</v>
      </c>
      <c r="D45" s="8">
        <v>2.7</v>
      </c>
      <c r="E45" s="8">
        <v>2.8</v>
      </c>
      <c r="F45" s="8">
        <v>2.8</v>
      </c>
      <c r="G45" s="8">
        <f t="shared" si="0"/>
        <v>2.77</v>
      </c>
      <c r="H45" s="8" t="s">
        <v>123</v>
      </c>
    </row>
    <row r="46" spans="1:8" x14ac:dyDescent="0.2">
      <c r="A46" s="22">
        <v>3</v>
      </c>
      <c r="B46" s="23" t="s">
        <v>74</v>
      </c>
      <c r="C46" s="24">
        <v>816</v>
      </c>
      <c r="D46" s="8">
        <v>1.7</v>
      </c>
      <c r="E46" s="8">
        <v>1.8</v>
      </c>
      <c r="F46" s="8">
        <v>1.8</v>
      </c>
      <c r="G46" s="8">
        <f t="shared" si="0"/>
        <v>1.77</v>
      </c>
      <c r="H46" s="8" t="s">
        <v>123</v>
      </c>
    </row>
    <row r="47" spans="1:8" x14ac:dyDescent="0.2">
      <c r="A47" s="22">
        <v>3</v>
      </c>
      <c r="B47" s="23" t="s">
        <v>74</v>
      </c>
      <c r="C47" s="24">
        <v>817</v>
      </c>
      <c r="D47" s="8">
        <v>1.5</v>
      </c>
      <c r="E47" s="8">
        <v>1.4</v>
      </c>
      <c r="F47" s="8">
        <v>1.3</v>
      </c>
      <c r="G47" s="8">
        <f t="shared" si="0"/>
        <v>1.4</v>
      </c>
      <c r="H47" s="8" t="s">
        <v>123</v>
      </c>
    </row>
    <row r="48" spans="1:8" x14ac:dyDescent="0.2">
      <c r="A48" s="22">
        <v>3</v>
      </c>
      <c r="B48" s="23" t="s">
        <v>74</v>
      </c>
      <c r="C48" s="24">
        <v>818</v>
      </c>
      <c r="D48" s="8">
        <v>1.7</v>
      </c>
      <c r="E48" s="8">
        <v>1.9</v>
      </c>
      <c r="F48" s="8">
        <v>1.8</v>
      </c>
      <c r="G48" s="8">
        <f t="shared" si="0"/>
        <v>1.8</v>
      </c>
      <c r="H48" s="8" t="s">
        <v>123</v>
      </c>
    </row>
    <row r="49" spans="1:8" x14ac:dyDescent="0.2">
      <c r="A49" s="22">
        <v>3</v>
      </c>
      <c r="B49" s="23" t="s">
        <v>74</v>
      </c>
      <c r="C49" s="24">
        <v>833</v>
      </c>
      <c r="D49" s="8">
        <v>1.2</v>
      </c>
      <c r="E49" s="8">
        <v>1.5</v>
      </c>
      <c r="F49" s="8">
        <v>1.5</v>
      </c>
      <c r="G49" s="8">
        <f t="shared" si="0"/>
        <v>1.4</v>
      </c>
      <c r="H49" s="8" t="s">
        <v>123</v>
      </c>
    </row>
    <row r="50" spans="1:8" x14ac:dyDescent="0.2">
      <c r="A50" s="22">
        <v>3</v>
      </c>
      <c r="B50" s="23" t="s">
        <v>74</v>
      </c>
      <c r="C50" s="24">
        <v>834</v>
      </c>
      <c r="D50" s="8">
        <v>1.6</v>
      </c>
      <c r="E50" s="8">
        <v>1.5</v>
      </c>
      <c r="F50" s="8">
        <v>1.5</v>
      </c>
      <c r="G50" s="8">
        <f t="shared" si="0"/>
        <v>1.53</v>
      </c>
      <c r="H50" s="8" t="s">
        <v>123</v>
      </c>
    </row>
    <row r="51" spans="1:8" x14ac:dyDescent="0.2">
      <c r="A51" s="22">
        <v>3</v>
      </c>
      <c r="B51" s="23" t="s">
        <v>74</v>
      </c>
      <c r="C51" s="24">
        <v>835</v>
      </c>
      <c r="D51" s="8">
        <v>1.9</v>
      </c>
      <c r="E51" s="8">
        <v>2.2000000000000002</v>
      </c>
      <c r="F51" s="8">
        <v>2.2000000000000002</v>
      </c>
      <c r="G51" s="8">
        <f t="shared" si="0"/>
        <v>2.1</v>
      </c>
      <c r="H51" s="8" t="s">
        <v>123</v>
      </c>
    </row>
    <row r="52" spans="1:8" x14ac:dyDescent="0.2">
      <c r="A52" s="22">
        <v>3</v>
      </c>
      <c r="B52" s="23" t="s">
        <v>74</v>
      </c>
      <c r="C52" s="24">
        <v>844</v>
      </c>
      <c r="D52" s="8">
        <v>1.7</v>
      </c>
      <c r="E52" s="8">
        <v>1.7</v>
      </c>
      <c r="F52" s="8">
        <v>1.7</v>
      </c>
      <c r="G52" s="8">
        <f t="shared" si="0"/>
        <v>1.7</v>
      </c>
      <c r="H52" s="8" t="s">
        <v>123</v>
      </c>
    </row>
    <row r="53" spans="1:8" x14ac:dyDescent="0.2">
      <c r="A53" s="22">
        <v>3</v>
      </c>
      <c r="B53" s="23" t="s">
        <v>74</v>
      </c>
      <c r="C53" s="24">
        <v>845</v>
      </c>
      <c r="D53" s="8">
        <v>1.7</v>
      </c>
      <c r="E53" s="8">
        <v>1.5</v>
      </c>
      <c r="F53" s="8">
        <v>1.5</v>
      </c>
      <c r="G53" s="8">
        <f t="shared" si="0"/>
        <v>1.57</v>
      </c>
      <c r="H53" s="8" t="s">
        <v>123</v>
      </c>
    </row>
    <row r="54" spans="1:8" x14ac:dyDescent="0.2">
      <c r="A54" s="22">
        <v>3</v>
      </c>
      <c r="B54" s="23" t="s">
        <v>74</v>
      </c>
      <c r="C54" s="24">
        <v>846</v>
      </c>
      <c r="D54" s="8">
        <v>1.6</v>
      </c>
      <c r="E54" s="8">
        <v>1.4</v>
      </c>
      <c r="F54" s="8">
        <v>1.5</v>
      </c>
      <c r="G54" s="8">
        <f t="shared" si="0"/>
        <v>1.5</v>
      </c>
      <c r="H54" s="8" t="s">
        <v>123</v>
      </c>
    </row>
    <row r="55" spans="1:8" x14ac:dyDescent="0.2">
      <c r="A55" s="22">
        <v>3</v>
      </c>
      <c r="B55" s="23" t="s">
        <v>74</v>
      </c>
      <c r="C55" s="24">
        <v>849</v>
      </c>
      <c r="D55" s="8">
        <v>1.7</v>
      </c>
      <c r="E55" s="8">
        <v>1.8</v>
      </c>
      <c r="F55" s="8">
        <v>1.8</v>
      </c>
      <c r="G55" s="8">
        <f t="shared" si="0"/>
        <v>1.77</v>
      </c>
      <c r="H55" s="8" t="s">
        <v>123</v>
      </c>
    </row>
    <row r="56" spans="1:8" x14ac:dyDescent="0.2">
      <c r="A56" s="22">
        <v>3</v>
      </c>
      <c r="B56" s="23" t="s">
        <v>74</v>
      </c>
      <c r="C56" s="24">
        <v>856</v>
      </c>
      <c r="D56" s="8">
        <v>1.4</v>
      </c>
      <c r="E56" s="8">
        <v>1.2</v>
      </c>
      <c r="F56" s="8">
        <v>1.2</v>
      </c>
      <c r="G56" s="8">
        <f t="shared" si="0"/>
        <v>1.27</v>
      </c>
      <c r="H56" s="8" t="s">
        <v>123</v>
      </c>
    </row>
    <row r="57" spans="1:8" x14ac:dyDescent="0.2">
      <c r="A57" s="22">
        <v>3</v>
      </c>
      <c r="B57" s="23" t="s">
        <v>74</v>
      </c>
      <c r="C57" s="24">
        <v>859</v>
      </c>
      <c r="D57" s="8">
        <v>1.5</v>
      </c>
      <c r="E57" s="8">
        <v>1.8</v>
      </c>
      <c r="F57" s="8">
        <v>1.8</v>
      </c>
      <c r="G57" s="8">
        <f t="shared" si="0"/>
        <v>1.7</v>
      </c>
      <c r="H57" s="8" t="s">
        <v>123</v>
      </c>
    </row>
    <row r="58" spans="1:8" x14ac:dyDescent="0.2">
      <c r="A58" s="22">
        <v>3</v>
      </c>
      <c r="B58" s="23" t="s">
        <v>74</v>
      </c>
      <c r="C58" s="24">
        <v>861</v>
      </c>
      <c r="D58" s="8">
        <v>1.7</v>
      </c>
      <c r="E58" s="8">
        <v>1.7</v>
      </c>
      <c r="F58" s="8">
        <v>1.7</v>
      </c>
      <c r="G58" s="8">
        <f t="shared" si="0"/>
        <v>1.7</v>
      </c>
      <c r="H58" s="8" t="s">
        <v>123</v>
      </c>
    </row>
    <row r="59" spans="1:8" x14ac:dyDescent="0.2">
      <c r="A59" s="22">
        <v>3</v>
      </c>
      <c r="B59" s="23" t="s">
        <v>74</v>
      </c>
      <c r="C59" s="24">
        <v>862</v>
      </c>
      <c r="D59" s="8">
        <v>1.6</v>
      </c>
      <c r="E59" s="8">
        <v>1.7</v>
      </c>
      <c r="F59" s="8">
        <v>1.6</v>
      </c>
      <c r="G59" s="8">
        <f t="shared" si="0"/>
        <v>1.63</v>
      </c>
      <c r="H59" s="8" t="s">
        <v>123</v>
      </c>
    </row>
    <row r="60" spans="1:8" x14ac:dyDescent="0.2">
      <c r="A60" s="22">
        <v>3</v>
      </c>
      <c r="B60" s="23" t="s">
        <v>74</v>
      </c>
      <c r="C60" s="24">
        <v>865</v>
      </c>
      <c r="D60" s="8">
        <v>1.9</v>
      </c>
      <c r="E60" s="8">
        <v>1.6</v>
      </c>
      <c r="F60" s="8">
        <v>1.6</v>
      </c>
      <c r="G60" s="8">
        <f t="shared" si="0"/>
        <v>1.7</v>
      </c>
      <c r="H60" s="8" t="s">
        <v>123</v>
      </c>
    </row>
    <row r="61" spans="1:8" x14ac:dyDescent="0.2">
      <c r="A61" s="22">
        <v>3</v>
      </c>
      <c r="B61" s="23" t="s">
        <v>74</v>
      </c>
      <c r="C61" s="24">
        <v>866</v>
      </c>
      <c r="D61" s="8">
        <v>1.9</v>
      </c>
      <c r="E61" s="8">
        <v>1.9</v>
      </c>
      <c r="F61" s="8">
        <v>2</v>
      </c>
      <c r="G61" s="8">
        <f t="shared" si="0"/>
        <v>1.93</v>
      </c>
      <c r="H61" s="8" t="s">
        <v>123</v>
      </c>
    </row>
    <row r="62" spans="1:8" x14ac:dyDescent="0.2">
      <c r="A62" s="22">
        <v>3</v>
      </c>
      <c r="B62" s="23" t="s">
        <v>74</v>
      </c>
      <c r="C62" s="24">
        <v>871</v>
      </c>
      <c r="D62" s="8">
        <v>2.1</v>
      </c>
      <c r="E62" s="8">
        <v>2</v>
      </c>
      <c r="F62" s="8">
        <v>2</v>
      </c>
      <c r="G62" s="8">
        <f t="shared" si="0"/>
        <v>2.0299999999999998</v>
      </c>
      <c r="H62" s="8" t="s">
        <v>123</v>
      </c>
    </row>
    <row r="63" spans="1:8" x14ac:dyDescent="0.2">
      <c r="A63" s="22">
        <v>3</v>
      </c>
      <c r="B63" s="23" t="s">
        <v>74</v>
      </c>
      <c r="C63" s="24">
        <v>873</v>
      </c>
      <c r="D63" s="8">
        <v>1.8</v>
      </c>
      <c r="E63" s="8">
        <v>1.8</v>
      </c>
      <c r="F63" s="8">
        <v>1.8</v>
      </c>
      <c r="G63" s="8">
        <f t="shared" si="0"/>
        <v>1.8</v>
      </c>
      <c r="H63" s="8" t="s">
        <v>123</v>
      </c>
    </row>
    <row r="64" spans="1:8" x14ac:dyDescent="0.2">
      <c r="A64" s="22">
        <v>3</v>
      </c>
      <c r="B64" s="23" t="s">
        <v>74</v>
      </c>
      <c r="C64" s="24">
        <v>874</v>
      </c>
      <c r="D64" s="8">
        <v>2.8</v>
      </c>
      <c r="E64" s="8">
        <v>2.8</v>
      </c>
      <c r="F64" s="8">
        <v>2.8</v>
      </c>
      <c r="G64" s="8">
        <f t="shared" si="0"/>
        <v>2.8</v>
      </c>
      <c r="H64" s="8" t="s">
        <v>123</v>
      </c>
    </row>
    <row r="65" spans="1:8" x14ac:dyDescent="0.2">
      <c r="A65" s="22">
        <v>3</v>
      </c>
      <c r="B65" s="23" t="s">
        <v>74</v>
      </c>
      <c r="C65" s="24">
        <v>877</v>
      </c>
      <c r="D65" s="8">
        <v>1.4</v>
      </c>
      <c r="E65" s="8">
        <v>1.3</v>
      </c>
      <c r="F65" s="8">
        <v>1.3</v>
      </c>
      <c r="G65" s="8">
        <f t="shared" si="0"/>
        <v>1.33</v>
      </c>
      <c r="H65" s="8" t="s">
        <v>123</v>
      </c>
    </row>
    <row r="66" spans="1:8" x14ac:dyDescent="0.2">
      <c r="A66" s="22">
        <v>3</v>
      </c>
      <c r="B66" s="23" t="s">
        <v>74</v>
      </c>
      <c r="C66" s="24">
        <v>879</v>
      </c>
      <c r="D66" s="8">
        <v>2.2999999999999998</v>
      </c>
      <c r="E66" s="8">
        <v>2</v>
      </c>
      <c r="F66" s="8">
        <v>1.9</v>
      </c>
      <c r="G66" s="8">
        <f t="shared" si="0"/>
        <v>2.0699999999999998</v>
      </c>
      <c r="H66" s="8" t="s">
        <v>123</v>
      </c>
    </row>
    <row r="67" spans="1:8" x14ac:dyDescent="0.2">
      <c r="A67" s="22">
        <v>3</v>
      </c>
      <c r="B67" s="23" t="s">
        <v>74</v>
      </c>
      <c r="C67" s="24">
        <v>887</v>
      </c>
      <c r="D67" s="8">
        <v>1.8</v>
      </c>
      <c r="E67" s="8">
        <v>1.5</v>
      </c>
      <c r="F67" s="8">
        <v>1.5</v>
      </c>
      <c r="G67" s="8">
        <f t="shared" si="0"/>
        <v>1.6</v>
      </c>
      <c r="H67" s="8" t="s">
        <v>123</v>
      </c>
    </row>
    <row r="68" spans="1:8" x14ac:dyDescent="0.2">
      <c r="A68" s="22">
        <v>3</v>
      </c>
      <c r="B68" s="23" t="s">
        <v>74</v>
      </c>
      <c r="C68" s="24">
        <v>888</v>
      </c>
      <c r="D68" s="8">
        <v>1.1000000000000001</v>
      </c>
      <c r="E68" s="8">
        <v>0.9</v>
      </c>
      <c r="F68" s="8">
        <v>1</v>
      </c>
      <c r="G68" s="8">
        <f t="shared" si="0"/>
        <v>1</v>
      </c>
      <c r="H68" s="8" t="s">
        <v>123</v>
      </c>
    </row>
    <row r="69" spans="1:8" x14ac:dyDescent="0.2">
      <c r="A69" s="13">
        <v>4</v>
      </c>
      <c r="B69" s="14" t="s">
        <v>104</v>
      </c>
      <c r="C69" s="15" t="s">
        <v>105</v>
      </c>
      <c r="D69" s="8">
        <v>2.2000000000000002</v>
      </c>
      <c r="E69" s="8">
        <v>2</v>
      </c>
      <c r="F69" s="8">
        <v>2</v>
      </c>
      <c r="G69" s="8">
        <f t="shared" si="0"/>
        <v>2.0699999999999998</v>
      </c>
      <c r="H69" s="8" t="s">
        <v>123</v>
      </c>
    </row>
    <row r="70" spans="1:8" x14ac:dyDescent="0.2">
      <c r="A70" s="16">
        <v>4</v>
      </c>
      <c r="B70" s="14" t="s">
        <v>104</v>
      </c>
      <c r="C70" s="18" t="s">
        <v>106</v>
      </c>
      <c r="D70" s="8">
        <v>2.6</v>
      </c>
      <c r="E70" s="8">
        <v>2.6</v>
      </c>
      <c r="F70" s="8">
        <v>2.5</v>
      </c>
      <c r="G70" s="8">
        <f t="shared" si="0"/>
        <v>2.57</v>
      </c>
      <c r="H70" s="8" t="s">
        <v>123</v>
      </c>
    </row>
    <row r="71" spans="1:8" x14ac:dyDescent="0.2">
      <c r="A71" s="16">
        <v>4</v>
      </c>
      <c r="B71" s="14" t="s">
        <v>104</v>
      </c>
      <c r="C71" s="18" t="s">
        <v>107</v>
      </c>
      <c r="D71" s="8">
        <v>5.0999999999999996</v>
      </c>
      <c r="E71" s="8">
        <v>5.0999999999999996</v>
      </c>
      <c r="F71" s="8">
        <v>5.0999999999999996</v>
      </c>
      <c r="G71" s="8">
        <f t="shared" si="0"/>
        <v>5.0999999999999996</v>
      </c>
      <c r="H71" s="8" t="s">
        <v>123</v>
      </c>
    </row>
    <row r="72" spans="1:8" x14ac:dyDescent="0.2">
      <c r="A72" s="16">
        <v>4</v>
      </c>
      <c r="B72" s="14" t="s">
        <v>104</v>
      </c>
      <c r="C72" s="18" t="s">
        <v>108</v>
      </c>
      <c r="D72" s="8">
        <v>2.6</v>
      </c>
      <c r="E72" s="8">
        <v>2.8</v>
      </c>
      <c r="F72" s="8">
        <v>2.5</v>
      </c>
      <c r="G72" s="8">
        <f t="shared" si="0"/>
        <v>2.63</v>
      </c>
      <c r="H72" s="8" t="s">
        <v>123</v>
      </c>
    </row>
    <row r="73" spans="1:8" x14ac:dyDescent="0.2">
      <c r="A73" s="16">
        <v>4</v>
      </c>
      <c r="B73" s="14" t="s">
        <v>104</v>
      </c>
      <c r="C73" s="18" t="s">
        <v>109</v>
      </c>
      <c r="D73" s="8">
        <v>2.9</v>
      </c>
      <c r="E73" s="8">
        <v>3.4</v>
      </c>
      <c r="F73" s="8">
        <v>3</v>
      </c>
      <c r="G73" s="8">
        <f t="shared" ref="G73:G102" si="1">IF(D73="NA","NA",ROUND(AVERAGE(D73:F73),2))</f>
        <v>3.1</v>
      </c>
      <c r="H73" s="8" t="s">
        <v>123</v>
      </c>
    </row>
    <row r="74" spans="1:8" x14ac:dyDescent="0.2">
      <c r="A74" s="16">
        <v>4</v>
      </c>
      <c r="B74" s="14" t="s">
        <v>104</v>
      </c>
      <c r="C74" s="18" t="s">
        <v>110</v>
      </c>
      <c r="D74" s="8">
        <v>2.5</v>
      </c>
      <c r="E74" s="8">
        <v>2.2999999999999998</v>
      </c>
      <c r="F74" s="8">
        <v>3</v>
      </c>
      <c r="G74" s="8">
        <f t="shared" si="1"/>
        <v>2.6</v>
      </c>
      <c r="H74" s="8" t="s">
        <v>123</v>
      </c>
    </row>
    <row r="75" spans="1:8" x14ac:dyDescent="0.2">
      <c r="A75" s="16">
        <v>4</v>
      </c>
      <c r="B75" s="14" t="s">
        <v>104</v>
      </c>
      <c r="C75" s="18" t="s">
        <v>111</v>
      </c>
      <c r="D75" s="8">
        <v>2.2000000000000002</v>
      </c>
      <c r="E75" s="8">
        <v>2.2999999999999998</v>
      </c>
      <c r="F75" s="8">
        <v>2.5</v>
      </c>
      <c r="G75" s="8">
        <f t="shared" si="1"/>
        <v>2.33</v>
      </c>
      <c r="H75" s="8" t="s">
        <v>123</v>
      </c>
    </row>
    <row r="76" spans="1:8" x14ac:dyDescent="0.2">
      <c r="A76" s="16">
        <v>4</v>
      </c>
      <c r="B76" s="14" t="s">
        <v>104</v>
      </c>
      <c r="C76" s="18" t="s">
        <v>112</v>
      </c>
      <c r="D76" s="8">
        <v>2</v>
      </c>
      <c r="E76" s="8">
        <v>2.1</v>
      </c>
      <c r="F76" s="8">
        <v>2.2000000000000002</v>
      </c>
      <c r="G76" s="8">
        <f t="shared" si="1"/>
        <v>2.1</v>
      </c>
      <c r="H76" s="8" t="s">
        <v>123</v>
      </c>
    </row>
    <row r="77" spans="1:8" x14ac:dyDescent="0.2">
      <c r="A77" s="16">
        <v>4</v>
      </c>
      <c r="B77" s="14" t="s">
        <v>104</v>
      </c>
      <c r="C77" s="18" t="s">
        <v>113</v>
      </c>
      <c r="D77" s="8">
        <v>2.6</v>
      </c>
      <c r="E77" s="8">
        <v>2.7</v>
      </c>
      <c r="F77" s="8">
        <v>2.7</v>
      </c>
      <c r="G77" s="8">
        <f t="shared" si="1"/>
        <v>2.67</v>
      </c>
      <c r="H77" s="8" t="s">
        <v>123</v>
      </c>
    </row>
    <row r="78" spans="1:8" x14ac:dyDescent="0.2">
      <c r="A78" s="16">
        <v>4</v>
      </c>
      <c r="B78" s="14" t="s">
        <v>104</v>
      </c>
      <c r="C78" s="18" t="s">
        <v>114</v>
      </c>
      <c r="D78" s="8">
        <v>1.6</v>
      </c>
      <c r="E78" s="8">
        <v>1.6</v>
      </c>
      <c r="F78" s="8">
        <v>1.6</v>
      </c>
      <c r="G78" s="8">
        <f t="shared" si="1"/>
        <v>1.6</v>
      </c>
      <c r="H78" s="8" t="s">
        <v>123</v>
      </c>
    </row>
    <row r="79" spans="1:8" x14ac:dyDescent="0.2">
      <c r="A79" s="16">
        <v>4</v>
      </c>
      <c r="B79" s="14" t="s">
        <v>104</v>
      </c>
      <c r="C79" s="18" t="s">
        <v>115</v>
      </c>
      <c r="D79" s="8">
        <v>2.8</v>
      </c>
      <c r="E79" s="8">
        <v>3</v>
      </c>
      <c r="F79" s="8">
        <v>3.1</v>
      </c>
      <c r="G79" s="8">
        <f t="shared" si="1"/>
        <v>2.97</v>
      </c>
      <c r="H79" s="8" t="s">
        <v>123</v>
      </c>
    </row>
    <row r="80" spans="1:8" x14ac:dyDescent="0.2">
      <c r="A80" s="16">
        <v>4</v>
      </c>
      <c r="B80" s="14" t="s">
        <v>104</v>
      </c>
      <c r="C80" s="18" t="s">
        <v>116</v>
      </c>
      <c r="D80" s="8">
        <v>2.7</v>
      </c>
      <c r="E80" s="8">
        <v>2.8</v>
      </c>
      <c r="F80" s="8">
        <v>2.8</v>
      </c>
      <c r="G80" s="8">
        <f t="shared" si="1"/>
        <v>2.77</v>
      </c>
      <c r="H80" s="8" t="s">
        <v>123</v>
      </c>
    </row>
    <row r="81" spans="1:8" x14ac:dyDescent="0.2">
      <c r="A81" s="16">
        <v>4</v>
      </c>
      <c r="B81" s="14" t="s">
        <v>104</v>
      </c>
      <c r="C81" s="18" t="s">
        <v>117</v>
      </c>
      <c r="D81" s="8">
        <v>2.4</v>
      </c>
      <c r="E81" s="8">
        <v>2.4</v>
      </c>
      <c r="F81" s="8">
        <v>2.4</v>
      </c>
      <c r="G81" s="8">
        <f t="shared" si="1"/>
        <v>2.4</v>
      </c>
      <c r="H81" s="8" t="s">
        <v>123</v>
      </c>
    </row>
    <row r="82" spans="1:8" x14ac:dyDescent="0.2">
      <c r="A82" s="16">
        <v>4</v>
      </c>
      <c r="B82" s="14" t="s">
        <v>104</v>
      </c>
      <c r="C82" s="18" t="s">
        <v>118</v>
      </c>
      <c r="D82" s="8">
        <v>1.9</v>
      </c>
      <c r="E82" s="8">
        <v>1.8</v>
      </c>
      <c r="F82" s="8">
        <v>2</v>
      </c>
      <c r="G82" s="8">
        <f t="shared" si="1"/>
        <v>1.9</v>
      </c>
      <c r="H82" s="8" t="s">
        <v>123</v>
      </c>
    </row>
    <row r="83" spans="1:8" x14ac:dyDescent="0.2">
      <c r="A83" s="16">
        <v>4</v>
      </c>
      <c r="B83" s="14" t="s">
        <v>104</v>
      </c>
      <c r="C83" s="18" t="s">
        <v>119</v>
      </c>
      <c r="D83" s="8">
        <v>2</v>
      </c>
      <c r="E83" s="8">
        <v>2</v>
      </c>
      <c r="F83" s="8">
        <v>2.1</v>
      </c>
      <c r="G83" s="8">
        <f t="shared" si="1"/>
        <v>2.0299999999999998</v>
      </c>
      <c r="H83" s="8" t="s">
        <v>123</v>
      </c>
    </row>
    <row r="84" spans="1:8" x14ac:dyDescent="0.2">
      <c r="A84" s="16">
        <v>4</v>
      </c>
      <c r="B84" s="14" t="s">
        <v>104</v>
      </c>
      <c r="C84" s="18" t="s">
        <v>120</v>
      </c>
      <c r="D84" s="8">
        <v>1.9</v>
      </c>
      <c r="E84" s="8">
        <v>1.9</v>
      </c>
      <c r="F84" s="8">
        <v>1.9</v>
      </c>
      <c r="G84" s="8">
        <f t="shared" si="1"/>
        <v>1.9</v>
      </c>
      <c r="H84" s="8" t="s">
        <v>123</v>
      </c>
    </row>
    <row r="85" spans="1:8" x14ac:dyDescent="0.2">
      <c r="A85" s="16">
        <v>4</v>
      </c>
      <c r="B85" s="14" t="s">
        <v>104</v>
      </c>
      <c r="C85" s="18" t="s">
        <v>121</v>
      </c>
      <c r="D85" s="8">
        <v>2.4</v>
      </c>
      <c r="E85" s="8">
        <v>2.5</v>
      </c>
      <c r="F85" s="8">
        <v>2.4</v>
      </c>
      <c r="G85" s="8">
        <f t="shared" si="1"/>
        <v>2.4300000000000002</v>
      </c>
      <c r="H85" s="8" t="s">
        <v>123</v>
      </c>
    </row>
    <row r="86" spans="1:8" x14ac:dyDescent="0.2">
      <c r="A86" s="16">
        <v>4</v>
      </c>
      <c r="B86" s="14" t="s">
        <v>104</v>
      </c>
      <c r="C86" s="18" t="s">
        <v>122</v>
      </c>
      <c r="D86" s="8" t="s">
        <v>123</v>
      </c>
      <c r="E86" s="8" t="s">
        <v>123</v>
      </c>
      <c r="F86" s="8" t="s">
        <v>123</v>
      </c>
      <c r="G86" s="8" t="str">
        <f t="shared" si="1"/>
        <v>NA</v>
      </c>
      <c r="H86" s="8" t="s">
        <v>123</v>
      </c>
    </row>
    <row r="87" spans="1:8" x14ac:dyDescent="0.2">
      <c r="A87" s="16">
        <v>4</v>
      </c>
      <c r="B87" s="14" t="s">
        <v>104</v>
      </c>
      <c r="C87" s="18" t="s">
        <v>124</v>
      </c>
      <c r="D87" s="8">
        <v>1.7</v>
      </c>
      <c r="E87" s="8">
        <v>1.7</v>
      </c>
      <c r="F87" s="8">
        <v>1.7</v>
      </c>
      <c r="G87" s="8">
        <f t="shared" si="1"/>
        <v>1.7</v>
      </c>
      <c r="H87" s="8" t="s">
        <v>123</v>
      </c>
    </row>
    <row r="88" spans="1:8" x14ac:dyDescent="0.2">
      <c r="A88" s="16">
        <v>4</v>
      </c>
      <c r="B88" s="14" t="s">
        <v>104</v>
      </c>
      <c r="C88" s="18" t="s">
        <v>125</v>
      </c>
      <c r="D88" s="8">
        <v>2.2999999999999998</v>
      </c>
      <c r="E88" s="8">
        <v>2.2999999999999998</v>
      </c>
      <c r="F88" s="8">
        <v>2.1</v>
      </c>
      <c r="G88" s="8">
        <f t="shared" si="1"/>
        <v>2.23</v>
      </c>
      <c r="H88" s="8" t="s">
        <v>123</v>
      </c>
    </row>
    <row r="89" spans="1:8" x14ac:dyDescent="0.2">
      <c r="A89" s="16">
        <v>4</v>
      </c>
      <c r="B89" s="14" t="s">
        <v>104</v>
      </c>
      <c r="C89" s="18" t="s">
        <v>126</v>
      </c>
      <c r="D89" s="8">
        <v>1.3</v>
      </c>
      <c r="E89" s="8">
        <v>1.4</v>
      </c>
      <c r="F89" s="8">
        <v>1.4</v>
      </c>
      <c r="G89" s="8">
        <f t="shared" si="1"/>
        <v>1.37</v>
      </c>
      <c r="H89" s="8" t="s">
        <v>123</v>
      </c>
    </row>
    <row r="90" spans="1:8" x14ac:dyDescent="0.2">
      <c r="A90" s="16">
        <v>4</v>
      </c>
      <c r="B90" s="14" t="s">
        <v>104</v>
      </c>
      <c r="C90" s="18" t="s">
        <v>127</v>
      </c>
      <c r="D90" s="8">
        <v>2</v>
      </c>
      <c r="E90" s="8">
        <v>2.1</v>
      </c>
      <c r="F90" s="8">
        <v>1.8</v>
      </c>
      <c r="G90" s="8">
        <f t="shared" si="1"/>
        <v>1.97</v>
      </c>
      <c r="H90" s="8" t="s">
        <v>123</v>
      </c>
    </row>
    <row r="91" spans="1:8" x14ac:dyDescent="0.2">
      <c r="A91" s="16">
        <v>4</v>
      </c>
      <c r="B91" s="14" t="s">
        <v>104</v>
      </c>
      <c r="C91" s="18" t="s">
        <v>128</v>
      </c>
      <c r="D91" s="8">
        <v>2.1</v>
      </c>
      <c r="E91" s="8">
        <v>2.2000000000000002</v>
      </c>
      <c r="F91" s="8">
        <v>2.2000000000000002</v>
      </c>
      <c r="G91" s="8">
        <f t="shared" si="1"/>
        <v>2.17</v>
      </c>
      <c r="H91" s="8" t="s">
        <v>123</v>
      </c>
    </row>
    <row r="92" spans="1:8" x14ac:dyDescent="0.2">
      <c r="A92" s="16">
        <v>4</v>
      </c>
      <c r="B92" s="14" t="s">
        <v>104</v>
      </c>
      <c r="C92" s="18" t="s">
        <v>129</v>
      </c>
      <c r="D92" s="8">
        <v>2.2000000000000002</v>
      </c>
      <c r="E92" s="8">
        <v>2.2000000000000002</v>
      </c>
      <c r="F92" s="8">
        <v>2.2000000000000002</v>
      </c>
      <c r="G92" s="8">
        <f t="shared" si="1"/>
        <v>2.2000000000000002</v>
      </c>
      <c r="H92" s="8" t="s">
        <v>123</v>
      </c>
    </row>
    <row r="93" spans="1:8" x14ac:dyDescent="0.2">
      <c r="A93" s="16">
        <v>4</v>
      </c>
      <c r="B93" s="14" t="s">
        <v>104</v>
      </c>
      <c r="C93" s="18" t="s">
        <v>130</v>
      </c>
      <c r="D93" s="8">
        <v>2.2999999999999998</v>
      </c>
      <c r="E93" s="8">
        <v>2.4</v>
      </c>
      <c r="F93" s="8">
        <v>2.4</v>
      </c>
      <c r="G93" s="8">
        <f t="shared" si="1"/>
        <v>2.37</v>
      </c>
      <c r="H93" s="8" t="s">
        <v>123</v>
      </c>
    </row>
    <row r="94" spans="1:8" x14ac:dyDescent="0.2">
      <c r="A94" s="16">
        <v>4</v>
      </c>
      <c r="B94" s="14" t="s">
        <v>104</v>
      </c>
      <c r="C94" s="18" t="s">
        <v>131</v>
      </c>
      <c r="D94" s="8">
        <v>1.8</v>
      </c>
      <c r="E94" s="8">
        <v>1.9</v>
      </c>
      <c r="F94" s="8">
        <v>1.9</v>
      </c>
      <c r="G94" s="8">
        <f t="shared" si="1"/>
        <v>1.87</v>
      </c>
      <c r="H94" s="8" t="s">
        <v>123</v>
      </c>
    </row>
    <row r="95" spans="1:8" x14ac:dyDescent="0.2">
      <c r="A95" s="16">
        <v>4</v>
      </c>
      <c r="B95" s="14" t="s">
        <v>104</v>
      </c>
      <c r="C95" s="18" t="s">
        <v>132</v>
      </c>
      <c r="D95" s="8">
        <v>2.4</v>
      </c>
      <c r="E95" s="8">
        <v>2.2000000000000002</v>
      </c>
      <c r="F95" s="8">
        <v>2.2000000000000002</v>
      </c>
      <c r="G95" s="8">
        <f t="shared" si="1"/>
        <v>2.27</v>
      </c>
      <c r="H95" s="8" t="s">
        <v>123</v>
      </c>
    </row>
    <row r="96" spans="1:8" x14ac:dyDescent="0.2">
      <c r="A96" s="16">
        <v>4</v>
      </c>
      <c r="B96" s="14" t="s">
        <v>104</v>
      </c>
      <c r="C96" s="18" t="s">
        <v>133</v>
      </c>
      <c r="D96" s="8">
        <v>1.5</v>
      </c>
      <c r="E96" s="8">
        <v>1.4</v>
      </c>
      <c r="F96" s="8">
        <v>1.5</v>
      </c>
      <c r="G96" s="8">
        <f t="shared" si="1"/>
        <v>1.47</v>
      </c>
      <c r="H96" s="8" t="s">
        <v>123</v>
      </c>
    </row>
    <row r="97" spans="1:8" x14ac:dyDescent="0.2">
      <c r="A97" s="16">
        <v>4</v>
      </c>
      <c r="B97" s="14" t="s">
        <v>104</v>
      </c>
      <c r="C97" s="18" t="s">
        <v>134</v>
      </c>
      <c r="D97" s="8">
        <v>1.9</v>
      </c>
      <c r="E97" s="8">
        <v>2</v>
      </c>
      <c r="F97" s="8">
        <v>1.9</v>
      </c>
      <c r="G97" s="8">
        <f t="shared" si="1"/>
        <v>1.93</v>
      </c>
      <c r="H97" s="8" t="s">
        <v>123</v>
      </c>
    </row>
    <row r="98" spans="1:8" x14ac:dyDescent="0.2">
      <c r="A98" s="17">
        <v>4</v>
      </c>
      <c r="B98" s="17" t="s">
        <v>104</v>
      </c>
      <c r="C98" s="17" t="s">
        <v>135</v>
      </c>
      <c r="D98" s="8">
        <v>2</v>
      </c>
      <c r="E98" s="8">
        <v>1.9</v>
      </c>
      <c r="F98" s="8">
        <v>1.9</v>
      </c>
      <c r="G98" s="8">
        <f t="shared" si="1"/>
        <v>1.93</v>
      </c>
      <c r="H98" s="8" t="s">
        <v>123</v>
      </c>
    </row>
    <row r="99" spans="1:8" x14ac:dyDescent="0.2">
      <c r="A99" s="17">
        <v>4</v>
      </c>
      <c r="B99" s="17" t="s">
        <v>104</v>
      </c>
      <c r="C99" s="17" t="s">
        <v>136</v>
      </c>
      <c r="D99" s="8">
        <v>2.4</v>
      </c>
      <c r="E99" s="8">
        <v>2.4</v>
      </c>
      <c r="F99" s="8">
        <v>2.2999999999999998</v>
      </c>
      <c r="G99" s="8">
        <f t="shared" si="1"/>
        <v>2.37</v>
      </c>
      <c r="H99" s="8" t="s">
        <v>123</v>
      </c>
    </row>
    <row r="100" spans="1:8" x14ac:dyDescent="0.2">
      <c r="A100" s="17">
        <v>4</v>
      </c>
      <c r="B100" s="17" t="s">
        <v>104</v>
      </c>
      <c r="C100" s="17" t="s">
        <v>137</v>
      </c>
      <c r="D100" s="8">
        <v>1.9</v>
      </c>
      <c r="E100" s="8">
        <v>1.9</v>
      </c>
      <c r="F100" s="8">
        <v>1.9</v>
      </c>
      <c r="G100" s="8">
        <f t="shared" si="1"/>
        <v>1.9</v>
      </c>
      <c r="H100" s="8" t="s">
        <v>123</v>
      </c>
    </row>
    <row r="101" spans="1:8" x14ac:dyDescent="0.2">
      <c r="A101" s="17">
        <v>4</v>
      </c>
      <c r="B101" s="17" t="s">
        <v>104</v>
      </c>
      <c r="C101" s="17" t="s">
        <v>138</v>
      </c>
      <c r="D101" s="8">
        <v>1.6</v>
      </c>
      <c r="E101" s="8">
        <v>1.6</v>
      </c>
      <c r="F101" s="8">
        <v>1.6</v>
      </c>
      <c r="G101" s="8">
        <f t="shared" si="1"/>
        <v>1.6</v>
      </c>
      <c r="H101" s="8" t="s">
        <v>123</v>
      </c>
    </row>
    <row r="102" spans="1:8" x14ac:dyDescent="0.2">
      <c r="A102" s="17">
        <v>4</v>
      </c>
      <c r="B102" s="17" t="s">
        <v>104</v>
      </c>
      <c r="C102" s="17" t="s">
        <v>139</v>
      </c>
      <c r="D102" s="8">
        <v>2.2999999999999998</v>
      </c>
      <c r="E102" s="8">
        <v>2.2999999999999998</v>
      </c>
      <c r="F102" s="8">
        <v>2.4</v>
      </c>
      <c r="G102" s="8">
        <f t="shared" si="1"/>
        <v>2.33</v>
      </c>
      <c r="H102" s="8" t="s">
        <v>123</v>
      </c>
    </row>
  </sheetData>
  <pageMargins left="0.7" right="0.7" top="0.75" bottom="0.75" header="0.3" footer="0.3"/>
  <pageSetup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B68B9-24A5-4403-B15E-83145F08F9C3}">
  <dimension ref="A1:S102"/>
  <sheetViews>
    <sheetView topLeftCell="A37" workbookViewId="0">
      <selection activeCell="G1" sqref="G1:G1048576"/>
    </sheetView>
  </sheetViews>
  <sheetFormatPr baseColWidth="10" defaultColWidth="8.83203125" defaultRowHeight="15" x14ac:dyDescent="0.2"/>
  <cols>
    <col min="4" max="6" width="10.6640625" customWidth="1"/>
    <col min="8" max="8" width="36.1640625" bestFit="1" customWidth="1"/>
  </cols>
  <sheetData>
    <row r="1" spans="1:19" ht="19" x14ac:dyDescent="0.25">
      <c r="A1" s="12" t="s">
        <v>0</v>
      </c>
      <c r="B1" s="12"/>
      <c r="C1" s="12"/>
      <c r="D1" s="12"/>
      <c r="E1" s="12"/>
      <c r="G1" s="12"/>
      <c r="H1" s="12"/>
      <c r="I1" s="12"/>
      <c r="J1" s="12"/>
      <c r="L1" s="12"/>
    </row>
    <row r="2" spans="1:19" ht="19" x14ac:dyDescent="0.25">
      <c r="A2" s="12"/>
      <c r="B2" s="12"/>
      <c r="C2" s="12"/>
      <c r="D2" s="12"/>
      <c r="E2" s="12"/>
      <c r="G2" s="12"/>
      <c r="H2" s="12"/>
      <c r="I2" s="12"/>
      <c r="J2" s="12"/>
      <c r="K2" s="12"/>
      <c r="L2" s="12"/>
    </row>
    <row r="3" spans="1:19" ht="19" x14ac:dyDescent="0.25">
      <c r="A3" s="12" t="s">
        <v>173</v>
      </c>
      <c r="B3" s="12"/>
      <c r="C3" s="12"/>
      <c r="D3" s="12"/>
      <c r="E3" s="12"/>
      <c r="G3" s="12"/>
      <c r="H3" s="12"/>
      <c r="I3" s="12"/>
      <c r="J3" s="12"/>
      <c r="K3" s="12"/>
      <c r="L3" s="12"/>
    </row>
    <row r="4" spans="1:19" ht="19" x14ac:dyDescent="0.25">
      <c r="A4" s="12"/>
      <c r="B4" s="12"/>
      <c r="C4" s="12"/>
      <c r="D4" s="12"/>
      <c r="E4" s="12"/>
      <c r="G4" s="12"/>
      <c r="H4" s="12"/>
      <c r="I4" s="12"/>
      <c r="J4" s="12"/>
      <c r="K4" s="12"/>
      <c r="L4" s="12"/>
    </row>
    <row r="5" spans="1:19" ht="19" x14ac:dyDescent="0.25">
      <c r="A5" s="12" t="s">
        <v>174</v>
      </c>
      <c r="B5" s="12"/>
      <c r="C5" s="12"/>
      <c r="D5" s="12"/>
      <c r="E5" s="12"/>
      <c r="G5" s="12"/>
      <c r="H5" s="12"/>
      <c r="I5" s="12"/>
      <c r="J5" s="12"/>
      <c r="K5" s="12"/>
      <c r="L5" s="12"/>
    </row>
    <row r="6" spans="1:19" ht="19" x14ac:dyDescent="0.25">
      <c r="A6" s="12" t="s">
        <v>165</v>
      </c>
      <c r="B6" s="12"/>
      <c r="C6" s="12"/>
      <c r="D6" s="12"/>
      <c r="E6" s="12"/>
      <c r="G6" s="12"/>
      <c r="H6" s="12"/>
      <c r="I6" s="12"/>
      <c r="J6" s="12"/>
      <c r="K6" s="12"/>
      <c r="L6" s="12"/>
    </row>
    <row r="8" spans="1:19" ht="41" thickBot="1" x14ac:dyDescent="0.25">
      <c r="A8" s="1" t="s">
        <v>4</v>
      </c>
      <c r="B8" s="2" t="s">
        <v>5</v>
      </c>
      <c r="C8" s="6" t="s">
        <v>7</v>
      </c>
      <c r="D8" s="7" t="s">
        <v>8</v>
      </c>
      <c r="E8" s="7" t="s">
        <v>8</v>
      </c>
      <c r="F8" s="7" t="s">
        <v>8</v>
      </c>
      <c r="G8" s="7" t="s">
        <v>9</v>
      </c>
      <c r="H8" s="7" t="s">
        <v>10</v>
      </c>
      <c r="J8" s="34"/>
      <c r="K8" s="34"/>
      <c r="L8" s="34"/>
      <c r="M8" s="34"/>
      <c r="N8" s="34"/>
      <c r="O8" s="34"/>
      <c r="P8" s="34"/>
      <c r="Q8" s="34"/>
      <c r="R8" s="34"/>
      <c r="S8" s="34"/>
    </row>
    <row r="9" spans="1:19" x14ac:dyDescent="0.2">
      <c r="A9" s="3">
        <v>2</v>
      </c>
      <c r="B9" s="3" t="s">
        <v>42</v>
      </c>
      <c r="C9" s="9">
        <v>800</v>
      </c>
      <c r="D9" s="8">
        <v>1.8</v>
      </c>
      <c r="E9" s="8">
        <v>1.9</v>
      </c>
      <c r="F9" s="8">
        <v>1.8</v>
      </c>
      <c r="G9" s="8">
        <f t="shared" ref="G9:G72" si="0">IF(D9="NA","NA",ROUND(AVERAGE(D9:F9),2))</f>
        <v>1.83</v>
      </c>
      <c r="H9" s="8" t="s">
        <v>123</v>
      </c>
    </row>
    <row r="10" spans="1:19" x14ac:dyDescent="0.2">
      <c r="A10" s="4">
        <v>2</v>
      </c>
      <c r="B10" s="4" t="s">
        <v>42</v>
      </c>
      <c r="C10" s="10">
        <v>801</v>
      </c>
      <c r="D10" s="8">
        <v>1.3</v>
      </c>
      <c r="E10" s="8">
        <v>1.3</v>
      </c>
      <c r="F10" s="8">
        <v>1.3</v>
      </c>
      <c r="G10" s="8">
        <f t="shared" si="0"/>
        <v>1.3</v>
      </c>
      <c r="H10" s="8" t="s">
        <v>123</v>
      </c>
    </row>
    <row r="11" spans="1:19" x14ac:dyDescent="0.2">
      <c r="A11" s="4">
        <v>2</v>
      </c>
      <c r="B11" s="4" t="s">
        <v>42</v>
      </c>
      <c r="C11" s="10">
        <v>804</v>
      </c>
      <c r="D11" s="8">
        <v>1.4</v>
      </c>
      <c r="E11" s="8">
        <v>1.3</v>
      </c>
      <c r="F11" s="8">
        <v>1.3</v>
      </c>
      <c r="G11" s="8">
        <f t="shared" si="0"/>
        <v>1.33</v>
      </c>
      <c r="H11" s="8" t="s">
        <v>123</v>
      </c>
    </row>
    <row r="12" spans="1:19" x14ac:dyDescent="0.2">
      <c r="A12" s="4">
        <v>2</v>
      </c>
      <c r="B12" s="4" t="s">
        <v>42</v>
      </c>
      <c r="C12" s="10">
        <v>806</v>
      </c>
      <c r="D12" s="8">
        <v>1.7</v>
      </c>
      <c r="E12" s="8">
        <v>1.6</v>
      </c>
      <c r="F12" s="8">
        <v>1.6</v>
      </c>
      <c r="G12" s="8">
        <f t="shared" si="0"/>
        <v>1.63</v>
      </c>
      <c r="H12" s="8" t="s">
        <v>123</v>
      </c>
    </row>
    <row r="13" spans="1:19" x14ac:dyDescent="0.2">
      <c r="A13" s="4">
        <v>2</v>
      </c>
      <c r="B13" s="4" t="s">
        <v>42</v>
      </c>
      <c r="C13" s="10">
        <v>809</v>
      </c>
      <c r="D13" s="8">
        <v>1.9</v>
      </c>
      <c r="E13" s="8">
        <v>2</v>
      </c>
      <c r="F13" s="8">
        <v>2</v>
      </c>
      <c r="G13" s="8">
        <f t="shared" si="0"/>
        <v>1.97</v>
      </c>
      <c r="H13" s="8" t="s">
        <v>123</v>
      </c>
    </row>
    <row r="14" spans="1:19" x14ac:dyDescent="0.2">
      <c r="A14" s="4">
        <v>2</v>
      </c>
      <c r="B14" s="4" t="s">
        <v>42</v>
      </c>
      <c r="C14" s="10">
        <v>810</v>
      </c>
      <c r="D14" s="8">
        <v>3.2</v>
      </c>
      <c r="E14" s="8">
        <v>3.1</v>
      </c>
      <c r="F14" s="8">
        <v>3.1</v>
      </c>
      <c r="G14" s="8">
        <f t="shared" si="0"/>
        <v>3.13</v>
      </c>
      <c r="H14" s="8" t="s">
        <v>123</v>
      </c>
    </row>
    <row r="15" spans="1:19" x14ac:dyDescent="0.2">
      <c r="A15" s="4">
        <v>2</v>
      </c>
      <c r="B15" s="4" t="s">
        <v>42</v>
      </c>
      <c r="C15" s="10">
        <v>819</v>
      </c>
      <c r="D15" s="8">
        <v>2.6</v>
      </c>
      <c r="E15" s="8">
        <v>2.6</v>
      </c>
      <c r="F15" s="8">
        <v>2.6</v>
      </c>
      <c r="G15" s="8">
        <f t="shared" si="0"/>
        <v>2.6</v>
      </c>
      <c r="H15" s="8" t="s">
        <v>123</v>
      </c>
    </row>
    <row r="16" spans="1:19" x14ac:dyDescent="0.2">
      <c r="A16" s="4">
        <v>2</v>
      </c>
      <c r="B16" s="4" t="s">
        <v>42</v>
      </c>
      <c r="C16" s="10">
        <v>822</v>
      </c>
      <c r="D16" s="8">
        <v>2</v>
      </c>
      <c r="E16" s="8">
        <v>2</v>
      </c>
      <c r="F16" s="8">
        <v>2</v>
      </c>
      <c r="G16" s="8">
        <f t="shared" si="0"/>
        <v>2</v>
      </c>
      <c r="H16" s="8" t="s">
        <v>123</v>
      </c>
    </row>
    <row r="17" spans="1:8" x14ac:dyDescent="0.2">
      <c r="A17" s="4">
        <v>2</v>
      </c>
      <c r="B17" s="4" t="s">
        <v>42</v>
      </c>
      <c r="C17" s="10">
        <v>823</v>
      </c>
      <c r="D17" s="8">
        <v>2.5</v>
      </c>
      <c r="E17" s="8">
        <v>2.4</v>
      </c>
      <c r="F17" s="8">
        <v>2.5</v>
      </c>
      <c r="G17" s="8">
        <f t="shared" si="0"/>
        <v>2.4700000000000002</v>
      </c>
      <c r="H17" s="8" t="s">
        <v>123</v>
      </c>
    </row>
    <row r="18" spans="1:8" x14ac:dyDescent="0.2">
      <c r="A18" s="4">
        <v>2</v>
      </c>
      <c r="B18" s="4" t="s">
        <v>42</v>
      </c>
      <c r="C18" s="10">
        <v>825</v>
      </c>
      <c r="D18" s="8">
        <v>1.1000000000000001</v>
      </c>
      <c r="E18" s="8">
        <v>1.2</v>
      </c>
      <c r="F18" s="8">
        <v>1.1000000000000001</v>
      </c>
      <c r="G18" s="8">
        <f t="shared" si="0"/>
        <v>1.1299999999999999</v>
      </c>
      <c r="H18" s="8" t="s">
        <v>123</v>
      </c>
    </row>
    <row r="19" spans="1:8" x14ac:dyDescent="0.2">
      <c r="A19" s="4">
        <v>2</v>
      </c>
      <c r="B19" s="4" t="s">
        <v>42</v>
      </c>
      <c r="C19" s="10">
        <v>826</v>
      </c>
      <c r="D19" s="8">
        <v>1.6</v>
      </c>
      <c r="E19" s="8">
        <v>1.5</v>
      </c>
      <c r="F19" s="8">
        <v>1.5</v>
      </c>
      <c r="G19" s="8">
        <f t="shared" si="0"/>
        <v>1.53</v>
      </c>
      <c r="H19" s="8" t="s">
        <v>123</v>
      </c>
    </row>
    <row r="20" spans="1:8" x14ac:dyDescent="0.2">
      <c r="A20" s="4">
        <v>2</v>
      </c>
      <c r="B20" s="4" t="s">
        <v>42</v>
      </c>
      <c r="C20" s="10">
        <v>828</v>
      </c>
      <c r="D20" s="8">
        <v>1.5</v>
      </c>
      <c r="E20" s="8">
        <v>1.5</v>
      </c>
      <c r="F20" s="8">
        <v>1.5</v>
      </c>
      <c r="G20" s="8">
        <f t="shared" si="0"/>
        <v>1.5</v>
      </c>
      <c r="H20" s="8" t="s">
        <v>123</v>
      </c>
    </row>
    <row r="21" spans="1:8" x14ac:dyDescent="0.2">
      <c r="A21" s="4">
        <v>2</v>
      </c>
      <c r="B21" s="4" t="s">
        <v>42</v>
      </c>
      <c r="C21" s="10">
        <v>829</v>
      </c>
      <c r="D21" s="8">
        <v>1.9</v>
      </c>
      <c r="E21" s="8">
        <v>2</v>
      </c>
      <c r="F21" s="8">
        <v>2</v>
      </c>
      <c r="G21" s="8">
        <f t="shared" si="0"/>
        <v>1.97</v>
      </c>
      <c r="H21" s="8" t="s">
        <v>123</v>
      </c>
    </row>
    <row r="22" spans="1:8" x14ac:dyDescent="0.2">
      <c r="A22" s="4">
        <v>2</v>
      </c>
      <c r="B22" s="4" t="s">
        <v>42</v>
      </c>
      <c r="C22" s="10">
        <v>832</v>
      </c>
      <c r="D22" s="8">
        <v>1.7</v>
      </c>
      <c r="E22" s="8">
        <v>1.7</v>
      </c>
      <c r="F22" s="8">
        <v>1.6</v>
      </c>
      <c r="G22" s="8">
        <f t="shared" si="0"/>
        <v>1.67</v>
      </c>
      <c r="H22" s="8" t="s">
        <v>123</v>
      </c>
    </row>
    <row r="23" spans="1:8" x14ac:dyDescent="0.2">
      <c r="A23" s="4">
        <v>2</v>
      </c>
      <c r="B23" s="4" t="s">
        <v>42</v>
      </c>
      <c r="C23" s="10">
        <v>836</v>
      </c>
      <c r="D23" s="8">
        <v>1.9</v>
      </c>
      <c r="E23" s="8">
        <v>2</v>
      </c>
      <c r="F23" s="8">
        <v>1.9</v>
      </c>
      <c r="G23" s="8">
        <f t="shared" si="0"/>
        <v>1.93</v>
      </c>
      <c r="H23" s="8" t="s">
        <v>123</v>
      </c>
    </row>
    <row r="24" spans="1:8" x14ac:dyDescent="0.2">
      <c r="A24" s="4">
        <v>2</v>
      </c>
      <c r="B24" s="4" t="s">
        <v>42</v>
      </c>
      <c r="C24" s="10">
        <v>839</v>
      </c>
      <c r="D24" s="8">
        <v>1.4</v>
      </c>
      <c r="E24" s="8">
        <v>1.4</v>
      </c>
      <c r="F24" s="8">
        <v>1.4</v>
      </c>
      <c r="G24" s="8">
        <f t="shared" si="0"/>
        <v>1.4</v>
      </c>
      <c r="H24" s="8" t="s">
        <v>123</v>
      </c>
    </row>
    <row r="25" spans="1:8" x14ac:dyDescent="0.2">
      <c r="A25" s="4">
        <v>2</v>
      </c>
      <c r="B25" s="4" t="s">
        <v>42</v>
      </c>
      <c r="C25" s="10">
        <v>840</v>
      </c>
      <c r="D25" s="8">
        <v>1.1000000000000001</v>
      </c>
      <c r="E25" s="8">
        <v>1</v>
      </c>
      <c r="F25" s="8">
        <v>1</v>
      </c>
      <c r="G25" s="8">
        <f t="shared" si="0"/>
        <v>1.03</v>
      </c>
      <c r="H25" s="8" t="s">
        <v>123</v>
      </c>
    </row>
    <row r="26" spans="1:8" x14ac:dyDescent="0.2">
      <c r="A26" s="4">
        <v>2</v>
      </c>
      <c r="B26" s="4" t="s">
        <v>42</v>
      </c>
      <c r="C26" s="10">
        <v>841</v>
      </c>
      <c r="D26" s="8">
        <v>2</v>
      </c>
      <c r="E26" s="8">
        <v>2</v>
      </c>
      <c r="F26" s="8">
        <v>2</v>
      </c>
      <c r="G26" s="8">
        <f t="shared" si="0"/>
        <v>2</v>
      </c>
      <c r="H26" s="8" t="s">
        <v>123</v>
      </c>
    </row>
    <row r="27" spans="1:8" x14ac:dyDescent="0.2">
      <c r="A27" s="4">
        <v>2</v>
      </c>
      <c r="B27" s="4" t="s">
        <v>42</v>
      </c>
      <c r="C27" s="10">
        <v>843</v>
      </c>
      <c r="D27" s="8">
        <v>1.7</v>
      </c>
      <c r="E27" s="8">
        <v>1.7</v>
      </c>
      <c r="F27" s="8">
        <v>1.7</v>
      </c>
      <c r="G27" s="8">
        <f t="shared" si="0"/>
        <v>1.7</v>
      </c>
      <c r="H27" s="8" t="s">
        <v>123</v>
      </c>
    </row>
    <row r="28" spans="1:8" x14ac:dyDescent="0.2">
      <c r="A28" s="4">
        <v>2</v>
      </c>
      <c r="B28" s="4" t="s">
        <v>42</v>
      </c>
      <c r="C28" s="10">
        <v>850</v>
      </c>
      <c r="D28" s="8">
        <v>1.6</v>
      </c>
      <c r="E28" s="8">
        <v>1.5</v>
      </c>
      <c r="F28" s="8">
        <v>1.5</v>
      </c>
      <c r="G28" s="8">
        <f t="shared" si="0"/>
        <v>1.53</v>
      </c>
      <c r="H28" s="8" t="s">
        <v>123</v>
      </c>
    </row>
    <row r="29" spans="1:8" x14ac:dyDescent="0.2">
      <c r="A29" s="4">
        <v>2</v>
      </c>
      <c r="B29" s="4" t="s">
        <v>42</v>
      </c>
      <c r="C29" s="10">
        <v>852</v>
      </c>
      <c r="D29" s="8">
        <v>1.4</v>
      </c>
      <c r="E29" s="8">
        <v>1.3</v>
      </c>
      <c r="F29" s="8">
        <v>1.3</v>
      </c>
      <c r="G29" s="8">
        <f t="shared" si="0"/>
        <v>1.33</v>
      </c>
      <c r="H29" s="8" t="s">
        <v>123</v>
      </c>
    </row>
    <row r="30" spans="1:8" x14ac:dyDescent="0.2">
      <c r="A30" s="4">
        <v>2</v>
      </c>
      <c r="B30" s="4" t="s">
        <v>42</v>
      </c>
      <c r="C30" s="10">
        <v>854</v>
      </c>
      <c r="D30" s="8">
        <v>1.3</v>
      </c>
      <c r="E30" s="8">
        <v>1.3</v>
      </c>
      <c r="F30" s="8">
        <v>1.3</v>
      </c>
      <c r="G30" s="8">
        <f t="shared" si="0"/>
        <v>1.3</v>
      </c>
      <c r="H30" s="8" t="s">
        <v>123</v>
      </c>
    </row>
    <row r="31" spans="1:8" x14ac:dyDescent="0.2">
      <c r="A31" s="4">
        <v>2</v>
      </c>
      <c r="B31" s="4" t="s">
        <v>42</v>
      </c>
      <c r="C31" s="10">
        <v>855</v>
      </c>
      <c r="D31" s="8">
        <v>1.4</v>
      </c>
      <c r="E31" s="8">
        <v>1.5</v>
      </c>
      <c r="F31" s="8">
        <v>1.5</v>
      </c>
      <c r="G31" s="8">
        <f t="shared" si="0"/>
        <v>1.47</v>
      </c>
      <c r="H31" s="8" t="s">
        <v>123</v>
      </c>
    </row>
    <row r="32" spans="1:8" x14ac:dyDescent="0.2">
      <c r="A32" s="4">
        <v>2</v>
      </c>
      <c r="B32" s="4" t="s">
        <v>42</v>
      </c>
      <c r="C32" s="10">
        <v>857</v>
      </c>
      <c r="D32" s="8">
        <v>1.6</v>
      </c>
      <c r="E32" s="8">
        <v>1.6</v>
      </c>
      <c r="F32" s="8">
        <v>1.5</v>
      </c>
      <c r="G32" s="8">
        <f t="shared" si="0"/>
        <v>1.57</v>
      </c>
      <c r="H32" s="8" t="s">
        <v>123</v>
      </c>
    </row>
    <row r="33" spans="1:8" x14ac:dyDescent="0.2">
      <c r="A33" s="4">
        <v>2</v>
      </c>
      <c r="B33" s="4" t="s">
        <v>42</v>
      </c>
      <c r="C33" s="10">
        <v>858</v>
      </c>
      <c r="D33" s="8">
        <v>2.2999999999999998</v>
      </c>
      <c r="E33" s="8">
        <v>2.1</v>
      </c>
      <c r="F33" s="8">
        <v>2.2000000000000002</v>
      </c>
      <c r="G33" s="8">
        <f t="shared" si="0"/>
        <v>2.2000000000000002</v>
      </c>
      <c r="H33" s="8" t="s">
        <v>123</v>
      </c>
    </row>
    <row r="34" spans="1:8" x14ac:dyDescent="0.2">
      <c r="A34" s="4">
        <v>2</v>
      </c>
      <c r="B34" s="4" t="s">
        <v>42</v>
      </c>
      <c r="C34" s="10">
        <v>870</v>
      </c>
      <c r="D34" s="8">
        <v>1.7</v>
      </c>
      <c r="E34" s="8">
        <v>1.7</v>
      </c>
      <c r="F34" s="8">
        <v>1.7</v>
      </c>
      <c r="G34" s="8">
        <f t="shared" si="0"/>
        <v>1.7</v>
      </c>
      <c r="H34" s="8" t="s">
        <v>123</v>
      </c>
    </row>
    <row r="35" spans="1:8" x14ac:dyDescent="0.2">
      <c r="A35" s="4">
        <v>2</v>
      </c>
      <c r="B35" s="4" t="s">
        <v>42</v>
      </c>
      <c r="C35" s="10">
        <v>875</v>
      </c>
      <c r="D35" s="8">
        <v>1.6</v>
      </c>
      <c r="E35" s="8">
        <v>1.6</v>
      </c>
      <c r="F35" s="8">
        <v>1.6</v>
      </c>
      <c r="G35" s="8">
        <f t="shared" si="0"/>
        <v>1.6</v>
      </c>
      <c r="H35" s="8" t="s">
        <v>123</v>
      </c>
    </row>
    <row r="36" spans="1:8" x14ac:dyDescent="0.2">
      <c r="A36" s="4">
        <v>2</v>
      </c>
      <c r="B36" s="4" t="s">
        <v>42</v>
      </c>
      <c r="C36" s="10">
        <v>880</v>
      </c>
      <c r="D36" s="8">
        <v>1.9</v>
      </c>
      <c r="E36" s="8">
        <v>1.9</v>
      </c>
      <c r="F36" s="8">
        <v>1.9</v>
      </c>
      <c r="G36" s="8">
        <f t="shared" si="0"/>
        <v>1.9</v>
      </c>
      <c r="H36" s="8" t="s">
        <v>123</v>
      </c>
    </row>
    <row r="37" spans="1:8" x14ac:dyDescent="0.2">
      <c r="A37" s="4">
        <v>2</v>
      </c>
      <c r="B37" s="4" t="s">
        <v>42</v>
      </c>
      <c r="C37" s="10">
        <v>883</v>
      </c>
      <c r="D37" s="8">
        <v>1.4</v>
      </c>
      <c r="E37" s="8">
        <v>1.4</v>
      </c>
      <c r="F37" s="8">
        <v>1.4</v>
      </c>
      <c r="G37" s="8">
        <f t="shared" si="0"/>
        <v>1.4</v>
      </c>
      <c r="H37" s="8" t="s">
        <v>123</v>
      </c>
    </row>
    <row r="38" spans="1:8" x14ac:dyDescent="0.2">
      <c r="A38" s="4">
        <v>2</v>
      </c>
      <c r="B38" s="4" t="s">
        <v>42</v>
      </c>
      <c r="C38" s="10">
        <v>884</v>
      </c>
      <c r="D38" s="8">
        <v>1.7</v>
      </c>
      <c r="E38" s="8">
        <v>1.7</v>
      </c>
      <c r="F38" s="8">
        <v>1.7</v>
      </c>
      <c r="G38" s="8">
        <f t="shared" si="0"/>
        <v>1.7</v>
      </c>
      <c r="H38" s="8" t="s">
        <v>123</v>
      </c>
    </row>
    <row r="39" spans="1:8" ht="16" thickBot="1" x14ac:dyDescent="0.25">
      <c r="A39" s="5">
        <v>2</v>
      </c>
      <c r="B39" s="5" t="s">
        <v>42</v>
      </c>
      <c r="C39" s="11">
        <v>886</v>
      </c>
      <c r="D39" s="8">
        <v>1.4</v>
      </c>
      <c r="E39" s="8">
        <v>1.3</v>
      </c>
      <c r="F39" s="8">
        <v>1.3</v>
      </c>
      <c r="G39" s="8">
        <f t="shared" si="0"/>
        <v>1.33</v>
      </c>
      <c r="H39" s="8" t="s">
        <v>123</v>
      </c>
    </row>
    <row r="40" spans="1:8" x14ac:dyDescent="0.2">
      <c r="A40" s="19">
        <v>3</v>
      </c>
      <c r="B40" s="20" t="s">
        <v>74</v>
      </c>
      <c r="C40" s="21">
        <v>802</v>
      </c>
      <c r="D40" s="8">
        <v>1.6</v>
      </c>
      <c r="E40" s="8">
        <v>1.6</v>
      </c>
      <c r="F40" s="8">
        <v>1.6</v>
      </c>
      <c r="G40" s="8">
        <f t="shared" si="0"/>
        <v>1.6</v>
      </c>
      <c r="H40" s="8" t="s">
        <v>175</v>
      </c>
    </row>
    <row r="41" spans="1:8" x14ac:dyDescent="0.2">
      <c r="A41" s="22">
        <v>3</v>
      </c>
      <c r="B41" s="23" t="s">
        <v>74</v>
      </c>
      <c r="C41" s="24">
        <v>803</v>
      </c>
      <c r="D41" s="8">
        <v>1.8</v>
      </c>
      <c r="E41" s="8">
        <v>1.9</v>
      </c>
      <c r="F41" s="8">
        <v>1.9</v>
      </c>
      <c r="G41" s="8">
        <f t="shared" si="0"/>
        <v>1.87</v>
      </c>
      <c r="H41" s="8" t="s">
        <v>175</v>
      </c>
    </row>
    <row r="42" spans="1:8" x14ac:dyDescent="0.2">
      <c r="A42" s="22">
        <v>3</v>
      </c>
      <c r="B42" s="23" t="s">
        <v>74</v>
      </c>
      <c r="C42" s="24">
        <v>808</v>
      </c>
      <c r="D42" s="8">
        <v>1.3</v>
      </c>
      <c r="E42" s="8">
        <v>1.2</v>
      </c>
      <c r="F42" s="8">
        <v>1.3</v>
      </c>
      <c r="G42" s="8">
        <f t="shared" si="0"/>
        <v>1.27</v>
      </c>
      <c r="H42" s="8" t="s">
        <v>175</v>
      </c>
    </row>
    <row r="43" spans="1:8" x14ac:dyDescent="0.2">
      <c r="A43" s="22">
        <v>3</v>
      </c>
      <c r="B43" s="23" t="s">
        <v>74</v>
      </c>
      <c r="C43" s="24">
        <v>811</v>
      </c>
      <c r="D43" s="8">
        <v>2.2000000000000002</v>
      </c>
      <c r="E43" s="8">
        <v>2.2999999999999998</v>
      </c>
      <c r="F43" s="8">
        <v>2.1</v>
      </c>
      <c r="G43" s="8">
        <f t="shared" si="0"/>
        <v>2.2000000000000002</v>
      </c>
      <c r="H43" s="8" t="s">
        <v>175</v>
      </c>
    </row>
    <row r="44" spans="1:8" x14ac:dyDescent="0.2">
      <c r="A44" s="22">
        <v>3</v>
      </c>
      <c r="B44" s="23" t="s">
        <v>74</v>
      </c>
      <c r="C44" s="24">
        <v>812</v>
      </c>
      <c r="D44" s="8">
        <v>2</v>
      </c>
      <c r="E44" s="8">
        <v>1.9</v>
      </c>
      <c r="F44" s="8">
        <v>1.9</v>
      </c>
      <c r="G44" s="8">
        <f t="shared" si="0"/>
        <v>1.93</v>
      </c>
      <c r="H44" s="8" t="s">
        <v>175</v>
      </c>
    </row>
    <row r="45" spans="1:8" x14ac:dyDescent="0.2">
      <c r="A45" s="22">
        <v>3</v>
      </c>
      <c r="B45" s="23" t="s">
        <v>74</v>
      </c>
      <c r="C45" s="24">
        <v>815</v>
      </c>
      <c r="D45" s="8">
        <v>3</v>
      </c>
      <c r="E45" s="8">
        <v>3.1</v>
      </c>
      <c r="F45" s="8">
        <v>3.1</v>
      </c>
      <c r="G45" s="8">
        <f t="shared" si="0"/>
        <v>3.07</v>
      </c>
      <c r="H45" s="8" t="s">
        <v>175</v>
      </c>
    </row>
    <row r="46" spans="1:8" x14ac:dyDescent="0.2">
      <c r="A46" s="22">
        <v>3</v>
      </c>
      <c r="B46" s="23" t="s">
        <v>74</v>
      </c>
      <c r="C46" s="24">
        <v>816</v>
      </c>
      <c r="D46" s="8">
        <v>1.7</v>
      </c>
      <c r="E46" s="8">
        <v>1.8</v>
      </c>
      <c r="F46" s="8">
        <v>1.8</v>
      </c>
      <c r="G46" s="8">
        <f t="shared" si="0"/>
        <v>1.77</v>
      </c>
      <c r="H46" s="8" t="s">
        <v>175</v>
      </c>
    </row>
    <row r="47" spans="1:8" x14ac:dyDescent="0.2">
      <c r="A47" s="22">
        <v>3</v>
      </c>
      <c r="B47" s="23" t="s">
        <v>74</v>
      </c>
      <c r="C47" s="24">
        <v>817</v>
      </c>
      <c r="D47" s="8">
        <v>1.5</v>
      </c>
      <c r="E47" s="8">
        <v>1.4</v>
      </c>
      <c r="F47" s="8">
        <v>1.3</v>
      </c>
      <c r="G47" s="8">
        <f t="shared" si="0"/>
        <v>1.4</v>
      </c>
      <c r="H47" s="8" t="s">
        <v>175</v>
      </c>
    </row>
    <row r="48" spans="1:8" x14ac:dyDescent="0.2">
      <c r="A48" s="22">
        <v>3</v>
      </c>
      <c r="B48" s="23" t="s">
        <v>74</v>
      </c>
      <c r="C48" s="24">
        <v>818</v>
      </c>
      <c r="D48" s="8">
        <v>1.7</v>
      </c>
      <c r="E48" s="8">
        <v>1.9</v>
      </c>
      <c r="F48" s="8">
        <v>1.8</v>
      </c>
      <c r="G48" s="8">
        <f t="shared" si="0"/>
        <v>1.8</v>
      </c>
      <c r="H48" s="8" t="s">
        <v>175</v>
      </c>
    </row>
    <row r="49" spans="1:8" x14ac:dyDescent="0.2">
      <c r="A49" s="22">
        <v>3</v>
      </c>
      <c r="B49" s="23" t="s">
        <v>74</v>
      </c>
      <c r="C49" s="24">
        <v>833</v>
      </c>
      <c r="D49" s="8">
        <v>1</v>
      </c>
      <c r="E49" s="8">
        <v>1.3</v>
      </c>
      <c r="F49" s="8">
        <v>1.3</v>
      </c>
      <c r="G49" s="8">
        <f t="shared" si="0"/>
        <v>1.2</v>
      </c>
      <c r="H49" s="8" t="s">
        <v>175</v>
      </c>
    </row>
    <row r="50" spans="1:8" x14ac:dyDescent="0.2">
      <c r="A50" s="22">
        <v>3</v>
      </c>
      <c r="B50" s="23" t="s">
        <v>74</v>
      </c>
      <c r="C50" s="24">
        <v>834</v>
      </c>
      <c r="D50" s="8">
        <v>1.7</v>
      </c>
      <c r="E50" s="8">
        <v>1.6</v>
      </c>
      <c r="F50" s="8">
        <v>1.6</v>
      </c>
      <c r="G50" s="8">
        <f t="shared" si="0"/>
        <v>1.63</v>
      </c>
      <c r="H50" s="8" t="s">
        <v>175</v>
      </c>
    </row>
    <row r="51" spans="1:8" x14ac:dyDescent="0.2">
      <c r="A51" s="22">
        <v>3</v>
      </c>
      <c r="B51" s="23" t="s">
        <v>74</v>
      </c>
      <c r="C51" s="24">
        <v>835</v>
      </c>
      <c r="D51" s="8">
        <v>2</v>
      </c>
      <c r="E51" s="8">
        <v>2.2999999999999998</v>
      </c>
      <c r="F51" s="8">
        <v>2.2999999999999998</v>
      </c>
      <c r="G51" s="8">
        <f t="shared" si="0"/>
        <v>2.2000000000000002</v>
      </c>
      <c r="H51" s="8" t="s">
        <v>175</v>
      </c>
    </row>
    <row r="52" spans="1:8" x14ac:dyDescent="0.2">
      <c r="A52" s="22">
        <v>3</v>
      </c>
      <c r="B52" s="23" t="s">
        <v>74</v>
      </c>
      <c r="C52" s="24">
        <v>844</v>
      </c>
      <c r="D52" s="8">
        <v>1.6</v>
      </c>
      <c r="E52" s="8">
        <v>1.6</v>
      </c>
      <c r="F52" s="8">
        <v>1.6</v>
      </c>
      <c r="G52" s="8">
        <f t="shared" si="0"/>
        <v>1.6</v>
      </c>
      <c r="H52" s="8" t="s">
        <v>175</v>
      </c>
    </row>
    <row r="53" spans="1:8" x14ac:dyDescent="0.2">
      <c r="A53" s="22">
        <v>3</v>
      </c>
      <c r="B53" s="23" t="s">
        <v>74</v>
      </c>
      <c r="C53" s="24">
        <v>845</v>
      </c>
      <c r="D53" s="8">
        <v>1.8</v>
      </c>
      <c r="E53" s="8">
        <v>1.6</v>
      </c>
      <c r="F53" s="8">
        <v>1.6</v>
      </c>
      <c r="G53" s="8">
        <f t="shared" si="0"/>
        <v>1.67</v>
      </c>
      <c r="H53" s="8" t="s">
        <v>175</v>
      </c>
    </row>
    <row r="54" spans="1:8" x14ac:dyDescent="0.2">
      <c r="A54" s="22">
        <v>3</v>
      </c>
      <c r="B54" s="23" t="s">
        <v>74</v>
      </c>
      <c r="C54" s="24">
        <v>846</v>
      </c>
      <c r="D54" s="8">
        <v>1.5</v>
      </c>
      <c r="E54" s="8">
        <v>1.3</v>
      </c>
      <c r="F54" s="8">
        <v>1.4</v>
      </c>
      <c r="G54" s="8">
        <f t="shared" si="0"/>
        <v>1.4</v>
      </c>
      <c r="H54" s="8" t="s">
        <v>175</v>
      </c>
    </row>
    <row r="55" spans="1:8" x14ac:dyDescent="0.2">
      <c r="A55" s="22">
        <v>3</v>
      </c>
      <c r="B55" s="23" t="s">
        <v>74</v>
      </c>
      <c r="C55" s="24">
        <v>849</v>
      </c>
      <c r="D55" s="8">
        <v>1.7</v>
      </c>
      <c r="E55" s="8">
        <v>1.8</v>
      </c>
      <c r="F55" s="8">
        <v>1.8</v>
      </c>
      <c r="G55" s="8">
        <f t="shared" si="0"/>
        <v>1.77</v>
      </c>
      <c r="H55" s="8" t="s">
        <v>175</v>
      </c>
    </row>
    <row r="56" spans="1:8" x14ac:dyDescent="0.2">
      <c r="A56" s="22">
        <v>3</v>
      </c>
      <c r="B56" s="23" t="s">
        <v>74</v>
      </c>
      <c r="C56" s="24">
        <v>856</v>
      </c>
      <c r="D56" s="8">
        <v>1.7</v>
      </c>
      <c r="E56" s="8">
        <v>1.5</v>
      </c>
      <c r="F56" s="8">
        <v>1.5</v>
      </c>
      <c r="G56" s="8">
        <f t="shared" si="0"/>
        <v>1.57</v>
      </c>
      <c r="H56" s="8" t="s">
        <v>175</v>
      </c>
    </row>
    <row r="57" spans="1:8" x14ac:dyDescent="0.2">
      <c r="A57" s="22">
        <v>3</v>
      </c>
      <c r="B57" s="23" t="s">
        <v>74</v>
      </c>
      <c r="C57" s="24">
        <v>859</v>
      </c>
      <c r="D57" s="8">
        <v>1.5</v>
      </c>
      <c r="E57" s="8">
        <v>1.8</v>
      </c>
      <c r="F57" s="8">
        <v>1.8</v>
      </c>
      <c r="G57" s="8">
        <f t="shared" si="0"/>
        <v>1.7</v>
      </c>
      <c r="H57" s="8" t="s">
        <v>175</v>
      </c>
    </row>
    <row r="58" spans="1:8" x14ac:dyDescent="0.2">
      <c r="A58" s="22">
        <v>3</v>
      </c>
      <c r="B58" s="23" t="s">
        <v>74</v>
      </c>
      <c r="C58" s="24">
        <v>861</v>
      </c>
      <c r="D58" s="8">
        <v>1.6</v>
      </c>
      <c r="E58" s="8">
        <v>1.6</v>
      </c>
      <c r="F58" s="8">
        <v>1.6</v>
      </c>
      <c r="G58" s="8">
        <f t="shared" si="0"/>
        <v>1.6</v>
      </c>
      <c r="H58" s="8" t="s">
        <v>175</v>
      </c>
    </row>
    <row r="59" spans="1:8" x14ac:dyDescent="0.2">
      <c r="A59" s="22">
        <v>3</v>
      </c>
      <c r="B59" s="23" t="s">
        <v>74</v>
      </c>
      <c r="C59" s="24">
        <v>862</v>
      </c>
      <c r="D59" s="8">
        <v>1.4</v>
      </c>
      <c r="E59" s="8">
        <v>1.5</v>
      </c>
      <c r="F59" s="8">
        <v>1.4</v>
      </c>
      <c r="G59" s="8">
        <f t="shared" si="0"/>
        <v>1.43</v>
      </c>
      <c r="H59" s="8" t="s">
        <v>175</v>
      </c>
    </row>
    <row r="60" spans="1:8" x14ac:dyDescent="0.2">
      <c r="A60" s="22">
        <v>3</v>
      </c>
      <c r="B60" s="23" t="s">
        <v>74</v>
      </c>
      <c r="C60" s="24">
        <v>865</v>
      </c>
      <c r="D60" s="8">
        <v>1.6</v>
      </c>
      <c r="E60" s="8">
        <v>1.3</v>
      </c>
      <c r="F60" s="8">
        <v>1.3</v>
      </c>
      <c r="G60" s="8">
        <f t="shared" si="0"/>
        <v>1.4</v>
      </c>
      <c r="H60" s="8" t="s">
        <v>175</v>
      </c>
    </row>
    <row r="61" spans="1:8" x14ac:dyDescent="0.2">
      <c r="A61" s="22">
        <v>3</v>
      </c>
      <c r="B61" s="23" t="s">
        <v>74</v>
      </c>
      <c r="C61" s="24">
        <v>866</v>
      </c>
      <c r="D61" s="8">
        <v>1.9</v>
      </c>
      <c r="E61" s="8">
        <v>1.9</v>
      </c>
      <c r="F61" s="8">
        <v>2</v>
      </c>
      <c r="G61" s="8">
        <f t="shared" si="0"/>
        <v>1.93</v>
      </c>
      <c r="H61" s="8" t="s">
        <v>175</v>
      </c>
    </row>
    <row r="62" spans="1:8" x14ac:dyDescent="0.2">
      <c r="A62" s="22">
        <v>3</v>
      </c>
      <c r="B62" s="23" t="s">
        <v>74</v>
      </c>
      <c r="C62" s="24">
        <v>871</v>
      </c>
      <c r="D62" s="8">
        <v>2.1</v>
      </c>
      <c r="E62" s="8">
        <v>2</v>
      </c>
      <c r="F62" s="8">
        <v>2</v>
      </c>
      <c r="G62" s="8">
        <f t="shared" si="0"/>
        <v>2.0299999999999998</v>
      </c>
      <c r="H62" s="8" t="s">
        <v>175</v>
      </c>
    </row>
    <row r="63" spans="1:8" x14ac:dyDescent="0.2">
      <c r="A63" s="22">
        <v>3</v>
      </c>
      <c r="B63" s="23" t="s">
        <v>74</v>
      </c>
      <c r="C63" s="24">
        <v>873</v>
      </c>
      <c r="D63" s="8">
        <v>1.5</v>
      </c>
      <c r="E63" s="8">
        <v>1.5</v>
      </c>
      <c r="F63" s="8">
        <v>1.5</v>
      </c>
      <c r="G63" s="8">
        <f t="shared" si="0"/>
        <v>1.5</v>
      </c>
      <c r="H63" s="8" t="s">
        <v>175</v>
      </c>
    </row>
    <row r="64" spans="1:8" x14ac:dyDescent="0.2">
      <c r="A64" s="22">
        <v>3</v>
      </c>
      <c r="B64" s="23" t="s">
        <v>74</v>
      </c>
      <c r="C64" s="24">
        <v>874</v>
      </c>
      <c r="D64" s="8">
        <v>2.5</v>
      </c>
      <c r="E64" s="8">
        <v>2.5</v>
      </c>
      <c r="F64" s="8">
        <v>2.5</v>
      </c>
      <c r="G64" s="8">
        <f t="shared" si="0"/>
        <v>2.5</v>
      </c>
      <c r="H64" s="8" t="s">
        <v>175</v>
      </c>
    </row>
    <row r="65" spans="1:8" x14ac:dyDescent="0.2">
      <c r="A65" s="22">
        <v>3</v>
      </c>
      <c r="B65" s="23" t="s">
        <v>74</v>
      </c>
      <c r="C65" s="24">
        <v>877</v>
      </c>
      <c r="D65" s="8">
        <v>1.2</v>
      </c>
      <c r="E65" s="8">
        <v>1.1000000000000001</v>
      </c>
      <c r="F65" s="8">
        <v>1.1000000000000001</v>
      </c>
      <c r="G65" s="8">
        <f t="shared" si="0"/>
        <v>1.1299999999999999</v>
      </c>
      <c r="H65" s="8" t="s">
        <v>175</v>
      </c>
    </row>
    <row r="66" spans="1:8" x14ac:dyDescent="0.2">
      <c r="A66" s="22">
        <v>3</v>
      </c>
      <c r="B66" s="23" t="s">
        <v>74</v>
      </c>
      <c r="C66" s="24">
        <v>879</v>
      </c>
      <c r="D66" s="8">
        <v>2.5</v>
      </c>
      <c r="E66" s="8">
        <v>2.2000000000000002</v>
      </c>
      <c r="F66" s="8">
        <v>2.1</v>
      </c>
      <c r="G66" s="8">
        <f t="shared" si="0"/>
        <v>2.27</v>
      </c>
      <c r="H66" s="8" t="s">
        <v>175</v>
      </c>
    </row>
    <row r="67" spans="1:8" x14ac:dyDescent="0.2">
      <c r="A67" s="22">
        <v>3</v>
      </c>
      <c r="B67" s="23" t="s">
        <v>74</v>
      </c>
      <c r="C67" s="24">
        <v>887</v>
      </c>
      <c r="D67" s="8">
        <v>1.7</v>
      </c>
      <c r="E67" s="8">
        <v>1.4</v>
      </c>
      <c r="F67" s="8">
        <v>1.4</v>
      </c>
      <c r="G67" s="8">
        <f t="shared" si="0"/>
        <v>1.5</v>
      </c>
      <c r="H67" s="8" t="s">
        <v>175</v>
      </c>
    </row>
    <row r="68" spans="1:8" x14ac:dyDescent="0.2">
      <c r="A68" s="22">
        <v>3</v>
      </c>
      <c r="B68" s="23" t="s">
        <v>74</v>
      </c>
      <c r="C68" s="24">
        <v>888</v>
      </c>
      <c r="D68" s="8">
        <v>0.7</v>
      </c>
      <c r="E68" s="8">
        <v>0.8</v>
      </c>
      <c r="F68" s="8">
        <v>0.7</v>
      </c>
      <c r="G68" s="8">
        <f t="shared" si="0"/>
        <v>0.73</v>
      </c>
      <c r="H68" s="8" t="s">
        <v>175</v>
      </c>
    </row>
    <row r="69" spans="1:8" x14ac:dyDescent="0.2">
      <c r="A69" s="13">
        <v>4</v>
      </c>
      <c r="B69" s="14" t="s">
        <v>104</v>
      </c>
      <c r="C69" s="15" t="s">
        <v>105</v>
      </c>
      <c r="D69" s="8">
        <v>2.1</v>
      </c>
      <c r="E69" s="8">
        <v>1.9</v>
      </c>
      <c r="F69" s="8">
        <v>1.9</v>
      </c>
      <c r="G69" s="8">
        <f t="shared" si="0"/>
        <v>1.97</v>
      </c>
      <c r="H69" s="8" t="s">
        <v>123</v>
      </c>
    </row>
    <row r="70" spans="1:8" x14ac:dyDescent="0.2">
      <c r="A70" s="16">
        <v>4</v>
      </c>
      <c r="B70" s="14" t="s">
        <v>104</v>
      </c>
      <c r="C70" s="18" t="s">
        <v>106</v>
      </c>
      <c r="D70" s="8">
        <v>2.2999999999999998</v>
      </c>
      <c r="E70" s="8">
        <v>2.2999999999999998</v>
      </c>
      <c r="F70" s="8">
        <v>2.2000000000000002</v>
      </c>
      <c r="G70" s="8">
        <f t="shared" si="0"/>
        <v>2.27</v>
      </c>
      <c r="H70" s="8" t="s">
        <v>123</v>
      </c>
    </row>
    <row r="71" spans="1:8" x14ac:dyDescent="0.2">
      <c r="A71" s="16">
        <v>4</v>
      </c>
      <c r="B71" s="14" t="s">
        <v>104</v>
      </c>
      <c r="C71" s="18" t="s">
        <v>107</v>
      </c>
      <c r="D71" s="8">
        <v>5.3</v>
      </c>
      <c r="E71" s="8">
        <v>5.3</v>
      </c>
      <c r="F71" s="8">
        <v>5.2</v>
      </c>
      <c r="G71" s="8">
        <f t="shared" si="0"/>
        <v>5.27</v>
      </c>
      <c r="H71" s="8" t="s">
        <v>123</v>
      </c>
    </row>
    <row r="72" spans="1:8" x14ac:dyDescent="0.2">
      <c r="A72" s="16">
        <v>4</v>
      </c>
      <c r="B72" s="14" t="s">
        <v>104</v>
      </c>
      <c r="C72" s="18" t="s">
        <v>108</v>
      </c>
      <c r="D72" s="8">
        <v>2.4</v>
      </c>
      <c r="E72" s="8">
        <v>2.6</v>
      </c>
      <c r="F72" s="8">
        <v>2.2999999999999998</v>
      </c>
      <c r="G72" s="8">
        <f t="shared" si="0"/>
        <v>2.4300000000000002</v>
      </c>
      <c r="H72" s="8" t="s">
        <v>123</v>
      </c>
    </row>
    <row r="73" spans="1:8" x14ac:dyDescent="0.2">
      <c r="A73" s="16">
        <v>4</v>
      </c>
      <c r="B73" s="14" t="s">
        <v>104</v>
      </c>
      <c r="C73" s="18" t="s">
        <v>109</v>
      </c>
      <c r="D73" s="8">
        <v>2.7</v>
      </c>
      <c r="E73" s="8">
        <v>3.2</v>
      </c>
      <c r="F73" s="8">
        <v>2.8</v>
      </c>
      <c r="G73" s="8">
        <f t="shared" ref="G73:G102" si="1">IF(D73="NA","NA",ROUND(AVERAGE(D73:F73),2))</f>
        <v>2.9</v>
      </c>
      <c r="H73" s="8" t="s">
        <v>123</v>
      </c>
    </row>
    <row r="74" spans="1:8" x14ac:dyDescent="0.2">
      <c r="A74" s="16">
        <v>4</v>
      </c>
      <c r="B74" s="14" t="s">
        <v>104</v>
      </c>
      <c r="C74" s="18" t="s">
        <v>110</v>
      </c>
      <c r="D74" s="8">
        <v>2.4</v>
      </c>
      <c r="E74" s="8">
        <v>2.2000000000000002</v>
      </c>
      <c r="F74" s="8">
        <v>2.9</v>
      </c>
      <c r="G74" s="8">
        <f t="shared" si="1"/>
        <v>2.5</v>
      </c>
      <c r="H74" s="8" t="s">
        <v>123</v>
      </c>
    </row>
    <row r="75" spans="1:8" x14ac:dyDescent="0.2">
      <c r="A75" s="16">
        <v>4</v>
      </c>
      <c r="B75" s="14" t="s">
        <v>104</v>
      </c>
      <c r="C75" s="18" t="s">
        <v>111</v>
      </c>
      <c r="D75" s="8">
        <v>1.7</v>
      </c>
      <c r="E75" s="8">
        <v>1.8</v>
      </c>
      <c r="F75" s="8">
        <v>2</v>
      </c>
      <c r="G75" s="8">
        <f t="shared" si="1"/>
        <v>1.83</v>
      </c>
      <c r="H75" s="8" t="s">
        <v>123</v>
      </c>
    </row>
    <row r="76" spans="1:8" x14ac:dyDescent="0.2">
      <c r="A76" s="16">
        <v>4</v>
      </c>
      <c r="B76" s="14" t="s">
        <v>104</v>
      </c>
      <c r="C76" s="18" t="s">
        <v>112</v>
      </c>
      <c r="D76" s="8">
        <v>2</v>
      </c>
      <c r="E76" s="8">
        <v>2.1</v>
      </c>
      <c r="F76" s="8">
        <v>2.2000000000000002</v>
      </c>
      <c r="G76" s="8">
        <f t="shared" si="1"/>
        <v>2.1</v>
      </c>
      <c r="H76" s="8" t="s">
        <v>123</v>
      </c>
    </row>
    <row r="77" spans="1:8" x14ac:dyDescent="0.2">
      <c r="A77" s="16">
        <v>4</v>
      </c>
      <c r="B77" s="14" t="s">
        <v>104</v>
      </c>
      <c r="C77" s="18" t="s">
        <v>113</v>
      </c>
      <c r="D77" s="8">
        <v>2.6</v>
      </c>
      <c r="E77" s="8">
        <v>2.7</v>
      </c>
      <c r="F77" s="8">
        <v>2.7</v>
      </c>
      <c r="G77" s="8">
        <f t="shared" si="1"/>
        <v>2.67</v>
      </c>
      <c r="H77" s="8" t="s">
        <v>123</v>
      </c>
    </row>
    <row r="78" spans="1:8" x14ac:dyDescent="0.2">
      <c r="A78" s="16">
        <v>4</v>
      </c>
      <c r="B78" s="14" t="s">
        <v>104</v>
      </c>
      <c r="C78" s="18" t="s">
        <v>114</v>
      </c>
      <c r="D78" s="8">
        <v>1.7</v>
      </c>
      <c r="E78" s="8">
        <v>1.7</v>
      </c>
      <c r="F78" s="8">
        <v>1.7</v>
      </c>
      <c r="G78" s="8">
        <f t="shared" si="1"/>
        <v>1.7</v>
      </c>
      <c r="H78" s="8" t="s">
        <v>123</v>
      </c>
    </row>
    <row r="79" spans="1:8" x14ac:dyDescent="0.2">
      <c r="A79" s="16">
        <v>4</v>
      </c>
      <c r="B79" s="14" t="s">
        <v>104</v>
      </c>
      <c r="C79" s="18" t="s">
        <v>115</v>
      </c>
      <c r="D79" s="8">
        <v>2.7</v>
      </c>
      <c r="E79" s="8">
        <v>2.9</v>
      </c>
      <c r="F79" s="8">
        <v>3</v>
      </c>
      <c r="G79" s="8">
        <f t="shared" si="1"/>
        <v>2.87</v>
      </c>
      <c r="H79" s="8" t="s">
        <v>123</v>
      </c>
    </row>
    <row r="80" spans="1:8" x14ac:dyDescent="0.2">
      <c r="A80" s="16">
        <v>4</v>
      </c>
      <c r="B80" s="14" t="s">
        <v>104</v>
      </c>
      <c r="C80" s="18" t="s">
        <v>116</v>
      </c>
      <c r="D80" s="8">
        <v>2.5</v>
      </c>
      <c r="E80" s="8">
        <v>2.6</v>
      </c>
      <c r="F80" s="8">
        <v>2.6</v>
      </c>
      <c r="G80" s="8">
        <f t="shared" si="1"/>
        <v>2.57</v>
      </c>
      <c r="H80" s="8" t="s">
        <v>123</v>
      </c>
    </row>
    <row r="81" spans="1:8" x14ac:dyDescent="0.2">
      <c r="A81" s="16">
        <v>4</v>
      </c>
      <c r="B81" s="14" t="s">
        <v>104</v>
      </c>
      <c r="C81" s="18" t="s">
        <v>117</v>
      </c>
      <c r="D81" s="8">
        <v>2.2999999999999998</v>
      </c>
      <c r="E81" s="8">
        <v>2.2999999999999998</v>
      </c>
      <c r="F81" s="8">
        <v>2.2999999999999998</v>
      </c>
      <c r="G81" s="8">
        <f t="shared" si="1"/>
        <v>2.2999999999999998</v>
      </c>
      <c r="H81" s="8" t="s">
        <v>123</v>
      </c>
    </row>
    <row r="82" spans="1:8" x14ac:dyDescent="0.2">
      <c r="A82" s="16">
        <v>4</v>
      </c>
      <c r="B82" s="14" t="s">
        <v>104</v>
      </c>
      <c r="C82" s="18" t="s">
        <v>118</v>
      </c>
      <c r="D82" s="8">
        <v>1.8</v>
      </c>
      <c r="E82" s="8">
        <v>1.7</v>
      </c>
      <c r="F82" s="8">
        <v>1.9</v>
      </c>
      <c r="G82" s="8">
        <f t="shared" si="1"/>
        <v>1.8</v>
      </c>
      <c r="H82" s="8" t="s">
        <v>123</v>
      </c>
    </row>
    <row r="83" spans="1:8" x14ac:dyDescent="0.2">
      <c r="A83" s="16">
        <v>4</v>
      </c>
      <c r="B83" s="14" t="s">
        <v>104</v>
      </c>
      <c r="C83" s="18" t="s">
        <v>119</v>
      </c>
      <c r="D83" s="8">
        <v>1.8</v>
      </c>
      <c r="E83" s="8">
        <v>1.8</v>
      </c>
      <c r="F83" s="8">
        <v>1.9</v>
      </c>
      <c r="G83" s="8">
        <f t="shared" si="1"/>
        <v>1.83</v>
      </c>
      <c r="H83" s="8" t="s">
        <v>123</v>
      </c>
    </row>
    <row r="84" spans="1:8" x14ac:dyDescent="0.2">
      <c r="A84" s="16">
        <v>4</v>
      </c>
      <c r="B84" s="14" t="s">
        <v>104</v>
      </c>
      <c r="C84" s="18" t="s">
        <v>120</v>
      </c>
      <c r="D84" s="8">
        <v>1.8</v>
      </c>
      <c r="E84" s="8">
        <v>1.8</v>
      </c>
      <c r="F84" s="8">
        <v>1.8</v>
      </c>
      <c r="G84" s="8">
        <f t="shared" si="1"/>
        <v>1.8</v>
      </c>
      <c r="H84" s="8" t="s">
        <v>123</v>
      </c>
    </row>
    <row r="85" spans="1:8" x14ac:dyDescent="0.2">
      <c r="A85" s="16">
        <v>4</v>
      </c>
      <c r="B85" s="14" t="s">
        <v>104</v>
      </c>
      <c r="C85" s="18" t="s">
        <v>121</v>
      </c>
      <c r="D85" s="8">
        <v>2.2000000000000002</v>
      </c>
      <c r="E85" s="8">
        <v>2.2999999999999998</v>
      </c>
      <c r="F85" s="8">
        <v>2.2000000000000002</v>
      </c>
      <c r="G85" s="8">
        <f t="shared" si="1"/>
        <v>2.23</v>
      </c>
      <c r="H85" s="8" t="s">
        <v>123</v>
      </c>
    </row>
    <row r="86" spans="1:8" x14ac:dyDescent="0.2">
      <c r="A86" s="16">
        <v>4</v>
      </c>
      <c r="B86" s="14" t="s">
        <v>104</v>
      </c>
      <c r="C86" s="18" t="s">
        <v>122</v>
      </c>
      <c r="D86" s="8" t="s">
        <v>123</v>
      </c>
      <c r="E86" s="8" t="s">
        <v>123</v>
      </c>
      <c r="F86" s="8" t="s">
        <v>123</v>
      </c>
      <c r="G86" s="8" t="str">
        <f t="shared" si="1"/>
        <v>NA</v>
      </c>
      <c r="H86" s="8" t="s">
        <v>123</v>
      </c>
    </row>
    <row r="87" spans="1:8" x14ac:dyDescent="0.2">
      <c r="A87" s="16">
        <v>4</v>
      </c>
      <c r="B87" s="14" t="s">
        <v>104</v>
      </c>
      <c r="C87" s="18" t="s">
        <v>124</v>
      </c>
      <c r="D87" s="8">
        <v>1.8</v>
      </c>
      <c r="E87" s="8">
        <v>1.8</v>
      </c>
      <c r="F87" s="8">
        <v>1.8</v>
      </c>
      <c r="G87" s="8">
        <f t="shared" si="1"/>
        <v>1.8</v>
      </c>
      <c r="H87" s="8" t="s">
        <v>123</v>
      </c>
    </row>
    <row r="88" spans="1:8" x14ac:dyDescent="0.2">
      <c r="A88" s="16">
        <v>4</v>
      </c>
      <c r="B88" s="14" t="s">
        <v>104</v>
      </c>
      <c r="C88" s="18" t="s">
        <v>125</v>
      </c>
      <c r="D88" s="8">
        <v>1.8</v>
      </c>
      <c r="E88" s="8">
        <v>1.8</v>
      </c>
      <c r="F88" s="8">
        <v>1.6</v>
      </c>
      <c r="G88" s="8">
        <f t="shared" si="1"/>
        <v>1.73</v>
      </c>
      <c r="H88" s="8" t="s">
        <v>123</v>
      </c>
    </row>
    <row r="89" spans="1:8" x14ac:dyDescent="0.2">
      <c r="A89" s="16">
        <v>4</v>
      </c>
      <c r="B89" s="14" t="s">
        <v>104</v>
      </c>
      <c r="C89" s="18" t="s">
        <v>126</v>
      </c>
      <c r="D89" s="8">
        <v>1.3</v>
      </c>
      <c r="E89" s="8">
        <v>1.4</v>
      </c>
      <c r="F89" s="8">
        <v>1.4</v>
      </c>
      <c r="G89" s="8">
        <f t="shared" si="1"/>
        <v>1.37</v>
      </c>
      <c r="H89" s="8" t="s">
        <v>123</v>
      </c>
    </row>
    <row r="90" spans="1:8" x14ac:dyDescent="0.2">
      <c r="A90" s="16">
        <v>4</v>
      </c>
      <c r="B90" s="14" t="s">
        <v>104</v>
      </c>
      <c r="C90" s="18" t="s">
        <v>127</v>
      </c>
      <c r="D90" s="8">
        <v>1.7</v>
      </c>
      <c r="E90" s="8">
        <v>1.8</v>
      </c>
      <c r="F90" s="8">
        <v>1.5</v>
      </c>
      <c r="G90" s="8">
        <f t="shared" si="1"/>
        <v>1.67</v>
      </c>
      <c r="H90" s="8" t="s">
        <v>123</v>
      </c>
    </row>
    <row r="91" spans="1:8" x14ac:dyDescent="0.2">
      <c r="A91" s="16">
        <v>4</v>
      </c>
      <c r="B91" s="14" t="s">
        <v>104</v>
      </c>
      <c r="C91" s="18" t="s">
        <v>128</v>
      </c>
      <c r="D91" s="8">
        <v>2</v>
      </c>
      <c r="E91" s="8">
        <v>2.1</v>
      </c>
      <c r="F91" s="8">
        <v>2.1</v>
      </c>
      <c r="G91" s="8">
        <f t="shared" si="1"/>
        <v>2.0699999999999998</v>
      </c>
      <c r="H91" s="8" t="s">
        <v>123</v>
      </c>
    </row>
    <row r="92" spans="1:8" x14ac:dyDescent="0.2">
      <c r="A92" s="16">
        <v>4</v>
      </c>
      <c r="B92" s="14" t="s">
        <v>104</v>
      </c>
      <c r="C92" s="18" t="s">
        <v>129</v>
      </c>
      <c r="D92" s="8">
        <v>2.2999999999999998</v>
      </c>
      <c r="E92" s="8">
        <v>2.2999999999999998</v>
      </c>
      <c r="F92" s="8">
        <v>2.2999999999999998</v>
      </c>
      <c r="G92" s="8">
        <f t="shared" si="1"/>
        <v>2.2999999999999998</v>
      </c>
      <c r="H92" s="8" t="s">
        <v>123</v>
      </c>
    </row>
    <row r="93" spans="1:8" x14ac:dyDescent="0.2">
      <c r="A93" s="16">
        <v>4</v>
      </c>
      <c r="B93" s="14" t="s">
        <v>104</v>
      </c>
      <c r="C93" s="18" t="s">
        <v>130</v>
      </c>
      <c r="D93" s="8">
        <v>2.2000000000000002</v>
      </c>
      <c r="E93" s="8">
        <v>2.2999999999999998</v>
      </c>
      <c r="F93" s="8">
        <v>2.2999999999999998</v>
      </c>
      <c r="G93" s="8">
        <f t="shared" si="1"/>
        <v>2.27</v>
      </c>
      <c r="H93" s="8" t="s">
        <v>123</v>
      </c>
    </row>
    <row r="94" spans="1:8" x14ac:dyDescent="0.2">
      <c r="A94" s="16">
        <v>4</v>
      </c>
      <c r="B94" s="14" t="s">
        <v>104</v>
      </c>
      <c r="C94" s="18" t="s">
        <v>131</v>
      </c>
      <c r="D94" s="8">
        <v>2</v>
      </c>
      <c r="E94" s="8">
        <v>2.1</v>
      </c>
      <c r="F94" s="8">
        <v>2.1</v>
      </c>
      <c r="G94" s="8">
        <f t="shared" si="1"/>
        <v>2.0699999999999998</v>
      </c>
      <c r="H94" s="8" t="s">
        <v>123</v>
      </c>
    </row>
    <row r="95" spans="1:8" x14ac:dyDescent="0.2">
      <c r="A95" s="16">
        <v>4</v>
      </c>
      <c r="B95" s="14" t="s">
        <v>104</v>
      </c>
      <c r="C95" s="18" t="s">
        <v>132</v>
      </c>
      <c r="D95" s="8">
        <v>2.4</v>
      </c>
      <c r="E95" s="8">
        <v>2.2000000000000002</v>
      </c>
      <c r="F95" s="8">
        <v>2.2000000000000002</v>
      </c>
      <c r="G95" s="8">
        <f t="shared" si="1"/>
        <v>2.27</v>
      </c>
      <c r="H95" s="8" t="s">
        <v>123</v>
      </c>
    </row>
    <row r="96" spans="1:8" x14ac:dyDescent="0.2">
      <c r="A96" s="16">
        <v>4</v>
      </c>
      <c r="B96" s="14" t="s">
        <v>104</v>
      </c>
      <c r="C96" s="18" t="s">
        <v>133</v>
      </c>
      <c r="D96" s="8">
        <v>1.8</v>
      </c>
      <c r="E96" s="8">
        <v>1.7</v>
      </c>
      <c r="F96" s="8">
        <v>1.8</v>
      </c>
      <c r="G96" s="8">
        <f t="shared" si="1"/>
        <v>1.77</v>
      </c>
      <c r="H96" s="8" t="s">
        <v>123</v>
      </c>
    </row>
    <row r="97" spans="1:8" x14ac:dyDescent="0.2">
      <c r="A97" s="16">
        <v>4</v>
      </c>
      <c r="B97" s="14" t="s">
        <v>104</v>
      </c>
      <c r="C97" s="18" t="s">
        <v>134</v>
      </c>
      <c r="D97" s="8">
        <v>1.9</v>
      </c>
      <c r="E97" s="8">
        <v>2</v>
      </c>
      <c r="F97" s="8">
        <v>1.9</v>
      </c>
      <c r="G97" s="8">
        <f t="shared" si="1"/>
        <v>1.93</v>
      </c>
      <c r="H97" s="8" t="s">
        <v>123</v>
      </c>
    </row>
    <row r="98" spans="1:8" x14ac:dyDescent="0.2">
      <c r="A98" s="17">
        <v>4</v>
      </c>
      <c r="B98" s="17" t="s">
        <v>104</v>
      </c>
      <c r="C98" s="17" t="s">
        <v>135</v>
      </c>
      <c r="D98" s="8">
        <v>1.8</v>
      </c>
      <c r="E98" s="8">
        <v>1.7</v>
      </c>
      <c r="F98" s="8">
        <v>1.7</v>
      </c>
      <c r="G98" s="8">
        <f t="shared" si="1"/>
        <v>1.73</v>
      </c>
      <c r="H98" s="8" t="s">
        <v>123</v>
      </c>
    </row>
    <row r="99" spans="1:8" x14ac:dyDescent="0.2">
      <c r="A99" s="17">
        <v>4</v>
      </c>
      <c r="B99" s="17" t="s">
        <v>104</v>
      </c>
      <c r="C99" s="17" t="s">
        <v>136</v>
      </c>
      <c r="D99" s="8">
        <v>2</v>
      </c>
      <c r="E99" s="8">
        <v>2</v>
      </c>
      <c r="F99" s="8">
        <v>1.9</v>
      </c>
      <c r="G99" s="8">
        <f t="shared" si="1"/>
        <v>1.97</v>
      </c>
      <c r="H99" s="8" t="s">
        <v>123</v>
      </c>
    </row>
    <row r="100" spans="1:8" x14ac:dyDescent="0.2">
      <c r="A100" s="17">
        <v>4</v>
      </c>
      <c r="B100" s="17" t="s">
        <v>104</v>
      </c>
      <c r="C100" s="17" t="s">
        <v>137</v>
      </c>
      <c r="D100" s="8">
        <v>1.9</v>
      </c>
      <c r="E100" s="8">
        <v>1.9</v>
      </c>
      <c r="F100" s="8">
        <v>1.9</v>
      </c>
      <c r="G100" s="8">
        <f t="shared" si="1"/>
        <v>1.9</v>
      </c>
      <c r="H100" s="8" t="s">
        <v>123</v>
      </c>
    </row>
    <row r="101" spans="1:8" x14ac:dyDescent="0.2">
      <c r="A101" s="17">
        <v>4</v>
      </c>
      <c r="B101" s="17" t="s">
        <v>104</v>
      </c>
      <c r="C101" s="17" t="s">
        <v>138</v>
      </c>
      <c r="D101" s="8">
        <v>1.9</v>
      </c>
      <c r="E101" s="8">
        <v>1.9</v>
      </c>
      <c r="F101" s="8">
        <v>1.9</v>
      </c>
      <c r="G101" s="8">
        <f t="shared" si="1"/>
        <v>1.9</v>
      </c>
      <c r="H101" s="8" t="s">
        <v>123</v>
      </c>
    </row>
    <row r="102" spans="1:8" x14ac:dyDescent="0.2">
      <c r="A102" s="17">
        <v>4</v>
      </c>
      <c r="B102" s="17" t="s">
        <v>104</v>
      </c>
      <c r="C102" s="17" t="s">
        <v>139</v>
      </c>
      <c r="D102" s="8">
        <v>2</v>
      </c>
      <c r="E102" s="8">
        <v>2</v>
      </c>
      <c r="F102" s="8">
        <v>2.1</v>
      </c>
      <c r="G102" s="8">
        <f t="shared" si="1"/>
        <v>2.0299999999999998</v>
      </c>
      <c r="H102" s="8" t="s">
        <v>123</v>
      </c>
    </row>
  </sheetData>
  <pageMargins left="0.7" right="0.7" top="0.75" bottom="0.75" header="0.3" footer="0.3"/>
  <pageSetup orientation="portrait" horizontalDpi="300" verticalDpi="300" copies="2"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B46B3-8421-AC4D-9EE1-4B1C98166047}">
  <dimension ref="A1:S102"/>
  <sheetViews>
    <sheetView topLeftCell="A5" workbookViewId="0">
      <selection activeCell="G30" sqref="G30"/>
    </sheetView>
  </sheetViews>
  <sheetFormatPr baseColWidth="10" defaultColWidth="11.5" defaultRowHeight="15" x14ac:dyDescent="0.2"/>
  <sheetData>
    <row r="1" spans="1:19" ht="19" x14ac:dyDescent="0.25">
      <c r="A1" s="35" t="s">
        <v>0</v>
      </c>
      <c r="B1" s="35"/>
      <c r="C1" s="35"/>
      <c r="D1" s="35"/>
      <c r="E1" s="35"/>
      <c r="F1" s="35"/>
      <c r="G1" s="35"/>
      <c r="H1" s="35"/>
      <c r="I1" s="35"/>
      <c r="J1" s="35"/>
      <c r="K1" s="36"/>
      <c r="L1" s="35"/>
      <c r="M1" s="36"/>
      <c r="N1" s="36"/>
      <c r="O1" s="36"/>
      <c r="P1" s="36"/>
      <c r="Q1" s="36"/>
      <c r="R1" s="36"/>
      <c r="S1" s="36"/>
    </row>
    <row r="2" spans="1:19" ht="19" x14ac:dyDescent="0.25">
      <c r="A2" s="35"/>
      <c r="B2" s="35"/>
      <c r="C2" s="35"/>
      <c r="D2" s="35"/>
      <c r="E2" s="35"/>
      <c r="F2" s="36"/>
      <c r="G2" s="35"/>
      <c r="H2" s="35"/>
      <c r="I2" s="35"/>
      <c r="J2" s="35"/>
      <c r="K2" s="35"/>
      <c r="L2" s="36"/>
      <c r="M2" s="36"/>
      <c r="N2" s="36"/>
      <c r="O2" s="36"/>
      <c r="P2" s="36"/>
      <c r="Q2" s="36"/>
      <c r="R2" s="36"/>
    </row>
    <row r="3" spans="1:19" ht="19" x14ac:dyDescent="0.25">
      <c r="A3" s="35" t="s">
        <v>176</v>
      </c>
      <c r="B3" s="35"/>
      <c r="C3" s="35"/>
      <c r="D3" s="35"/>
      <c r="E3" s="35"/>
      <c r="F3" s="36"/>
      <c r="G3" s="35"/>
      <c r="H3" s="35"/>
      <c r="I3" s="35"/>
      <c r="J3" s="35"/>
      <c r="K3" s="35"/>
      <c r="L3" s="36"/>
      <c r="M3" s="36"/>
      <c r="N3" s="36"/>
      <c r="O3" s="36"/>
      <c r="P3" s="36"/>
      <c r="Q3" s="36"/>
      <c r="R3" s="36"/>
    </row>
    <row r="4" spans="1:19" ht="19" x14ac:dyDescent="0.25">
      <c r="A4" s="35"/>
      <c r="B4" s="35"/>
      <c r="C4" s="35"/>
      <c r="D4" s="35"/>
      <c r="E4" s="35"/>
      <c r="F4" s="36"/>
      <c r="G4" s="35"/>
      <c r="H4" s="35"/>
      <c r="I4" s="35"/>
      <c r="J4" s="35"/>
      <c r="K4" s="35"/>
      <c r="L4" s="36"/>
      <c r="M4" s="36"/>
      <c r="N4" s="36"/>
      <c r="O4" s="36"/>
      <c r="P4" s="36"/>
      <c r="Q4" s="36"/>
      <c r="R4" s="36"/>
    </row>
    <row r="5" spans="1:19" ht="19" x14ac:dyDescent="0.25">
      <c r="A5" s="12" t="s">
        <v>177</v>
      </c>
      <c r="B5" s="35"/>
      <c r="C5" s="35"/>
      <c r="D5" s="35"/>
      <c r="E5" s="35"/>
      <c r="F5" s="36"/>
      <c r="G5" s="35"/>
      <c r="H5" s="35"/>
      <c r="I5" s="35"/>
      <c r="J5" s="35"/>
      <c r="K5" s="35"/>
      <c r="L5" s="36"/>
      <c r="M5" s="36"/>
      <c r="N5" s="36"/>
      <c r="O5" s="36"/>
      <c r="P5" s="36"/>
      <c r="Q5" s="36"/>
      <c r="R5" s="36"/>
    </row>
    <row r="6" spans="1:19" ht="19" x14ac:dyDescent="0.25">
      <c r="A6" s="35" t="s">
        <v>3</v>
      </c>
      <c r="B6" s="35"/>
      <c r="C6" s="35"/>
      <c r="D6" s="35"/>
      <c r="E6" s="35"/>
      <c r="F6" s="36"/>
      <c r="G6" s="35"/>
      <c r="H6" s="35"/>
      <c r="I6" s="35"/>
      <c r="J6" s="35"/>
      <c r="K6" s="35"/>
      <c r="L6" s="36"/>
      <c r="M6" s="36"/>
      <c r="N6" s="36"/>
      <c r="O6" s="36"/>
      <c r="P6" s="36"/>
      <c r="Q6" s="36"/>
      <c r="R6" s="36"/>
    </row>
    <row r="7" spans="1:19" x14ac:dyDescent="0.2">
      <c r="A7" s="36"/>
      <c r="B7" s="36"/>
      <c r="C7" s="36"/>
      <c r="D7" s="36"/>
      <c r="E7" s="36"/>
      <c r="F7" s="36"/>
      <c r="G7" s="36"/>
      <c r="H7" s="36"/>
      <c r="I7" s="36"/>
      <c r="J7" s="36"/>
      <c r="K7" s="36"/>
      <c r="L7" s="36"/>
      <c r="M7" s="36"/>
      <c r="N7" s="36"/>
      <c r="O7" s="36"/>
      <c r="P7" s="36"/>
      <c r="Q7" s="36"/>
      <c r="R7" s="36"/>
    </row>
    <row r="8" spans="1:19" ht="28" thickBot="1" x14ac:dyDescent="0.25">
      <c r="A8" s="37" t="s">
        <v>4</v>
      </c>
      <c r="B8" s="38" t="s">
        <v>5</v>
      </c>
      <c r="C8" s="39" t="s">
        <v>7</v>
      </c>
      <c r="D8" s="40" t="s">
        <v>8</v>
      </c>
      <c r="E8" s="41" t="s">
        <v>8</v>
      </c>
      <c r="F8" s="41" t="s">
        <v>8</v>
      </c>
      <c r="G8" s="7" t="s">
        <v>9</v>
      </c>
      <c r="H8" s="7" t="s">
        <v>10</v>
      </c>
      <c r="I8" s="42"/>
      <c r="J8" s="42"/>
      <c r="K8" s="42"/>
      <c r="L8" s="42"/>
      <c r="M8" s="42"/>
      <c r="N8" s="42"/>
      <c r="O8" s="42"/>
      <c r="P8" s="42"/>
      <c r="Q8" s="42"/>
      <c r="R8" s="42"/>
    </row>
    <row r="9" spans="1:19" x14ac:dyDescent="0.2">
      <c r="A9" s="43">
        <v>2</v>
      </c>
      <c r="B9" s="44" t="s">
        <v>42</v>
      </c>
      <c r="C9" s="45">
        <v>800</v>
      </c>
      <c r="D9" s="57">
        <v>1.3</v>
      </c>
      <c r="E9" s="57" t="s">
        <v>123</v>
      </c>
      <c r="F9" s="57" t="s">
        <v>123</v>
      </c>
      <c r="G9" s="8">
        <f t="shared" ref="G9:G72" si="0">IF(D9="NA","NA",ROUND(AVERAGE(D9:F9),2))</f>
        <v>1.3</v>
      </c>
      <c r="H9" s="8" t="s">
        <v>123</v>
      </c>
      <c r="I9" s="36"/>
      <c r="J9" s="36"/>
      <c r="K9" s="36"/>
      <c r="L9" s="36"/>
      <c r="M9" s="36"/>
      <c r="N9" s="36"/>
      <c r="O9" s="36"/>
      <c r="P9" s="36"/>
      <c r="Q9" s="36"/>
      <c r="R9" s="36"/>
    </row>
    <row r="10" spans="1:19" x14ac:dyDescent="0.2">
      <c r="A10" s="43">
        <v>2</v>
      </c>
      <c r="B10" s="44" t="s">
        <v>42</v>
      </c>
      <c r="C10" s="45">
        <v>801</v>
      </c>
      <c r="D10" s="57">
        <v>1.1000000000000001</v>
      </c>
      <c r="E10" s="57" t="s">
        <v>123</v>
      </c>
      <c r="F10" s="57" t="s">
        <v>123</v>
      </c>
      <c r="G10" s="8">
        <f t="shared" si="0"/>
        <v>1.1000000000000001</v>
      </c>
      <c r="H10" s="8" t="s">
        <v>123</v>
      </c>
      <c r="I10" s="36"/>
      <c r="J10" s="36"/>
      <c r="K10" s="36"/>
      <c r="L10" s="36"/>
      <c r="M10" s="36"/>
      <c r="N10" s="36"/>
      <c r="O10" s="36"/>
      <c r="P10" s="36"/>
      <c r="Q10" s="36"/>
      <c r="R10" s="36"/>
    </row>
    <row r="11" spans="1:19" x14ac:dyDescent="0.2">
      <c r="A11" s="43">
        <v>2</v>
      </c>
      <c r="B11" s="44" t="s">
        <v>42</v>
      </c>
      <c r="C11" s="45">
        <v>804</v>
      </c>
      <c r="D11" s="57">
        <v>1.1000000000000001</v>
      </c>
      <c r="E11" s="57" t="s">
        <v>123</v>
      </c>
      <c r="F11" s="57" t="s">
        <v>123</v>
      </c>
      <c r="G11" s="8">
        <f t="shared" si="0"/>
        <v>1.1000000000000001</v>
      </c>
      <c r="H11" s="8" t="s">
        <v>123</v>
      </c>
      <c r="I11" s="36"/>
      <c r="J11" s="36"/>
      <c r="K11" s="36"/>
      <c r="L11" s="36"/>
      <c r="M11" s="36"/>
      <c r="N11" s="36"/>
      <c r="O11" s="36"/>
      <c r="P11" s="36"/>
      <c r="Q11" s="36"/>
      <c r="R11" s="36"/>
    </row>
    <row r="12" spans="1:19" x14ac:dyDescent="0.2">
      <c r="A12" s="43">
        <v>2</v>
      </c>
      <c r="B12" s="44" t="s">
        <v>42</v>
      </c>
      <c r="C12" s="45">
        <v>806</v>
      </c>
      <c r="D12" s="57">
        <v>1</v>
      </c>
      <c r="E12" s="57" t="s">
        <v>123</v>
      </c>
      <c r="F12" s="57" t="s">
        <v>123</v>
      </c>
      <c r="G12" s="8">
        <f t="shared" si="0"/>
        <v>1</v>
      </c>
      <c r="H12" s="8" t="s">
        <v>123</v>
      </c>
      <c r="I12" s="36"/>
      <c r="J12" s="36"/>
      <c r="K12" s="36"/>
      <c r="L12" s="36"/>
      <c r="M12" s="36"/>
      <c r="N12" s="36"/>
      <c r="O12" s="36"/>
      <c r="P12" s="36"/>
      <c r="Q12" s="36"/>
      <c r="R12" s="36"/>
    </row>
    <row r="13" spans="1:19" x14ac:dyDescent="0.2">
      <c r="A13" s="43">
        <v>2</v>
      </c>
      <c r="B13" s="44" t="s">
        <v>42</v>
      </c>
      <c r="C13" s="45">
        <v>809</v>
      </c>
      <c r="D13" s="57">
        <v>2.8</v>
      </c>
      <c r="E13" s="57" t="s">
        <v>123</v>
      </c>
      <c r="F13" s="57" t="s">
        <v>123</v>
      </c>
      <c r="G13" s="8">
        <f t="shared" si="0"/>
        <v>2.8</v>
      </c>
      <c r="H13" s="8" t="s">
        <v>123</v>
      </c>
      <c r="I13" s="36"/>
      <c r="J13" s="36"/>
      <c r="K13" s="36"/>
      <c r="L13" s="36"/>
      <c r="M13" s="36"/>
      <c r="N13" s="36"/>
      <c r="O13" s="36"/>
      <c r="P13" s="36"/>
      <c r="Q13" s="36"/>
      <c r="R13" s="36"/>
    </row>
    <row r="14" spans="1:19" x14ac:dyDescent="0.2">
      <c r="A14" s="43">
        <v>2</v>
      </c>
      <c r="B14" s="44" t="s">
        <v>42</v>
      </c>
      <c r="C14" s="45">
        <v>810</v>
      </c>
      <c r="D14" s="57">
        <v>2.9</v>
      </c>
      <c r="E14" s="57" t="s">
        <v>123</v>
      </c>
      <c r="F14" s="57" t="s">
        <v>123</v>
      </c>
      <c r="G14" s="8">
        <f t="shared" si="0"/>
        <v>2.9</v>
      </c>
      <c r="H14" s="8" t="s">
        <v>123</v>
      </c>
      <c r="I14" s="36"/>
      <c r="J14" s="36"/>
      <c r="K14" s="36"/>
      <c r="L14" s="36"/>
      <c r="M14" s="36"/>
      <c r="N14" s="36"/>
      <c r="O14" s="36"/>
      <c r="P14" s="36"/>
      <c r="Q14" s="36"/>
      <c r="R14" s="36"/>
    </row>
    <row r="15" spans="1:19" x14ac:dyDescent="0.2">
      <c r="A15" s="43">
        <v>2</v>
      </c>
      <c r="B15" s="44" t="s">
        <v>42</v>
      </c>
      <c r="C15" s="45">
        <v>819</v>
      </c>
      <c r="D15" s="57">
        <v>2.2000000000000002</v>
      </c>
      <c r="E15" s="57" t="s">
        <v>123</v>
      </c>
      <c r="F15" s="57" t="s">
        <v>123</v>
      </c>
      <c r="G15" s="8">
        <f t="shared" si="0"/>
        <v>2.2000000000000002</v>
      </c>
      <c r="H15" s="8" t="s">
        <v>123</v>
      </c>
      <c r="I15" s="36"/>
      <c r="J15" s="36"/>
      <c r="K15" s="36"/>
      <c r="L15" s="36"/>
      <c r="M15" s="36"/>
      <c r="N15" s="36"/>
      <c r="O15" s="36"/>
      <c r="P15" s="36"/>
      <c r="Q15" s="36"/>
      <c r="R15" s="36"/>
    </row>
    <row r="16" spans="1:19" x14ac:dyDescent="0.2">
      <c r="A16" s="43">
        <v>2</v>
      </c>
      <c r="B16" s="44" t="s">
        <v>42</v>
      </c>
      <c r="C16" s="45">
        <v>822</v>
      </c>
      <c r="D16" s="57">
        <v>2.5</v>
      </c>
      <c r="E16" s="57" t="s">
        <v>123</v>
      </c>
      <c r="F16" s="57" t="s">
        <v>123</v>
      </c>
      <c r="G16" s="8">
        <f t="shared" si="0"/>
        <v>2.5</v>
      </c>
      <c r="H16" s="8" t="s">
        <v>123</v>
      </c>
      <c r="I16" s="36"/>
      <c r="J16" s="36"/>
      <c r="K16" s="36"/>
      <c r="L16" s="36"/>
      <c r="M16" s="36"/>
      <c r="N16" s="36"/>
      <c r="O16" s="36"/>
      <c r="P16" s="36"/>
      <c r="Q16" s="36"/>
      <c r="R16" s="36"/>
    </row>
    <row r="17" spans="1:18" x14ac:dyDescent="0.2">
      <c r="A17" s="43">
        <v>2</v>
      </c>
      <c r="B17" s="44" t="s">
        <v>42</v>
      </c>
      <c r="C17" s="45">
        <v>823</v>
      </c>
      <c r="D17" s="57">
        <v>3.1</v>
      </c>
      <c r="E17" s="57" t="s">
        <v>123</v>
      </c>
      <c r="F17" s="57" t="s">
        <v>123</v>
      </c>
      <c r="G17" s="8">
        <f t="shared" si="0"/>
        <v>3.1</v>
      </c>
      <c r="H17" s="8" t="s">
        <v>123</v>
      </c>
      <c r="I17" s="36"/>
      <c r="J17" s="36"/>
      <c r="K17" s="36"/>
      <c r="L17" s="36"/>
      <c r="M17" s="36"/>
      <c r="N17" s="36"/>
      <c r="O17" s="36"/>
      <c r="P17" s="36"/>
      <c r="Q17" s="36"/>
      <c r="R17" s="36"/>
    </row>
    <row r="18" spans="1:18" x14ac:dyDescent="0.2">
      <c r="A18" s="43">
        <v>2</v>
      </c>
      <c r="B18" s="44" t="s">
        <v>42</v>
      </c>
      <c r="C18" s="45">
        <v>825</v>
      </c>
      <c r="D18" s="57">
        <v>1.4</v>
      </c>
      <c r="E18" s="57" t="s">
        <v>123</v>
      </c>
      <c r="F18" s="57" t="s">
        <v>123</v>
      </c>
      <c r="G18" s="8">
        <f t="shared" si="0"/>
        <v>1.4</v>
      </c>
      <c r="H18" s="8" t="s">
        <v>123</v>
      </c>
      <c r="I18" s="36"/>
      <c r="J18" s="36"/>
      <c r="K18" s="36"/>
      <c r="L18" s="36"/>
      <c r="M18" s="36"/>
      <c r="N18" s="36"/>
      <c r="O18" s="36"/>
      <c r="P18" s="36"/>
      <c r="Q18" s="36"/>
      <c r="R18" s="36"/>
    </row>
    <row r="19" spans="1:18" x14ac:dyDescent="0.2">
      <c r="A19" s="43">
        <v>2</v>
      </c>
      <c r="B19" s="44" t="s">
        <v>42</v>
      </c>
      <c r="C19" s="45">
        <v>826</v>
      </c>
      <c r="D19" s="57">
        <v>1.4</v>
      </c>
      <c r="E19" s="57" t="s">
        <v>123</v>
      </c>
      <c r="F19" s="57" t="s">
        <v>123</v>
      </c>
      <c r="G19" s="8">
        <f t="shared" si="0"/>
        <v>1.4</v>
      </c>
      <c r="H19" s="8" t="s">
        <v>123</v>
      </c>
      <c r="I19" s="36"/>
      <c r="J19" s="36"/>
      <c r="K19" s="36"/>
      <c r="L19" s="36"/>
      <c r="M19" s="36"/>
      <c r="N19" s="36"/>
      <c r="O19" s="36"/>
      <c r="P19" s="36"/>
      <c r="Q19" s="36"/>
      <c r="R19" s="36"/>
    </row>
    <row r="20" spans="1:18" x14ac:dyDescent="0.2">
      <c r="A20" s="43">
        <v>2</v>
      </c>
      <c r="B20" s="44" t="s">
        <v>42</v>
      </c>
      <c r="C20" s="45">
        <v>828</v>
      </c>
      <c r="D20" s="57">
        <v>1.7</v>
      </c>
      <c r="E20" s="57" t="s">
        <v>123</v>
      </c>
      <c r="F20" s="57" t="s">
        <v>123</v>
      </c>
      <c r="G20" s="8">
        <f t="shared" si="0"/>
        <v>1.7</v>
      </c>
      <c r="H20" s="8" t="s">
        <v>123</v>
      </c>
      <c r="I20" s="36"/>
      <c r="J20" s="36"/>
      <c r="K20" s="36"/>
      <c r="L20" s="36"/>
      <c r="M20" s="36"/>
      <c r="N20" s="36"/>
      <c r="O20" s="36"/>
      <c r="P20" s="36"/>
      <c r="Q20" s="36"/>
      <c r="R20" s="36"/>
    </row>
    <row r="21" spans="1:18" x14ac:dyDescent="0.2">
      <c r="A21" s="43">
        <v>2</v>
      </c>
      <c r="B21" s="44" t="s">
        <v>42</v>
      </c>
      <c r="C21" s="45">
        <v>829</v>
      </c>
      <c r="D21" s="57">
        <v>1.9</v>
      </c>
      <c r="E21" s="57" t="s">
        <v>123</v>
      </c>
      <c r="F21" s="57" t="s">
        <v>123</v>
      </c>
      <c r="G21" s="8">
        <f t="shared" si="0"/>
        <v>1.9</v>
      </c>
      <c r="H21" s="8" t="s">
        <v>123</v>
      </c>
      <c r="I21" s="36"/>
      <c r="J21" s="36"/>
      <c r="K21" s="36"/>
      <c r="L21" s="36"/>
      <c r="M21" s="36"/>
      <c r="N21" s="36"/>
      <c r="O21" s="36"/>
      <c r="P21" s="36"/>
      <c r="Q21" s="36"/>
      <c r="R21" s="36"/>
    </row>
    <row r="22" spans="1:18" x14ac:dyDescent="0.2">
      <c r="A22" s="43">
        <v>2</v>
      </c>
      <c r="B22" s="44" t="s">
        <v>42</v>
      </c>
      <c r="C22" s="45">
        <v>832</v>
      </c>
      <c r="D22" s="57">
        <v>2.4</v>
      </c>
      <c r="E22" s="57" t="s">
        <v>123</v>
      </c>
      <c r="F22" s="57" t="s">
        <v>123</v>
      </c>
      <c r="G22" s="8">
        <f t="shared" si="0"/>
        <v>2.4</v>
      </c>
      <c r="H22" s="8" t="s">
        <v>123</v>
      </c>
      <c r="I22" s="36"/>
      <c r="J22" s="36"/>
      <c r="K22" s="36"/>
      <c r="L22" s="36"/>
      <c r="M22" s="36"/>
      <c r="N22" s="36"/>
      <c r="O22" s="36"/>
      <c r="P22" s="36"/>
      <c r="Q22" s="36"/>
      <c r="R22" s="36"/>
    </row>
    <row r="23" spans="1:18" x14ac:dyDescent="0.2">
      <c r="A23" s="43">
        <v>2</v>
      </c>
      <c r="B23" s="44" t="s">
        <v>42</v>
      </c>
      <c r="C23" s="45">
        <v>836</v>
      </c>
      <c r="D23" s="57">
        <v>2.2999999999999998</v>
      </c>
      <c r="E23" s="57" t="s">
        <v>123</v>
      </c>
      <c r="F23" s="57" t="s">
        <v>123</v>
      </c>
      <c r="G23" s="8">
        <f t="shared" si="0"/>
        <v>2.2999999999999998</v>
      </c>
      <c r="H23" s="8" t="s">
        <v>123</v>
      </c>
      <c r="I23" s="36"/>
      <c r="J23" s="36"/>
      <c r="K23" s="36"/>
      <c r="L23" s="36"/>
      <c r="M23" s="36"/>
      <c r="N23" s="36"/>
      <c r="O23" s="36"/>
      <c r="P23" s="36"/>
      <c r="Q23" s="36"/>
      <c r="R23" s="36"/>
    </row>
    <row r="24" spans="1:18" x14ac:dyDescent="0.2">
      <c r="A24" s="43">
        <v>2</v>
      </c>
      <c r="B24" s="44" t="s">
        <v>42</v>
      </c>
      <c r="C24" s="45">
        <v>839</v>
      </c>
      <c r="D24" s="57">
        <v>2</v>
      </c>
      <c r="E24" s="57" t="s">
        <v>123</v>
      </c>
      <c r="F24" s="57" t="s">
        <v>123</v>
      </c>
      <c r="G24" s="8">
        <f t="shared" si="0"/>
        <v>2</v>
      </c>
      <c r="H24" s="8" t="s">
        <v>123</v>
      </c>
      <c r="I24" s="36"/>
      <c r="J24" s="36"/>
      <c r="K24" s="36"/>
      <c r="L24" s="36"/>
      <c r="M24" s="36"/>
      <c r="N24" s="36"/>
      <c r="O24" s="36"/>
      <c r="P24" s="36"/>
      <c r="Q24" s="36"/>
      <c r="R24" s="36"/>
    </row>
    <row r="25" spans="1:18" x14ac:dyDescent="0.2">
      <c r="A25" s="43">
        <v>2</v>
      </c>
      <c r="B25" s="44" t="s">
        <v>42</v>
      </c>
      <c r="C25" s="45">
        <v>840</v>
      </c>
      <c r="D25" s="57">
        <v>2</v>
      </c>
      <c r="E25" s="57" t="s">
        <v>123</v>
      </c>
      <c r="F25" s="57" t="s">
        <v>123</v>
      </c>
      <c r="G25" s="8">
        <f t="shared" si="0"/>
        <v>2</v>
      </c>
      <c r="H25" s="8" t="s">
        <v>123</v>
      </c>
      <c r="I25" s="36"/>
      <c r="J25" s="36"/>
      <c r="K25" s="36"/>
      <c r="L25" s="36"/>
      <c r="M25" s="36"/>
      <c r="N25" s="36"/>
      <c r="O25" s="36"/>
      <c r="P25" s="36"/>
      <c r="Q25" s="36"/>
      <c r="R25" s="36"/>
    </row>
    <row r="26" spans="1:18" x14ac:dyDescent="0.2">
      <c r="A26" s="43">
        <v>2</v>
      </c>
      <c r="B26" s="44" t="s">
        <v>42</v>
      </c>
      <c r="C26" s="45">
        <v>841</v>
      </c>
      <c r="D26" s="57">
        <v>2.2000000000000002</v>
      </c>
      <c r="E26" s="57" t="s">
        <v>123</v>
      </c>
      <c r="F26" s="57" t="s">
        <v>123</v>
      </c>
      <c r="G26" s="8">
        <f t="shared" si="0"/>
        <v>2.2000000000000002</v>
      </c>
      <c r="H26" s="8" t="s">
        <v>123</v>
      </c>
      <c r="I26" s="36"/>
      <c r="J26" s="36"/>
      <c r="K26" s="36"/>
      <c r="L26" s="36"/>
      <c r="M26" s="36"/>
      <c r="N26" s="36"/>
      <c r="O26" s="36"/>
      <c r="P26" s="36"/>
      <c r="Q26" s="36"/>
      <c r="R26" s="36"/>
    </row>
    <row r="27" spans="1:18" x14ac:dyDescent="0.2">
      <c r="A27" s="43">
        <v>2</v>
      </c>
      <c r="B27" s="44" t="s">
        <v>42</v>
      </c>
      <c r="C27" s="45">
        <v>843</v>
      </c>
      <c r="D27" s="57">
        <v>2.1</v>
      </c>
      <c r="E27" s="57" t="s">
        <v>123</v>
      </c>
      <c r="F27" s="57" t="s">
        <v>123</v>
      </c>
      <c r="G27" s="8">
        <f t="shared" si="0"/>
        <v>2.1</v>
      </c>
      <c r="H27" s="8" t="s">
        <v>123</v>
      </c>
      <c r="I27" s="36"/>
      <c r="J27" s="36"/>
      <c r="K27" s="36"/>
      <c r="L27" s="36"/>
      <c r="M27" s="36"/>
      <c r="N27" s="36"/>
      <c r="O27" s="36"/>
      <c r="P27" s="36"/>
      <c r="Q27" s="36"/>
      <c r="R27" s="36"/>
    </row>
    <row r="28" spans="1:18" x14ac:dyDescent="0.2">
      <c r="A28" s="43">
        <v>2</v>
      </c>
      <c r="B28" s="44" t="s">
        <v>42</v>
      </c>
      <c r="C28" s="45">
        <v>850</v>
      </c>
      <c r="D28" s="57">
        <v>1.9</v>
      </c>
      <c r="E28" s="57" t="s">
        <v>123</v>
      </c>
      <c r="F28" s="57" t="s">
        <v>123</v>
      </c>
      <c r="G28" s="8">
        <f t="shared" si="0"/>
        <v>1.9</v>
      </c>
      <c r="H28" s="8" t="s">
        <v>123</v>
      </c>
      <c r="I28" s="36"/>
      <c r="J28" s="36"/>
      <c r="K28" s="36"/>
      <c r="L28" s="36"/>
      <c r="M28" s="36"/>
      <c r="N28" s="36"/>
      <c r="O28" s="36"/>
      <c r="P28" s="36"/>
      <c r="Q28" s="36"/>
      <c r="R28" s="36"/>
    </row>
    <row r="29" spans="1:18" x14ac:dyDescent="0.2">
      <c r="A29" s="43">
        <v>2</v>
      </c>
      <c r="B29" s="44" t="s">
        <v>42</v>
      </c>
      <c r="C29" s="45">
        <v>852</v>
      </c>
      <c r="D29" s="57">
        <v>1.1000000000000001</v>
      </c>
      <c r="E29" s="57" t="s">
        <v>123</v>
      </c>
      <c r="F29" s="57" t="s">
        <v>123</v>
      </c>
      <c r="G29" s="8">
        <f t="shared" si="0"/>
        <v>1.1000000000000001</v>
      </c>
      <c r="H29" s="8" t="s">
        <v>123</v>
      </c>
      <c r="I29" s="36"/>
      <c r="J29" s="36"/>
      <c r="K29" s="36"/>
      <c r="L29" s="36"/>
      <c r="M29" s="36"/>
      <c r="N29" s="36"/>
      <c r="O29" s="36"/>
      <c r="P29" s="36"/>
      <c r="Q29" s="36"/>
      <c r="R29" s="36"/>
    </row>
    <row r="30" spans="1:18" x14ac:dyDescent="0.2">
      <c r="A30" s="43">
        <v>2</v>
      </c>
      <c r="B30" s="44" t="s">
        <v>42</v>
      </c>
      <c r="C30" s="45">
        <v>854</v>
      </c>
      <c r="D30" s="57">
        <v>1.1000000000000001</v>
      </c>
      <c r="E30" s="57" t="s">
        <v>123</v>
      </c>
      <c r="F30" s="57" t="s">
        <v>123</v>
      </c>
      <c r="G30" s="8">
        <f t="shared" si="0"/>
        <v>1.1000000000000001</v>
      </c>
      <c r="H30" s="8" t="s">
        <v>123</v>
      </c>
      <c r="I30" s="36"/>
      <c r="J30" s="36"/>
      <c r="K30" s="36"/>
      <c r="L30" s="36"/>
      <c r="M30" s="36"/>
      <c r="N30" s="36"/>
      <c r="O30" s="36"/>
      <c r="P30" s="36"/>
      <c r="Q30" s="36"/>
      <c r="R30" s="36"/>
    </row>
    <row r="31" spans="1:18" x14ac:dyDescent="0.2">
      <c r="A31" s="43">
        <v>2</v>
      </c>
      <c r="B31" s="44" t="s">
        <v>42</v>
      </c>
      <c r="C31" s="45">
        <v>855</v>
      </c>
      <c r="D31" s="57">
        <v>1.8</v>
      </c>
      <c r="E31" s="57" t="s">
        <v>123</v>
      </c>
      <c r="F31" s="57" t="s">
        <v>123</v>
      </c>
      <c r="G31" s="8">
        <f t="shared" si="0"/>
        <v>1.8</v>
      </c>
      <c r="H31" s="8" t="s">
        <v>123</v>
      </c>
      <c r="I31" s="36"/>
      <c r="J31" s="36"/>
      <c r="K31" s="36"/>
      <c r="L31" s="36"/>
      <c r="M31" s="36"/>
      <c r="N31" s="36"/>
      <c r="O31" s="36"/>
      <c r="P31" s="36"/>
      <c r="Q31" s="36"/>
      <c r="R31" s="36"/>
    </row>
    <row r="32" spans="1:18" x14ac:dyDescent="0.2">
      <c r="A32" s="43">
        <v>2</v>
      </c>
      <c r="B32" s="44" t="s">
        <v>42</v>
      </c>
      <c r="C32" s="45">
        <v>857</v>
      </c>
      <c r="D32" s="57">
        <v>1.9</v>
      </c>
      <c r="E32" s="57" t="s">
        <v>123</v>
      </c>
      <c r="F32" s="57" t="s">
        <v>123</v>
      </c>
      <c r="G32" s="8">
        <f t="shared" si="0"/>
        <v>1.9</v>
      </c>
      <c r="H32" s="8" t="s">
        <v>123</v>
      </c>
      <c r="I32" s="36"/>
      <c r="J32" s="36"/>
      <c r="K32" s="36"/>
      <c r="L32" s="36"/>
      <c r="M32" s="36"/>
      <c r="N32" s="36"/>
      <c r="O32" s="36"/>
      <c r="P32" s="36"/>
      <c r="Q32" s="36"/>
      <c r="R32" s="36"/>
    </row>
    <row r="33" spans="1:18" x14ac:dyDescent="0.2">
      <c r="A33" s="43">
        <v>2</v>
      </c>
      <c r="B33" s="44" t="s">
        <v>42</v>
      </c>
      <c r="C33" s="45">
        <v>858</v>
      </c>
      <c r="D33" s="57">
        <v>3</v>
      </c>
      <c r="E33" s="57" t="s">
        <v>123</v>
      </c>
      <c r="F33" s="57" t="s">
        <v>123</v>
      </c>
      <c r="G33" s="8">
        <f t="shared" si="0"/>
        <v>3</v>
      </c>
      <c r="H33" s="8" t="s">
        <v>123</v>
      </c>
      <c r="I33" s="36"/>
      <c r="J33" s="36"/>
      <c r="K33" s="36"/>
      <c r="L33" s="36"/>
      <c r="M33" s="36"/>
      <c r="N33" s="36"/>
      <c r="O33" s="36"/>
      <c r="P33" s="36"/>
      <c r="Q33" s="36"/>
      <c r="R33" s="36"/>
    </row>
    <row r="34" spans="1:18" x14ac:dyDescent="0.2">
      <c r="A34" s="43">
        <v>2</v>
      </c>
      <c r="B34" s="44" t="s">
        <v>42</v>
      </c>
      <c r="C34" s="45">
        <v>870</v>
      </c>
      <c r="D34" s="57">
        <v>1.5</v>
      </c>
      <c r="E34" s="57" t="s">
        <v>123</v>
      </c>
      <c r="F34" s="57" t="s">
        <v>123</v>
      </c>
      <c r="G34" s="8">
        <f t="shared" si="0"/>
        <v>1.5</v>
      </c>
      <c r="H34" s="8" t="s">
        <v>123</v>
      </c>
      <c r="I34" s="36"/>
      <c r="J34" s="36"/>
      <c r="K34" s="36"/>
      <c r="L34" s="36"/>
      <c r="M34" s="36"/>
      <c r="N34" s="36"/>
      <c r="O34" s="36"/>
      <c r="P34" s="36"/>
      <c r="Q34" s="36"/>
      <c r="R34" s="36"/>
    </row>
    <row r="35" spans="1:18" x14ac:dyDescent="0.2">
      <c r="A35" s="43">
        <v>2</v>
      </c>
      <c r="B35" s="44" t="s">
        <v>42</v>
      </c>
      <c r="C35" s="45">
        <v>875</v>
      </c>
      <c r="D35" s="57">
        <v>2.1</v>
      </c>
      <c r="E35" s="57" t="s">
        <v>123</v>
      </c>
      <c r="F35" s="57" t="s">
        <v>123</v>
      </c>
      <c r="G35" s="8">
        <f t="shared" si="0"/>
        <v>2.1</v>
      </c>
      <c r="H35" s="8" t="s">
        <v>123</v>
      </c>
      <c r="I35" s="36"/>
      <c r="J35" s="36"/>
      <c r="K35" s="36"/>
      <c r="L35" s="36"/>
      <c r="M35" s="36"/>
      <c r="N35" s="36"/>
      <c r="O35" s="36"/>
      <c r="P35" s="36"/>
      <c r="Q35" s="36"/>
      <c r="R35" s="36"/>
    </row>
    <row r="36" spans="1:18" x14ac:dyDescent="0.2">
      <c r="A36" s="43">
        <v>2</v>
      </c>
      <c r="B36" s="44" t="s">
        <v>42</v>
      </c>
      <c r="C36" s="45">
        <v>880</v>
      </c>
      <c r="D36" s="57">
        <v>2.8</v>
      </c>
      <c r="E36" s="57" t="s">
        <v>123</v>
      </c>
      <c r="F36" s="57" t="s">
        <v>123</v>
      </c>
      <c r="G36" s="8">
        <f t="shared" si="0"/>
        <v>2.8</v>
      </c>
      <c r="H36" s="8" t="s">
        <v>123</v>
      </c>
      <c r="I36" s="36"/>
      <c r="J36" s="36"/>
      <c r="K36" s="36"/>
      <c r="L36" s="36"/>
      <c r="M36" s="36"/>
      <c r="N36" s="36"/>
      <c r="O36" s="36"/>
      <c r="P36" s="36"/>
      <c r="Q36" s="36"/>
      <c r="R36" s="36"/>
    </row>
    <row r="37" spans="1:18" x14ac:dyDescent="0.2">
      <c r="A37" s="43">
        <v>2</v>
      </c>
      <c r="B37" s="44" t="s">
        <v>42</v>
      </c>
      <c r="C37" s="45">
        <v>883</v>
      </c>
      <c r="D37" s="57">
        <v>2</v>
      </c>
      <c r="E37" s="57" t="s">
        <v>123</v>
      </c>
      <c r="F37" s="57" t="s">
        <v>123</v>
      </c>
      <c r="G37" s="8">
        <f t="shared" si="0"/>
        <v>2</v>
      </c>
      <c r="H37" s="8" t="s">
        <v>123</v>
      </c>
      <c r="I37" s="36"/>
      <c r="J37" s="36"/>
      <c r="K37" s="36"/>
      <c r="L37" s="36"/>
      <c r="M37" s="36"/>
      <c r="N37" s="36"/>
      <c r="O37" s="36"/>
      <c r="P37" s="36"/>
      <c r="Q37" s="36"/>
      <c r="R37" s="36"/>
    </row>
    <row r="38" spans="1:18" x14ac:dyDescent="0.2">
      <c r="A38" s="43">
        <v>2</v>
      </c>
      <c r="B38" s="44" t="s">
        <v>42</v>
      </c>
      <c r="C38" s="45">
        <v>884</v>
      </c>
      <c r="D38" s="57">
        <v>1.6</v>
      </c>
      <c r="E38" s="57" t="s">
        <v>123</v>
      </c>
      <c r="F38" s="57" t="s">
        <v>123</v>
      </c>
      <c r="G38" s="8">
        <f t="shared" si="0"/>
        <v>1.6</v>
      </c>
      <c r="H38" s="8" t="s">
        <v>123</v>
      </c>
      <c r="I38" s="36"/>
      <c r="J38" s="36"/>
      <c r="K38" s="36"/>
      <c r="L38" s="36"/>
      <c r="M38" s="36"/>
      <c r="N38" s="36"/>
      <c r="O38" s="36"/>
      <c r="P38" s="36"/>
      <c r="Q38" s="36"/>
      <c r="R38" s="36"/>
    </row>
    <row r="39" spans="1:18" ht="16" thickBot="1" x14ac:dyDescent="0.25">
      <c r="A39" s="48">
        <v>2</v>
      </c>
      <c r="B39" s="49" t="s">
        <v>42</v>
      </c>
      <c r="C39" s="50">
        <v>886</v>
      </c>
      <c r="D39" s="57">
        <v>2.8</v>
      </c>
      <c r="E39" s="57" t="s">
        <v>123</v>
      </c>
      <c r="F39" s="57" t="s">
        <v>123</v>
      </c>
      <c r="G39" s="8">
        <f t="shared" si="0"/>
        <v>2.8</v>
      </c>
      <c r="H39" s="8" t="s">
        <v>123</v>
      </c>
      <c r="I39" s="36"/>
      <c r="J39" s="36"/>
      <c r="K39" s="36"/>
      <c r="L39" s="36"/>
      <c r="M39" s="36"/>
      <c r="N39" s="36"/>
      <c r="O39" s="36"/>
      <c r="P39" s="36"/>
      <c r="Q39" s="36"/>
      <c r="R39" s="36"/>
    </row>
    <row r="40" spans="1:18" x14ac:dyDescent="0.2">
      <c r="A40" s="58">
        <v>3</v>
      </c>
      <c r="B40" s="58" t="s">
        <v>74</v>
      </c>
      <c r="C40" s="59">
        <v>802</v>
      </c>
      <c r="D40" s="57">
        <v>0.7</v>
      </c>
      <c r="E40" s="57" t="s">
        <v>123</v>
      </c>
      <c r="F40" s="57" t="s">
        <v>123</v>
      </c>
      <c r="G40" s="8">
        <f t="shared" si="0"/>
        <v>0.7</v>
      </c>
      <c r="H40" s="8" t="s">
        <v>123</v>
      </c>
      <c r="I40" s="36"/>
      <c r="J40" s="36"/>
      <c r="K40" s="36"/>
      <c r="L40" s="36"/>
      <c r="M40" s="36"/>
      <c r="N40" s="36"/>
      <c r="O40" s="36"/>
      <c r="P40" s="36"/>
      <c r="Q40" s="36"/>
      <c r="R40" s="36"/>
    </row>
    <row r="41" spans="1:18" x14ac:dyDescent="0.2">
      <c r="A41" s="58">
        <v>3</v>
      </c>
      <c r="B41" s="58" t="s">
        <v>74</v>
      </c>
      <c r="C41" s="59">
        <v>803</v>
      </c>
      <c r="D41" s="57">
        <v>1.1000000000000001</v>
      </c>
      <c r="E41" s="57" t="s">
        <v>123</v>
      </c>
      <c r="F41" s="57" t="s">
        <v>123</v>
      </c>
      <c r="G41" s="8">
        <f t="shared" si="0"/>
        <v>1.1000000000000001</v>
      </c>
      <c r="H41" s="8" t="s">
        <v>123</v>
      </c>
      <c r="I41" s="36"/>
      <c r="J41" s="36"/>
      <c r="K41" s="36"/>
      <c r="L41" s="36"/>
      <c r="M41" s="36"/>
      <c r="N41" s="36"/>
      <c r="O41" s="36"/>
      <c r="P41" s="36"/>
      <c r="Q41" s="36"/>
      <c r="R41" s="36"/>
    </row>
    <row r="42" spans="1:18" x14ac:dyDescent="0.2">
      <c r="A42" s="58">
        <v>3</v>
      </c>
      <c r="B42" s="58" t="s">
        <v>74</v>
      </c>
      <c r="C42" s="59">
        <v>808</v>
      </c>
      <c r="D42" s="57">
        <v>0.9</v>
      </c>
      <c r="E42" s="57" t="s">
        <v>123</v>
      </c>
      <c r="F42" s="57" t="s">
        <v>123</v>
      </c>
      <c r="G42" s="8">
        <f t="shared" si="0"/>
        <v>0.9</v>
      </c>
      <c r="H42" s="8" t="s">
        <v>123</v>
      </c>
      <c r="I42" s="36"/>
      <c r="J42" s="36"/>
      <c r="K42" s="36"/>
      <c r="L42" s="36"/>
      <c r="M42" s="36"/>
      <c r="N42" s="36"/>
      <c r="O42" s="36"/>
      <c r="P42" s="36"/>
      <c r="Q42" s="36"/>
      <c r="R42" s="36"/>
    </row>
    <row r="43" spans="1:18" x14ac:dyDescent="0.2">
      <c r="A43" s="58">
        <v>3</v>
      </c>
      <c r="B43" s="58" t="s">
        <v>74</v>
      </c>
      <c r="C43" s="59">
        <v>811</v>
      </c>
      <c r="D43" s="57">
        <v>1.7</v>
      </c>
      <c r="E43" s="57" t="s">
        <v>123</v>
      </c>
      <c r="F43" s="57" t="s">
        <v>123</v>
      </c>
      <c r="G43" s="8">
        <f t="shared" si="0"/>
        <v>1.7</v>
      </c>
      <c r="H43" s="8" t="s">
        <v>123</v>
      </c>
      <c r="I43" s="36"/>
      <c r="J43" s="36"/>
      <c r="K43" s="36"/>
      <c r="L43" s="36"/>
      <c r="M43" s="36"/>
      <c r="N43" s="36"/>
      <c r="O43" s="36"/>
      <c r="P43" s="36"/>
      <c r="Q43" s="36"/>
      <c r="R43" s="36"/>
    </row>
    <row r="44" spans="1:18" x14ac:dyDescent="0.2">
      <c r="A44" s="58">
        <v>3</v>
      </c>
      <c r="B44" s="58" t="s">
        <v>74</v>
      </c>
      <c r="C44" s="59">
        <v>812</v>
      </c>
      <c r="D44" s="57">
        <v>1.5</v>
      </c>
      <c r="E44" s="57" t="s">
        <v>123</v>
      </c>
      <c r="F44" s="57" t="s">
        <v>123</v>
      </c>
      <c r="G44" s="8">
        <f t="shared" si="0"/>
        <v>1.5</v>
      </c>
      <c r="H44" s="8" t="s">
        <v>123</v>
      </c>
      <c r="I44" s="36"/>
      <c r="J44" s="36"/>
      <c r="K44" s="36"/>
      <c r="L44" s="36"/>
      <c r="M44" s="36"/>
      <c r="N44" s="36"/>
      <c r="O44" s="36"/>
      <c r="P44" s="36"/>
      <c r="Q44" s="36"/>
      <c r="R44" s="36"/>
    </row>
    <row r="45" spans="1:18" x14ac:dyDescent="0.2">
      <c r="A45" s="58">
        <v>3</v>
      </c>
      <c r="B45" s="58" t="s">
        <v>74</v>
      </c>
      <c r="C45" s="59">
        <v>815</v>
      </c>
      <c r="D45" s="57">
        <v>1.3</v>
      </c>
      <c r="E45" s="57" t="s">
        <v>123</v>
      </c>
      <c r="F45" s="57" t="s">
        <v>123</v>
      </c>
      <c r="G45" s="8">
        <f t="shared" si="0"/>
        <v>1.3</v>
      </c>
      <c r="H45" s="8" t="s">
        <v>123</v>
      </c>
      <c r="I45" s="36"/>
      <c r="J45" s="36"/>
      <c r="K45" s="36"/>
      <c r="L45" s="36"/>
      <c r="M45" s="36"/>
      <c r="N45" s="36"/>
      <c r="O45" s="36"/>
      <c r="P45" s="36"/>
      <c r="Q45" s="36"/>
      <c r="R45" s="36"/>
    </row>
    <row r="46" spans="1:18" x14ac:dyDescent="0.2">
      <c r="A46" s="58">
        <v>3</v>
      </c>
      <c r="B46" s="58" t="s">
        <v>74</v>
      </c>
      <c r="C46" s="59">
        <v>816</v>
      </c>
      <c r="D46" s="57">
        <v>2.5</v>
      </c>
      <c r="E46" s="57" t="s">
        <v>123</v>
      </c>
      <c r="F46" s="57" t="s">
        <v>123</v>
      </c>
      <c r="G46" s="8">
        <f t="shared" si="0"/>
        <v>2.5</v>
      </c>
      <c r="H46" s="8" t="s">
        <v>123</v>
      </c>
      <c r="I46" s="36"/>
      <c r="J46" s="36"/>
      <c r="K46" s="36"/>
      <c r="L46" s="36"/>
      <c r="M46" s="36"/>
      <c r="N46" s="36"/>
      <c r="O46" s="36"/>
      <c r="P46" s="36"/>
      <c r="Q46" s="36"/>
      <c r="R46" s="36"/>
    </row>
    <row r="47" spans="1:18" x14ac:dyDescent="0.2">
      <c r="A47" s="58">
        <v>3</v>
      </c>
      <c r="B47" s="58" t="s">
        <v>74</v>
      </c>
      <c r="C47" s="59">
        <v>817</v>
      </c>
      <c r="D47" s="57">
        <v>1.4</v>
      </c>
      <c r="E47" s="57" t="s">
        <v>123</v>
      </c>
      <c r="F47" s="57" t="s">
        <v>123</v>
      </c>
      <c r="G47" s="8">
        <f t="shared" si="0"/>
        <v>1.4</v>
      </c>
      <c r="H47" s="8" t="s">
        <v>123</v>
      </c>
      <c r="I47" s="36"/>
      <c r="J47" s="36"/>
      <c r="K47" s="36"/>
      <c r="L47" s="36"/>
      <c r="M47" s="36"/>
      <c r="N47" s="36"/>
      <c r="O47" s="36"/>
      <c r="P47" s="36"/>
      <c r="Q47" s="36"/>
      <c r="R47" s="36"/>
    </row>
    <row r="48" spans="1:18" x14ac:dyDescent="0.2">
      <c r="A48" s="58">
        <v>3</v>
      </c>
      <c r="B48" s="58" t="s">
        <v>74</v>
      </c>
      <c r="C48" s="59">
        <v>818</v>
      </c>
      <c r="D48" s="57">
        <v>1.3</v>
      </c>
      <c r="E48" s="57" t="s">
        <v>123</v>
      </c>
      <c r="F48" s="57" t="s">
        <v>123</v>
      </c>
      <c r="G48" s="8">
        <f t="shared" si="0"/>
        <v>1.3</v>
      </c>
      <c r="H48" s="8" t="s">
        <v>123</v>
      </c>
      <c r="I48" s="36"/>
      <c r="J48" s="36"/>
      <c r="K48" s="36"/>
      <c r="L48" s="36"/>
      <c r="M48" s="36"/>
      <c r="N48" s="36"/>
      <c r="O48" s="36"/>
      <c r="P48" s="36"/>
      <c r="Q48" s="36"/>
      <c r="R48" s="36"/>
    </row>
    <row r="49" spans="1:18" x14ac:dyDescent="0.2">
      <c r="A49" s="58">
        <v>3</v>
      </c>
      <c r="B49" s="58" t="s">
        <v>74</v>
      </c>
      <c r="C49" s="59">
        <v>833</v>
      </c>
      <c r="D49" s="57">
        <v>1.1000000000000001</v>
      </c>
      <c r="E49" s="57" t="s">
        <v>123</v>
      </c>
      <c r="F49" s="57" t="s">
        <v>123</v>
      </c>
      <c r="G49" s="8">
        <f t="shared" si="0"/>
        <v>1.1000000000000001</v>
      </c>
      <c r="H49" s="8" t="s">
        <v>123</v>
      </c>
      <c r="I49" s="36"/>
      <c r="J49" s="36"/>
      <c r="K49" s="36"/>
      <c r="L49" s="36"/>
      <c r="M49" s="36"/>
      <c r="N49" s="36"/>
      <c r="O49" s="36"/>
      <c r="P49" s="36"/>
      <c r="Q49" s="36"/>
      <c r="R49" s="36"/>
    </row>
    <row r="50" spans="1:18" x14ac:dyDescent="0.2">
      <c r="A50" s="58">
        <v>3</v>
      </c>
      <c r="B50" s="58" t="s">
        <v>74</v>
      </c>
      <c r="C50" s="59">
        <v>834</v>
      </c>
      <c r="D50" s="57">
        <v>1.4</v>
      </c>
      <c r="E50" s="57" t="s">
        <v>123</v>
      </c>
      <c r="F50" s="57" t="s">
        <v>123</v>
      </c>
      <c r="G50" s="8">
        <f t="shared" si="0"/>
        <v>1.4</v>
      </c>
      <c r="H50" s="8" t="s">
        <v>123</v>
      </c>
      <c r="I50" s="36"/>
      <c r="J50" s="36"/>
      <c r="K50" s="36"/>
      <c r="L50" s="36"/>
      <c r="M50" s="36"/>
      <c r="N50" s="36"/>
      <c r="O50" s="36"/>
      <c r="P50" s="36"/>
      <c r="Q50" s="36"/>
      <c r="R50" s="36"/>
    </row>
    <row r="51" spans="1:18" x14ac:dyDescent="0.2">
      <c r="A51" s="58">
        <v>3</v>
      </c>
      <c r="B51" s="58" t="s">
        <v>74</v>
      </c>
      <c r="C51" s="59">
        <v>835</v>
      </c>
      <c r="D51" s="57">
        <v>1.9</v>
      </c>
      <c r="E51" s="57" t="s">
        <v>123</v>
      </c>
      <c r="F51" s="57" t="s">
        <v>123</v>
      </c>
      <c r="G51" s="8">
        <f t="shared" si="0"/>
        <v>1.9</v>
      </c>
      <c r="H51" s="8" t="s">
        <v>123</v>
      </c>
      <c r="I51" s="36"/>
      <c r="J51" s="36"/>
      <c r="K51" s="36"/>
      <c r="L51" s="36"/>
      <c r="M51" s="36"/>
      <c r="N51" s="36"/>
      <c r="O51" s="36"/>
      <c r="P51" s="36"/>
      <c r="Q51" s="36"/>
      <c r="R51" s="36"/>
    </row>
    <row r="52" spans="1:18" x14ac:dyDescent="0.2">
      <c r="A52" s="58">
        <v>3</v>
      </c>
      <c r="B52" s="58" t="s">
        <v>74</v>
      </c>
      <c r="C52" s="59">
        <v>844</v>
      </c>
      <c r="D52" s="57">
        <v>1.9</v>
      </c>
      <c r="E52" s="57" t="s">
        <v>123</v>
      </c>
      <c r="F52" s="57" t="s">
        <v>123</v>
      </c>
      <c r="G52" s="8">
        <f t="shared" si="0"/>
        <v>1.9</v>
      </c>
      <c r="H52" s="8" t="s">
        <v>123</v>
      </c>
      <c r="I52" s="36"/>
      <c r="J52" s="36"/>
      <c r="K52" s="36"/>
      <c r="L52" s="36"/>
      <c r="M52" s="36"/>
      <c r="N52" s="36"/>
      <c r="O52" s="36"/>
      <c r="P52" s="36"/>
      <c r="Q52" s="36"/>
      <c r="R52" s="36"/>
    </row>
    <row r="53" spans="1:18" x14ac:dyDescent="0.2">
      <c r="A53" s="58">
        <v>3</v>
      </c>
      <c r="B53" s="58" t="s">
        <v>74</v>
      </c>
      <c r="C53" s="59">
        <v>845</v>
      </c>
      <c r="D53" s="57">
        <v>2.2000000000000002</v>
      </c>
      <c r="E53" s="57" t="s">
        <v>123</v>
      </c>
      <c r="F53" s="57" t="s">
        <v>123</v>
      </c>
      <c r="G53" s="8">
        <f t="shared" si="0"/>
        <v>2.2000000000000002</v>
      </c>
      <c r="H53" s="8" t="s">
        <v>123</v>
      </c>
      <c r="I53" s="36"/>
      <c r="J53" s="36"/>
      <c r="K53" s="36"/>
      <c r="L53" s="36"/>
      <c r="M53" s="36"/>
      <c r="N53" s="36"/>
      <c r="O53" s="36"/>
      <c r="P53" s="36"/>
      <c r="Q53" s="36"/>
      <c r="R53" s="36"/>
    </row>
    <row r="54" spans="1:18" x14ac:dyDescent="0.2">
      <c r="A54" s="58">
        <v>3</v>
      </c>
      <c r="B54" s="58" t="s">
        <v>74</v>
      </c>
      <c r="C54" s="59">
        <v>846</v>
      </c>
      <c r="D54" s="57">
        <v>2.1</v>
      </c>
      <c r="E54" s="57" t="s">
        <v>123</v>
      </c>
      <c r="F54" s="57" t="s">
        <v>123</v>
      </c>
      <c r="G54" s="8">
        <f t="shared" si="0"/>
        <v>2.1</v>
      </c>
      <c r="H54" s="8" t="s">
        <v>123</v>
      </c>
      <c r="I54" s="36"/>
      <c r="J54" s="36"/>
      <c r="K54" s="36"/>
      <c r="L54" s="36"/>
      <c r="M54" s="36"/>
      <c r="N54" s="36"/>
      <c r="O54" s="36"/>
      <c r="P54" s="36"/>
      <c r="Q54" s="36"/>
      <c r="R54" s="36"/>
    </row>
    <row r="55" spans="1:18" x14ac:dyDescent="0.2">
      <c r="A55" s="58">
        <v>3</v>
      </c>
      <c r="B55" s="58" t="s">
        <v>74</v>
      </c>
      <c r="C55" s="59">
        <v>849</v>
      </c>
      <c r="D55" s="57">
        <v>1.2</v>
      </c>
      <c r="E55" s="57" t="s">
        <v>123</v>
      </c>
      <c r="F55" s="57" t="s">
        <v>123</v>
      </c>
      <c r="G55" s="8">
        <f t="shared" si="0"/>
        <v>1.2</v>
      </c>
      <c r="H55" s="8" t="s">
        <v>123</v>
      </c>
      <c r="I55" s="36"/>
      <c r="J55" s="36"/>
      <c r="K55" s="36"/>
      <c r="L55" s="36"/>
      <c r="M55" s="36"/>
      <c r="N55" s="36"/>
      <c r="O55" s="36"/>
      <c r="P55" s="36"/>
      <c r="Q55" s="36"/>
      <c r="R55" s="36"/>
    </row>
    <row r="56" spans="1:18" x14ac:dyDescent="0.2">
      <c r="A56" s="58">
        <v>3</v>
      </c>
      <c r="B56" s="58" t="s">
        <v>74</v>
      </c>
      <c r="C56" s="59">
        <v>856</v>
      </c>
      <c r="D56" s="57">
        <v>1.1000000000000001</v>
      </c>
      <c r="E56" s="57" t="s">
        <v>123</v>
      </c>
      <c r="F56" s="57" t="s">
        <v>123</v>
      </c>
      <c r="G56" s="8">
        <f t="shared" si="0"/>
        <v>1.1000000000000001</v>
      </c>
      <c r="H56" s="8" t="s">
        <v>123</v>
      </c>
      <c r="I56" s="36"/>
      <c r="J56" s="36"/>
      <c r="K56" s="36"/>
      <c r="L56" s="36"/>
      <c r="M56" s="36"/>
      <c r="N56" s="36"/>
      <c r="O56" s="36"/>
      <c r="P56" s="36"/>
      <c r="Q56" s="36"/>
      <c r="R56" s="36"/>
    </row>
    <row r="57" spans="1:18" x14ac:dyDescent="0.2">
      <c r="A57" s="58">
        <v>3</v>
      </c>
      <c r="B57" s="58" t="s">
        <v>74</v>
      </c>
      <c r="C57" s="59">
        <v>859</v>
      </c>
      <c r="D57" s="57">
        <v>1.3</v>
      </c>
      <c r="E57" s="57" t="s">
        <v>123</v>
      </c>
      <c r="F57" s="57" t="s">
        <v>123</v>
      </c>
      <c r="G57" s="8">
        <f t="shared" si="0"/>
        <v>1.3</v>
      </c>
      <c r="H57" s="8" t="s">
        <v>123</v>
      </c>
      <c r="I57" s="36"/>
      <c r="J57" s="36"/>
      <c r="K57" s="36"/>
      <c r="L57" s="36"/>
      <c r="M57" s="36"/>
      <c r="N57" s="36"/>
      <c r="O57" s="36"/>
      <c r="P57" s="36"/>
      <c r="Q57" s="36"/>
      <c r="R57" s="36"/>
    </row>
    <row r="58" spans="1:18" x14ac:dyDescent="0.2">
      <c r="A58" s="58">
        <v>3</v>
      </c>
      <c r="B58" s="58" t="s">
        <v>74</v>
      </c>
      <c r="C58" s="59">
        <v>861</v>
      </c>
      <c r="D58" s="57">
        <v>1</v>
      </c>
      <c r="E58" s="57" t="s">
        <v>123</v>
      </c>
      <c r="F58" s="57" t="s">
        <v>123</v>
      </c>
      <c r="G58" s="8">
        <f t="shared" si="0"/>
        <v>1</v>
      </c>
      <c r="H58" s="8" t="s">
        <v>123</v>
      </c>
      <c r="I58" s="36"/>
      <c r="J58" s="36"/>
      <c r="K58" s="36"/>
      <c r="L58" s="36"/>
      <c r="M58" s="36"/>
      <c r="N58" s="36"/>
      <c r="O58" s="36"/>
      <c r="P58" s="36"/>
      <c r="Q58" s="36"/>
      <c r="R58" s="36"/>
    </row>
    <row r="59" spans="1:18" x14ac:dyDescent="0.2">
      <c r="A59" s="58">
        <v>3</v>
      </c>
      <c r="B59" s="58" t="s">
        <v>74</v>
      </c>
      <c r="C59" s="59">
        <v>862</v>
      </c>
      <c r="D59" s="57">
        <v>1.4</v>
      </c>
      <c r="E59" s="57" t="s">
        <v>123</v>
      </c>
      <c r="F59" s="57" t="s">
        <v>123</v>
      </c>
      <c r="G59" s="8">
        <f t="shared" si="0"/>
        <v>1.4</v>
      </c>
      <c r="H59" s="8" t="s">
        <v>123</v>
      </c>
      <c r="I59" s="36"/>
      <c r="J59" s="36"/>
      <c r="K59" s="36"/>
      <c r="L59" s="36"/>
      <c r="M59" s="36"/>
      <c r="N59" s="36"/>
      <c r="O59" s="36"/>
      <c r="P59" s="36"/>
      <c r="Q59" s="36"/>
      <c r="R59" s="36"/>
    </row>
    <row r="60" spans="1:18" x14ac:dyDescent="0.2">
      <c r="A60" s="58">
        <v>3</v>
      </c>
      <c r="B60" s="58" t="s">
        <v>74</v>
      </c>
      <c r="C60" s="59">
        <v>865</v>
      </c>
      <c r="D60" s="57">
        <v>1.3</v>
      </c>
      <c r="E60" s="57" t="s">
        <v>123</v>
      </c>
      <c r="F60" s="57" t="s">
        <v>123</v>
      </c>
      <c r="G60" s="8">
        <f t="shared" si="0"/>
        <v>1.3</v>
      </c>
      <c r="H60" s="8" t="s">
        <v>123</v>
      </c>
      <c r="I60" s="36"/>
      <c r="J60" s="36"/>
      <c r="K60" s="36"/>
      <c r="L60" s="36"/>
      <c r="M60" s="36"/>
      <c r="N60" s="36"/>
      <c r="O60" s="36"/>
      <c r="P60" s="36"/>
      <c r="Q60" s="36"/>
      <c r="R60" s="36"/>
    </row>
    <row r="61" spans="1:18" x14ac:dyDescent="0.2">
      <c r="A61" s="58">
        <v>3</v>
      </c>
      <c r="B61" s="58" t="s">
        <v>74</v>
      </c>
      <c r="C61" s="59">
        <v>866</v>
      </c>
      <c r="D61" s="57">
        <v>1.2</v>
      </c>
      <c r="E61" s="57" t="s">
        <v>123</v>
      </c>
      <c r="F61" s="57" t="s">
        <v>123</v>
      </c>
      <c r="G61" s="8">
        <f t="shared" si="0"/>
        <v>1.2</v>
      </c>
      <c r="H61" s="8" t="s">
        <v>123</v>
      </c>
      <c r="I61" s="36"/>
      <c r="J61" s="36"/>
      <c r="K61" s="36"/>
      <c r="L61" s="36"/>
      <c r="M61" s="36"/>
      <c r="N61" s="36"/>
      <c r="O61" s="36"/>
      <c r="P61" s="36"/>
      <c r="Q61" s="36"/>
      <c r="R61" s="36"/>
    </row>
    <row r="62" spans="1:18" x14ac:dyDescent="0.2">
      <c r="A62" s="58">
        <v>3</v>
      </c>
      <c r="B62" s="58" t="s">
        <v>74</v>
      </c>
      <c r="C62" s="59">
        <v>871</v>
      </c>
      <c r="D62" s="57">
        <v>1.7</v>
      </c>
      <c r="E62" s="57" t="s">
        <v>123</v>
      </c>
      <c r="F62" s="57" t="s">
        <v>123</v>
      </c>
      <c r="G62" s="8">
        <f t="shared" si="0"/>
        <v>1.7</v>
      </c>
      <c r="H62" s="8" t="s">
        <v>123</v>
      </c>
      <c r="I62" s="36"/>
      <c r="J62" s="36"/>
      <c r="K62" s="36"/>
      <c r="L62" s="36"/>
      <c r="M62" s="36"/>
      <c r="N62" s="36"/>
      <c r="O62" s="36"/>
      <c r="P62" s="36"/>
      <c r="Q62" s="36"/>
      <c r="R62" s="36"/>
    </row>
    <row r="63" spans="1:18" x14ac:dyDescent="0.2">
      <c r="A63" s="58">
        <v>3</v>
      </c>
      <c r="B63" s="58" t="s">
        <v>74</v>
      </c>
      <c r="C63" s="59">
        <v>873</v>
      </c>
      <c r="D63" s="57">
        <v>2.1</v>
      </c>
      <c r="E63" s="57" t="s">
        <v>123</v>
      </c>
      <c r="F63" s="57" t="s">
        <v>123</v>
      </c>
      <c r="G63" s="8">
        <f t="shared" si="0"/>
        <v>2.1</v>
      </c>
      <c r="H63" s="8" t="s">
        <v>123</v>
      </c>
      <c r="I63" s="36"/>
      <c r="J63" s="36"/>
      <c r="K63" s="36"/>
      <c r="L63" s="36"/>
      <c r="M63" s="36"/>
      <c r="N63" s="36"/>
      <c r="O63" s="36"/>
      <c r="P63" s="36"/>
      <c r="Q63" s="36"/>
      <c r="R63" s="36"/>
    </row>
    <row r="64" spans="1:18" x14ac:dyDescent="0.2">
      <c r="A64" s="58">
        <v>3</v>
      </c>
      <c r="B64" s="58" t="s">
        <v>74</v>
      </c>
      <c r="C64" s="59">
        <v>874</v>
      </c>
      <c r="D64" s="57">
        <v>1.2</v>
      </c>
      <c r="E64" s="57" t="s">
        <v>123</v>
      </c>
      <c r="F64" s="57" t="s">
        <v>123</v>
      </c>
      <c r="G64" s="8">
        <f t="shared" si="0"/>
        <v>1.2</v>
      </c>
      <c r="H64" s="8" t="s">
        <v>123</v>
      </c>
      <c r="I64" s="36"/>
      <c r="J64" s="36"/>
      <c r="K64" s="36"/>
      <c r="L64" s="36"/>
      <c r="M64" s="36"/>
      <c r="N64" s="36"/>
      <c r="O64" s="36"/>
      <c r="P64" s="36"/>
      <c r="Q64" s="36"/>
      <c r="R64" s="36"/>
    </row>
    <row r="65" spans="1:18" x14ac:dyDescent="0.2">
      <c r="A65" s="58">
        <v>3</v>
      </c>
      <c r="B65" s="58" t="s">
        <v>74</v>
      </c>
      <c r="C65" s="59">
        <v>877</v>
      </c>
      <c r="D65" s="57">
        <v>1.7</v>
      </c>
      <c r="E65" s="57" t="s">
        <v>123</v>
      </c>
      <c r="F65" s="57" t="s">
        <v>123</v>
      </c>
      <c r="G65" s="8">
        <f t="shared" si="0"/>
        <v>1.7</v>
      </c>
      <c r="H65" s="8" t="s">
        <v>123</v>
      </c>
      <c r="I65" s="36"/>
      <c r="J65" s="36"/>
      <c r="K65" s="36"/>
      <c r="L65" s="36"/>
      <c r="M65" s="36"/>
      <c r="N65" s="36"/>
      <c r="O65" s="36"/>
      <c r="P65" s="36"/>
      <c r="Q65" s="36"/>
      <c r="R65" s="36"/>
    </row>
    <row r="66" spans="1:18" x14ac:dyDescent="0.2">
      <c r="A66" s="58">
        <v>3</v>
      </c>
      <c r="B66" s="58" t="s">
        <v>74</v>
      </c>
      <c r="C66" s="59">
        <v>879</v>
      </c>
      <c r="D66" s="57">
        <v>1.1000000000000001</v>
      </c>
      <c r="E66" s="57" t="s">
        <v>123</v>
      </c>
      <c r="F66" s="57" t="s">
        <v>123</v>
      </c>
      <c r="G66" s="8">
        <f t="shared" si="0"/>
        <v>1.1000000000000001</v>
      </c>
      <c r="H66" s="8" t="s">
        <v>123</v>
      </c>
      <c r="I66" s="36"/>
      <c r="J66" s="36"/>
      <c r="K66" s="36"/>
      <c r="L66" s="36"/>
      <c r="M66" s="36"/>
      <c r="N66" s="36"/>
      <c r="O66" s="36"/>
      <c r="P66" s="36"/>
      <c r="Q66" s="36"/>
      <c r="R66" s="36"/>
    </row>
    <row r="67" spans="1:18" x14ac:dyDescent="0.2">
      <c r="A67" s="58">
        <v>3</v>
      </c>
      <c r="B67" s="58" t="s">
        <v>74</v>
      </c>
      <c r="C67" s="59">
        <v>887</v>
      </c>
      <c r="D67" s="57">
        <v>1.7</v>
      </c>
      <c r="E67" s="57" t="s">
        <v>123</v>
      </c>
      <c r="F67" s="57" t="s">
        <v>123</v>
      </c>
      <c r="G67" s="8">
        <f t="shared" si="0"/>
        <v>1.7</v>
      </c>
      <c r="H67" s="8" t="s">
        <v>123</v>
      </c>
      <c r="I67" s="36"/>
      <c r="J67" s="36"/>
      <c r="K67" s="36"/>
      <c r="L67" s="36"/>
      <c r="M67" s="36"/>
      <c r="N67" s="36"/>
      <c r="O67" s="36"/>
      <c r="P67" s="36"/>
      <c r="Q67" s="36"/>
      <c r="R67" s="36"/>
    </row>
    <row r="68" spans="1:18" x14ac:dyDescent="0.2">
      <c r="A68" s="58">
        <v>3</v>
      </c>
      <c r="B68" s="58" t="s">
        <v>74</v>
      </c>
      <c r="C68" s="59">
        <v>888</v>
      </c>
      <c r="D68" s="57">
        <v>0.7</v>
      </c>
      <c r="E68" s="57" t="s">
        <v>123</v>
      </c>
      <c r="F68" s="57" t="s">
        <v>123</v>
      </c>
      <c r="G68" s="8">
        <f t="shared" si="0"/>
        <v>0.7</v>
      </c>
      <c r="H68" s="8" t="s">
        <v>123</v>
      </c>
      <c r="I68" s="36"/>
      <c r="J68" s="36"/>
      <c r="K68" s="36"/>
      <c r="L68" s="36"/>
      <c r="M68" s="36"/>
      <c r="N68" s="36"/>
      <c r="O68" s="36"/>
      <c r="P68" s="36"/>
      <c r="Q68" s="36"/>
      <c r="R68" s="36"/>
    </row>
    <row r="69" spans="1:18" x14ac:dyDescent="0.2">
      <c r="A69" s="51">
        <v>4</v>
      </c>
      <c r="B69" s="51" t="s">
        <v>104</v>
      </c>
      <c r="C69" s="52" t="s">
        <v>105</v>
      </c>
      <c r="D69" s="57">
        <v>2.4</v>
      </c>
      <c r="E69" s="57" t="s">
        <v>123</v>
      </c>
      <c r="F69" s="57" t="s">
        <v>123</v>
      </c>
      <c r="G69" s="8">
        <f t="shared" si="0"/>
        <v>2.4</v>
      </c>
      <c r="H69" s="8" t="s">
        <v>123</v>
      </c>
      <c r="I69" s="36"/>
      <c r="J69" s="36"/>
      <c r="K69" s="36"/>
      <c r="L69" s="36"/>
      <c r="M69" s="36"/>
      <c r="N69" s="36"/>
      <c r="O69" s="36"/>
      <c r="P69" s="36"/>
      <c r="Q69" s="36"/>
      <c r="R69" s="36"/>
    </row>
    <row r="70" spans="1:18" x14ac:dyDescent="0.2">
      <c r="A70" s="51">
        <v>4</v>
      </c>
      <c r="B70" s="51" t="s">
        <v>104</v>
      </c>
      <c r="C70" s="52" t="s">
        <v>106</v>
      </c>
      <c r="D70" s="57">
        <v>2</v>
      </c>
      <c r="E70" s="57" t="s">
        <v>123</v>
      </c>
      <c r="F70" s="57" t="s">
        <v>123</v>
      </c>
      <c r="G70" s="8">
        <f t="shared" si="0"/>
        <v>2</v>
      </c>
      <c r="H70" s="8" t="s">
        <v>123</v>
      </c>
      <c r="I70" s="36"/>
      <c r="J70" s="36"/>
      <c r="K70" s="36"/>
      <c r="L70" s="36"/>
      <c r="M70" s="36"/>
      <c r="N70" s="36"/>
      <c r="O70" s="36"/>
      <c r="P70" s="36"/>
      <c r="Q70" s="36"/>
      <c r="R70" s="36"/>
    </row>
    <row r="71" spans="1:18" x14ac:dyDescent="0.2">
      <c r="A71" s="51">
        <v>4</v>
      </c>
      <c r="B71" s="51" t="s">
        <v>104</v>
      </c>
      <c r="C71" s="52" t="s">
        <v>107</v>
      </c>
      <c r="D71" s="57">
        <v>4.7</v>
      </c>
      <c r="E71" s="57" t="s">
        <v>123</v>
      </c>
      <c r="F71" s="57" t="s">
        <v>123</v>
      </c>
      <c r="G71" s="8">
        <f t="shared" si="0"/>
        <v>4.7</v>
      </c>
      <c r="H71" s="8" t="s">
        <v>123</v>
      </c>
      <c r="I71" s="36"/>
      <c r="J71" s="36"/>
      <c r="K71" s="36"/>
      <c r="L71" s="36"/>
      <c r="M71" s="36"/>
      <c r="N71" s="36"/>
      <c r="O71" s="36"/>
      <c r="P71" s="36"/>
      <c r="Q71" s="36"/>
      <c r="R71" s="36"/>
    </row>
    <row r="72" spans="1:18" x14ac:dyDescent="0.2">
      <c r="A72" s="51">
        <v>4</v>
      </c>
      <c r="B72" s="51" t="s">
        <v>104</v>
      </c>
      <c r="C72" s="52" t="s">
        <v>108</v>
      </c>
      <c r="D72" s="57">
        <v>1.7</v>
      </c>
      <c r="E72" s="57" t="s">
        <v>123</v>
      </c>
      <c r="F72" s="57" t="s">
        <v>123</v>
      </c>
      <c r="G72" s="8">
        <f t="shared" si="0"/>
        <v>1.7</v>
      </c>
      <c r="H72" s="8" t="s">
        <v>123</v>
      </c>
      <c r="I72" s="36"/>
      <c r="J72" s="36"/>
      <c r="K72" s="36"/>
      <c r="L72" s="36"/>
      <c r="M72" s="36"/>
      <c r="N72" s="36"/>
      <c r="O72" s="36"/>
      <c r="P72" s="36"/>
      <c r="Q72" s="36"/>
      <c r="R72" s="36"/>
    </row>
    <row r="73" spans="1:18" x14ac:dyDescent="0.2">
      <c r="A73" s="51">
        <v>4</v>
      </c>
      <c r="B73" s="51" t="s">
        <v>104</v>
      </c>
      <c r="C73" s="52" t="s">
        <v>109</v>
      </c>
      <c r="D73" s="57">
        <v>2.7</v>
      </c>
      <c r="E73" s="57" t="s">
        <v>123</v>
      </c>
      <c r="F73" s="57" t="s">
        <v>123</v>
      </c>
      <c r="G73" s="8">
        <f t="shared" ref="G73:G102" si="1">IF(D73="NA","NA",ROUND(AVERAGE(D73:F73),2))</f>
        <v>2.7</v>
      </c>
      <c r="H73" s="8" t="s">
        <v>123</v>
      </c>
      <c r="I73" s="36"/>
      <c r="J73" s="36"/>
      <c r="K73" s="36"/>
      <c r="L73" s="36"/>
      <c r="M73" s="36"/>
      <c r="N73" s="36"/>
      <c r="O73" s="36"/>
      <c r="P73" s="36"/>
      <c r="Q73" s="36"/>
      <c r="R73" s="36"/>
    </row>
    <row r="74" spans="1:18" x14ac:dyDescent="0.2">
      <c r="A74" s="51">
        <v>4</v>
      </c>
      <c r="B74" s="51" t="s">
        <v>104</v>
      </c>
      <c r="C74" s="52" t="s">
        <v>110</v>
      </c>
      <c r="D74" s="57">
        <v>2.1</v>
      </c>
      <c r="E74" s="57" t="s">
        <v>123</v>
      </c>
      <c r="F74" s="57" t="s">
        <v>123</v>
      </c>
      <c r="G74" s="8">
        <f t="shared" si="1"/>
        <v>2.1</v>
      </c>
      <c r="H74" s="8" t="s">
        <v>123</v>
      </c>
      <c r="I74" s="36"/>
      <c r="J74" s="36"/>
      <c r="K74" s="36"/>
      <c r="L74" s="36"/>
      <c r="M74" s="36"/>
      <c r="N74" s="36"/>
      <c r="O74" s="36"/>
      <c r="P74" s="36"/>
      <c r="Q74" s="36"/>
      <c r="R74" s="36"/>
    </row>
    <row r="75" spans="1:18" x14ac:dyDescent="0.2">
      <c r="A75" s="51">
        <v>4</v>
      </c>
      <c r="B75" s="51" t="s">
        <v>104</v>
      </c>
      <c r="C75" s="52" t="s">
        <v>111</v>
      </c>
      <c r="D75" s="57">
        <v>1.4</v>
      </c>
      <c r="E75" s="57" t="s">
        <v>123</v>
      </c>
      <c r="F75" s="57" t="s">
        <v>123</v>
      </c>
      <c r="G75" s="8">
        <f t="shared" si="1"/>
        <v>1.4</v>
      </c>
      <c r="H75" s="8" t="s">
        <v>123</v>
      </c>
      <c r="I75" s="36"/>
      <c r="J75" s="36"/>
      <c r="K75" s="36"/>
      <c r="L75" s="36"/>
      <c r="M75" s="36"/>
      <c r="N75" s="36"/>
      <c r="O75" s="36"/>
      <c r="P75" s="36"/>
      <c r="Q75" s="36"/>
      <c r="R75" s="36"/>
    </row>
    <row r="76" spans="1:18" x14ac:dyDescent="0.2">
      <c r="A76" s="51">
        <v>4</v>
      </c>
      <c r="B76" s="51" t="s">
        <v>104</v>
      </c>
      <c r="C76" s="52" t="s">
        <v>112</v>
      </c>
      <c r="D76" s="57">
        <v>2.2999999999999998</v>
      </c>
      <c r="E76" s="57" t="s">
        <v>123</v>
      </c>
      <c r="F76" s="57" t="s">
        <v>123</v>
      </c>
      <c r="G76" s="8">
        <f t="shared" si="1"/>
        <v>2.2999999999999998</v>
      </c>
      <c r="H76" s="8" t="s">
        <v>123</v>
      </c>
      <c r="I76" s="36"/>
      <c r="J76" s="36"/>
      <c r="K76" s="36"/>
      <c r="L76" s="36"/>
      <c r="M76" s="36"/>
      <c r="N76" s="36"/>
      <c r="O76" s="36"/>
      <c r="P76" s="36"/>
      <c r="Q76" s="36"/>
      <c r="R76" s="36"/>
    </row>
    <row r="77" spans="1:18" x14ac:dyDescent="0.2">
      <c r="A77" s="51">
        <v>4</v>
      </c>
      <c r="B77" s="51" t="s">
        <v>104</v>
      </c>
      <c r="C77" s="52" t="s">
        <v>113</v>
      </c>
      <c r="D77" s="57">
        <v>2.6</v>
      </c>
      <c r="E77" s="57" t="s">
        <v>123</v>
      </c>
      <c r="F77" s="57" t="s">
        <v>123</v>
      </c>
      <c r="G77" s="8">
        <f t="shared" si="1"/>
        <v>2.6</v>
      </c>
      <c r="H77" s="8" t="s">
        <v>123</v>
      </c>
      <c r="I77" s="36"/>
      <c r="J77" s="36"/>
      <c r="K77" s="36"/>
      <c r="L77" s="36"/>
      <c r="M77" s="36"/>
      <c r="N77" s="36"/>
      <c r="O77" s="36"/>
      <c r="P77" s="36"/>
      <c r="Q77" s="36"/>
      <c r="R77" s="36"/>
    </row>
    <row r="78" spans="1:18" x14ac:dyDescent="0.2">
      <c r="A78" s="51">
        <v>4</v>
      </c>
      <c r="B78" s="51" t="s">
        <v>104</v>
      </c>
      <c r="C78" s="52" t="s">
        <v>114</v>
      </c>
      <c r="D78" s="57">
        <v>2.1</v>
      </c>
      <c r="E78" s="57" t="s">
        <v>123</v>
      </c>
      <c r="F78" s="57" t="s">
        <v>123</v>
      </c>
      <c r="G78" s="8">
        <f t="shared" si="1"/>
        <v>2.1</v>
      </c>
      <c r="H78" s="8" t="s">
        <v>123</v>
      </c>
      <c r="I78" s="36"/>
      <c r="J78" s="36"/>
      <c r="K78" s="36"/>
      <c r="L78" s="36"/>
      <c r="M78" s="36"/>
      <c r="N78" s="36"/>
      <c r="O78" s="36"/>
      <c r="P78" s="36"/>
      <c r="Q78" s="36"/>
      <c r="R78" s="36"/>
    </row>
    <row r="79" spans="1:18" x14ac:dyDescent="0.2">
      <c r="A79" s="51">
        <v>4</v>
      </c>
      <c r="B79" s="51" t="s">
        <v>104</v>
      </c>
      <c r="C79" s="52" t="s">
        <v>115</v>
      </c>
      <c r="D79" s="57">
        <v>3</v>
      </c>
      <c r="E79" s="57" t="s">
        <v>123</v>
      </c>
      <c r="F79" s="57" t="s">
        <v>123</v>
      </c>
      <c r="G79" s="8">
        <f t="shared" si="1"/>
        <v>3</v>
      </c>
      <c r="H79" s="8" t="s">
        <v>123</v>
      </c>
      <c r="I79" s="36"/>
      <c r="J79" s="36"/>
      <c r="K79" s="36"/>
      <c r="L79" s="36"/>
      <c r="M79" s="36"/>
      <c r="N79" s="36"/>
      <c r="O79" s="36"/>
      <c r="P79" s="36"/>
      <c r="Q79" s="36"/>
      <c r="R79" s="36"/>
    </row>
    <row r="80" spans="1:18" x14ac:dyDescent="0.2">
      <c r="A80" s="51">
        <v>4</v>
      </c>
      <c r="B80" s="51" t="s">
        <v>104</v>
      </c>
      <c r="C80" s="52" t="s">
        <v>116</v>
      </c>
      <c r="D80" s="57">
        <v>1.9</v>
      </c>
      <c r="E80" s="57" t="s">
        <v>123</v>
      </c>
      <c r="F80" s="57" t="s">
        <v>123</v>
      </c>
      <c r="G80" s="8">
        <f t="shared" si="1"/>
        <v>1.9</v>
      </c>
      <c r="H80" s="8" t="s">
        <v>123</v>
      </c>
      <c r="I80" s="36"/>
      <c r="J80" s="36"/>
      <c r="K80" s="36"/>
      <c r="L80" s="36"/>
      <c r="M80" s="36"/>
      <c r="N80" s="36"/>
      <c r="O80" s="36"/>
      <c r="P80" s="36"/>
      <c r="Q80" s="36"/>
      <c r="R80" s="36"/>
    </row>
    <row r="81" spans="1:18" x14ac:dyDescent="0.2">
      <c r="A81" s="51">
        <v>4</v>
      </c>
      <c r="B81" s="51" t="s">
        <v>104</v>
      </c>
      <c r="C81" s="52" t="s">
        <v>117</v>
      </c>
      <c r="D81" s="57">
        <v>2.5</v>
      </c>
      <c r="E81" s="57" t="s">
        <v>123</v>
      </c>
      <c r="F81" s="57" t="s">
        <v>123</v>
      </c>
      <c r="G81" s="8">
        <f t="shared" si="1"/>
        <v>2.5</v>
      </c>
      <c r="H81" s="8" t="s">
        <v>123</v>
      </c>
      <c r="I81" s="36"/>
      <c r="J81" s="36"/>
      <c r="K81" s="36"/>
      <c r="L81" s="36"/>
      <c r="M81" s="36"/>
      <c r="N81" s="36"/>
      <c r="O81" s="36"/>
      <c r="P81" s="36"/>
      <c r="Q81" s="36"/>
      <c r="R81" s="36"/>
    </row>
    <row r="82" spans="1:18" x14ac:dyDescent="0.2">
      <c r="A82" s="51">
        <v>4</v>
      </c>
      <c r="B82" s="51" t="s">
        <v>104</v>
      </c>
      <c r="C82" s="52" t="s">
        <v>118</v>
      </c>
      <c r="D82" s="57">
        <v>2.7</v>
      </c>
      <c r="E82" s="57" t="s">
        <v>123</v>
      </c>
      <c r="F82" s="57" t="s">
        <v>123</v>
      </c>
      <c r="G82" s="8">
        <f t="shared" si="1"/>
        <v>2.7</v>
      </c>
      <c r="H82" s="8" t="s">
        <v>123</v>
      </c>
      <c r="I82" s="36"/>
      <c r="J82" s="36"/>
      <c r="K82" s="36"/>
      <c r="L82" s="36"/>
      <c r="M82" s="36"/>
      <c r="N82" s="36"/>
      <c r="O82" s="36"/>
      <c r="P82" s="36"/>
      <c r="Q82" s="36"/>
      <c r="R82" s="36"/>
    </row>
    <row r="83" spans="1:18" x14ac:dyDescent="0.2">
      <c r="A83" s="51">
        <v>4</v>
      </c>
      <c r="B83" s="51" t="s">
        <v>104</v>
      </c>
      <c r="C83" s="52" t="s">
        <v>119</v>
      </c>
      <c r="D83" s="57" t="s">
        <v>123</v>
      </c>
      <c r="E83" s="57" t="s">
        <v>123</v>
      </c>
      <c r="F83" s="57" t="s">
        <v>123</v>
      </c>
      <c r="G83" s="8" t="str">
        <f t="shared" si="1"/>
        <v>NA</v>
      </c>
      <c r="H83" s="8" t="s">
        <v>123</v>
      </c>
      <c r="I83" s="36"/>
      <c r="J83" s="36"/>
      <c r="K83" s="36"/>
      <c r="L83" s="36"/>
      <c r="M83" s="36"/>
      <c r="N83" s="36"/>
      <c r="O83" s="36"/>
      <c r="P83" s="36"/>
      <c r="Q83" s="36"/>
      <c r="R83" s="36"/>
    </row>
    <row r="84" spans="1:18" x14ac:dyDescent="0.2">
      <c r="A84" s="51">
        <v>4</v>
      </c>
      <c r="B84" s="51" t="s">
        <v>104</v>
      </c>
      <c r="C84" s="52" t="s">
        <v>120</v>
      </c>
      <c r="D84" s="57">
        <v>2.2999999999999998</v>
      </c>
      <c r="E84" s="57" t="s">
        <v>123</v>
      </c>
      <c r="F84" s="57" t="s">
        <v>123</v>
      </c>
      <c r="G84" s="8">
        <f t="shared" si="1"/>
        <v>2.2999999999999998</v>
      </c>
      <c r="H84" s="8" t="s">
        <v>123</v>
      </c>
      <c r="I84" s="36"/>
      <c r="J84" s="36"/>
      <c r="K84" s="36"/>
      <c r="L84" s="36"/>
      <c r="M84" s="36"/>
      <c r="N84" s="36"/>
      <c r="O84" s="36"/>
      <c r="P84" s="36"/>
      <c r="Q84" s="36"/>
      <c r="R84" s="36"/>
    </row>
    <row r="85" spans="1:18" x14ac:dyDescent="0.2">
      <c r="A85" s="51">
        <v>4</v>
      </c>
      <c r="B85" s="51" t="s">
        <v>104</v>
      </c>
      <c r="C85" s="52" t="s">
        <v>121</v>
      </c>
      <c r="D85" s="57" t="s">
        <v>123</v>
      </c>
      <c r="E85" s="57" t="s">
        <v>123</v>
      </c>
      <c r="F85" s="57" t="s">
        <v>123</v>
      </c>
      <c r="G85" s="8" t="str">
        <f t="shared" si="1"/>
        <v>NA</v>
      </c>
      <c r="H85" s="8" t="s">
        <v>123</v>
      </c>
      <c r="I85" s="36"/>
      <c r="J85" s="36"/>
      <c r="K85" s="36"/>
      <c r="L85" s="36"/>
      <c r="M85" s="36"/>
      <c r="N85" s="36"/>
      <c r="O85" s="36"/>
      <c r="P85" s="36"/>
      <c r="Q85" s="36"/>
      <c r="R85" s="36"/>
    </row>
    <row r="86" spans="1:18" x14ac:dyDescent="0.2">
      <c r="A86" s="51">
        <v>4</v>
      </c>
      <c r="B86" s="51" t="s">
        <v>104</v>
      </c>
      <c r="C86" s="52" t="s">
        <v>122</v>
      </c>
      <c r="D86" s="57" t="s">
        <v>123</v>
      </c>
      <c r="E86" s="57" t="s">
        <v>123</v>
      </c>
      <c r="F86" s="57" t="s">
        <v>123</v>
      </c>
      <c r="G86" s="8" t="str">
        <f t="shared" si="1"/>
        <v>NA</v>
      </c>
      <c r="H86" s="8" t="s">
        <v>123</v>
      </c>
      <c r="I86" s="36"/>
      <c r="J86" s="36"/>
      <c r="K86" s="36"/>
      <c r="L86" s="36"/>
      <c r="M86" s="36"/>
      <c r="N86" s="36"/>
      <c r="O86" s="36"/>
      <c r="P86" s="36"/>
      <c r="Q86" s="36"/>
      <c r="R86" s="36"/>
    </row>
    <row r="87" spans="1:18" x14ac:dyDescent="0.2">
      <c r="A87" s="51">
        <v>4</v>
      </c>
      <c r="B87" s="51" t="s">
        <v>104</v>
      </c>
      <c r="C87" s="52" t="s">
        <v>124</v>
      </c>
      <c r="D87" s="57">
        <v>2</v>
      </c>
      <c r="E87" s="57" t="s">
        <v>123</v>
      </c>
      <c r="F87" s="57" t="s">
        <v>123</v>
      </c>
      <c r="G87" s="8">
        <f t="shared" si="1"/>
        <v>2</v>
      </c>
      <c r="H87" s="8" t="s">
        <v>123</v>
      </c>
      <c r="I87" s="36"/>
      <c r="J87" s="36"/>
      <c r="K87" s="36"/>
      <c r="L87" s="36"/>
      <c r="M87" s="36"/>
      <c r="N87" s="36"/>
      <c r="O87" s="36"/>
      <c r="P87" s="36"/>
      <c r="Q87" s="36"/>
      <c r="R87" s="36"/>
    </row>
    <row r="88" spans="1:18" x14ac:dyDescent="0.2">
      <c r="A88" s="51">
        <v>4</v>
      </c>
      <c r="B88" s="51" t="s">
        <v>104</v>
      </c>
      <c r="C88" s="52" t="s">
        <v>125</v>
      </c>
      <c r="D88" s="57">
        <v>1.6</v>
      </c>
      <c r="E88" s="57" t="s">
        <v>123</v>
      </c>
      <c r="F88" s="57" t="s">
        <v>123</v>
      </c>
      <c r="G88" s="8">
        <f t="shared" si="1"/>
        <v>1.6</v>
      </c>
      <c r="H88" s="8" t="s">
        <v>123</v>
      </c>
      <c r="I88" s="36"/>
      <c r="J88" s="36"/>
      <c r="K88" s="36"/>
      <c r="L88" s="36"/>
      <c r="M88" s="36"/>
      <c r="N88" s="36"/>
      <c r="O88" s="36"/>
      <c r="P88" s="36"/>
      <c r="Q88" s="36"/>
      <c r="R88" s="36"/>
    </row>
    <row r="89" spans="1:18" x14ac:dyDescent="0.2">
      <c r="A89" s="51">
        <v>4</v>
      </c>
      <c r="B89" s="51" t="s">
        <v>104</v>
      </c>
      <c r="C89" s="52" t="s">
        <v>126</v>
      </c>
      <c r="D89" s="57">
        <v>1.7</v>
      </c>
      <c r="E89" s="57" t="s">
        <v>123</v>
      </c>
      <c r="F89" s="57" t="s">
        <v>123</v>
      </c>
      <c r="G89" s="8">
        <f t="shared" si="1"/>
        <v>1.7</v>
      </c>
      <c r="H89" s="8" t="s">
        <v>123</v>
      </c>
      <c r="I89" s="36"/>
      <c r="J89" s="36"/>
      <c r="K89" s="36"/>
      <c r="L89" s="36"/>
      <c r="M89" s="36"/>
      <c r="N89" s="36"/>
      <c r="O89" s="36"/>
      <c r="P89" s="36"/>
      <c r="Q89" s="36"/>
      <c r="R89" s="36"/>
    </row>
    <row r="90" spans="1:18" x14ac:dyDescent="0.2">
      <c r="A90" s="51">
        <v>4</v>
      </c>
      <c r="B90" s="51" t="s">
        <v>104</v>
      </c>
      <c r="C90" s="52" t="s">
        <v>127</v>
      </c>
      <c r="D90" s="57" t="s">
        <v>123</v>
      </c>
      <c r="E90" s="57" t="s">
        <v>123</v>
      </c>
      <c r="F90" s="57" t="s">
        <v>123</v>
      </c>
      <c r="G90" s="8" t="str">
        <f t="shared" si="1"/>
        <v>NA</v>
      </c>
      <c r="H90" s="8" t="s">
        <v>123</v>
      </c>
      <c r="I90" s="36"/>
      <c r="J90" s="36"/>
      <c r="K90" s="36"/>
      <c r="L90" s="36"/>
      <c r="M90" s="36"/>
      <c r="N90" s="36"/>
      <c r="O90" s="36"/>
      <c r="P90" s="36"/>
      <c r="Q90" s="36"/>
      <c r="R90" s="36"/>
    </row>
    <row r="91" spans="1:18" x14ac:dyDescent="0.2">
      <c r="A91" s="51">
        <v>4</v>
      </c>
      <c r="B91" s="51" t="s">
        <v>104</v>
      </c>
      <c r="C91" s="52" t="s">
        <v>128</v>
      </c>
      <c r="D91" s="57">
        <v>2.1</v>
      </c>
      <c r="E91" s="57" t="s">
        <v>123</v>
      </c>
      <c r="F91" s="57" t="s">
        <v>123</v>
      </c>
      <c r="G91" s="8">
        <f t="shared" si="1"/>
        <v>2.1</v>
      </c>
      <c r="H91" s="8" t="s">
        <v>123</v>
      </c>
      <c r="I91" s="36"/>
      <c r="J91" s="36"/>
      <c r="K91" s="36"/>
      <c r="L91" s="36"/>
      <c r="M91" s="36"/>
      <c r="N91" s="36"/>
      <c r="O91" s="36"/>
      <c r="P91" s="36"/>
      <c r="Q91" s="36"/>
      <c r="R91" s="36"/>
    </row>
    <row r="92" spans="1:18" x14ac:dyDescent="0.2">
      <c r="A92" s="51">
        <v>4</v>
      </c>
      <c r="B92" s="51" t="s">
        <v>104</v>
      </c>
      <c r="C92" s="52" t="s">
        <v>129</v>
      </c>
      <c r="D92" s="57">
        <v>2</v>
      </c>
      <c r="E92" s="57" t="s">
        <v>123</v>
      </c>
      <c r="F92" s="57" t="s">
        <v>123</v>
      </c>
      <c r="G92" s="8">
        <f t="shared" si="1"/>
        <v>2</v>
      </c>
      <c r="H92" s="8" t="s">
        <v>123</v>
      </c>
      <c r="I92" s="36"/>
      <c r="J92" s="36"/>
      <c r="K92" s="36"/>
      <c r="L92" s="36"/>
      <c r="M92" s="36"/>
      <c r="N92" s="36"/>
      <c r="O92" s="36"/>
      <c r="P92" s="36"/>
      <c r="Q92" s="36"/>
      <c r="R92" s="36"/>
    </row>
    <row r="93" spans="1:18" x14ac:dyDescent="0.2">
      <c r="A93" s="51">
        <v>4</v>
      </c>
      <c r="B93" s="51" t="s">
        <v>104</v>
      </c>
      <c r="C93" s="52" t="s">
        <v>130</v>
      </c>
      <c r="D93" s="57">
        <v>1.9</v>
      </c>
      <c r="E93" s="57" t="s">
        <v>123</v>
      </c>
      <c r="F93" s="57" t="s">
        <v>123</v>
      </c>
      <c r="G93" s="8">
        <f t="shared" si="1"/>
        <v>1.9</v>
      </c>
      <c r="H93" s="8" t="s">
        <v>123</v>
      </c>
      <c r="I93" s="36"/>
      <c r="J93" s="36"/>
      <c r="K93" s="36"/>
      <c r="L93" s="36"/>
      <c r="M93" s="36"/>
      <c r="N93" s="36"/>
      <c r="O93" s="36"/>
      <c r="P93" s="36"/>
      <c r="Q93" s="36"/>
      <c r="R93" s="36"/>
    </row>
    <row r="94" spans="1:18" x14ac:dyDescent="0.2">
      <c r="A94" s="51">
        <v>4</v>
      </c>
      <c r="B94" s="51" t="s">
        <v>104</v>
      </c>
      <c r="C94" s="52" t="s">
        <v>131</v>
      </c>
      <c r="D94" s="57">
        <v>2.5</v>
      </c>
      <c r="E94" s="57" t="s">
        <v>123</v>
      </c>
      <c r="F94" s="57" t="s">
        <v>123</v>
      </c>
      <c r="G94" s="8">
        <f t="shared" si="1"/>
        <v>2.5</v>
      </c>
      <c r="H94" s="8" t="s">
        <v>123</v>
      </c>
      <c r="I94" s="36"/>
      <c r="J94" s="36"/>
      <c r="K94" s="36"/>
      <c r="L94" s="36"/>
      <c r="M94" s="36"/>
      <c r="N94" s="36"/>
      <c r="O94" s="36"/>
      <c r="P94" s="36"/>
      <c r="Q94" s="36"/>
      <c r="R94" s="36"/>
    </row>
    <row r="95" spans="1:18" x14ac:dyDescent="0.2">
      <c r="A95" s="51">
        <v>4</v>
      </c>
      <c r="B95" s="51" t="s">
        <v>104</v>
      </c>
      <c r="C95" s="52" t="s">
        <v>132</v>
      </c>
      <c r="D95" s="57">
        <v>2</v>
      </c>
      <c r="E95" s="57" t="s">
        <v>123</v>
      </c>
      <c r="F95" s="57" t="s">
        <v>123</v>
      </c>
      <c r="G95" s="8">
        <f t="shared" si="1"/>
        <v>2</v>
      </c>
      <c r="H95" s="8" t="s">
        <v>123</v>
      </c>
      <c r="I95" s="36"/>
      <c r="J95" s="36"/>
      <c r="K95" s="36"/>
      <c r="L95" s="36"/>
      <c r="M95" s="36"/>
      <c r="N95" s="36"/>
      <c r="O95" s="36"/>
      <c r="P95" s="36"/>
      <c r="Q95" s="36"/>
      <c r="R95" s="36"/>
    </row>
    <row r="96" spans="1:18" x14ac:dyDescent="0.2">
      <c r="A96" s="51">
        <v>4</v>
      </c>
      <c r="B96" s="51" t="s">
        <v>104</v>
      </c>
      <c r="C96" s="52" t="s">
        <v>133</v>
      </c>
      <c r="D96" s="57">
        <v>2.4</v>
      </c>
      <c r="E96" s="57" t="s">
        <v>123</v>
      </c>
      <c r="F96" s="57" t="s">
        <v>123</v>
      </c>
      <c r="G96" s="8">
        <f t="shared" si="1"/>
        <v>2.4</v>
      </c>
      <c r="H96" s="8" t="s">
        <v>123</v>
      </c>
      <c r="I96" s="36"/>
      <c r="J96" s="36"/>
      <c r="K96" s="36"/>
      <c r="L96" s="36"/>
      <c r="M96" s="36"/>
      <c r="N96" s="36"/>
      <c r="O96" s="36"/>
      <c r="P96" s="36"/>
      <c r="Q96" s="36"/>
      <c r="R96" s="36"/>
    </row>
    <row r="97" spans="1:18" x14ac:dyDescent="0.2">
      <c r="A97" s="51">
        <v>4</v>
      </c>
      <c r="B97" s="51" t="s">
        <v>104</v>
      </c>
      <c r="C97" s="52" t="s">
        <v>134</v>
      </c>
      <c r="D97" s="57">
        <v>1.9</v>
      </c>
      <c r="E97" s="57" t="s">
        <v>123</v>
      </c>
      <c r="F97" s="57" t="s">
        <v>123</v>
      </c>
      <c r="G97" s="8">
        <f t="shared" si="1"/>
        <v>1.9</v>
      </c>
      <c r="H97" s="8" t="s">
        <v>123</v>
      </c>
      <c r="I97" s="36"/>
      <c r="J97" s="36"/>
      <c r="K97" s="36"/>
      <c r="L97" s="36"/>
      <c r="M97" s="36"/>
      <c r="N97" s="36"/>
      <c r="O97" s="36"/>
      <c r="P97" s="36"/>
      <c r="Q97" s="36"/>
      <c r="R97" s="36"/>
    </row>
    <row r="98" spans="1:18" x14ac:dyDescent="0.2">
      <c r="A98" s="53">
        <v>4</v>
      </c>
      <c r="B98" s="51" t="s">
        <v>104</v>
      </c>
      <c r="C98" s="51" t="s">
        <v>135</v>
      </c>
      <c r="D98" s="57">
        <v>1.9</v>
      </c>
      <c r="E98" s="57" t="s">
        <v>123</v>
      </c>
      <c r="F98" s="57" t="s">
        <v>123</v>
      </c>
      <c r="G98" s="8">
        <f t="shared" si="1"/>
        <v>1.9</v>
      </c>
      <c r="H98" s="8" t="s">
        <v>123</v>
      </c>
      <c r="I98" s="36"/>
      <c r="J98" s="36"/>
      <c r="K98" s="36"/>
      <c r="L98" s="36"/>
      <c r="M98" s="36"/>
      <c r="N98" s="36"/>
      <c r="O98" s="36"/>
      <c r="P98" s="36"/>
      <c r="Q98" s="36"/>
      <c r="R98" s="36"/>
    </row>
    <row r="99" spans="1:18" x14ac:dyDescent="0.2">
      <c r="A99" s="53">
        <v>4</v>
      </c>
      <c r="B99" s="51" t="s">
        <v>104</v>
      </c>
      <c r="C99" s="51" t="s">
        <v>136</v>
      </c>
      <c r="D99" s="57">
        <v>2.1</v>
      </c>
      <c r="E99" s="57" t="s">
        <v>123</v>
      </c>
      <c r="F99" s="57" t="s">
        <v>123</v>
      </c>
      <c r="G99" s="8">
        <f t="shared" si="1"/>
        <v>2.1</v>
      </c>
      <c r="H99" s="8" t="s">
        <v>123</v>
      </c>
      <c r="I99" s="36"/>
      <c r="J99" s="36"/>
      <c r="K99" s="36"/>
      <c r="L99" s="36"/>
      <c r="M99" s="36"/>
      <c r="N99" s="36"/>
      <c r="O99" s="36"/>
      <c r="P99" s="36"/>
      <c r="Q99" s="36"/>
      <c r="R99" s="36"/>
    </row>
    <row r="100" spans="1:18" x14ac:dyDescent="0.2">
      <c r="A100" s="53">
        <v>4</v>
      </c>
      <c r="B100" s="51" t="s">
        <v>104</v>
      </c>
      <c r="C100" s="51" t="s">
        <v>137</v>
      </c>
      <c r="D100" s="57" t="s">
        <v>123</v>
      </c>
      <c r="E100" s="57" t="s">
        <v>123</v>
      </c>
      <c r="F100" s="57" t="s">
        <v>123</v>
      </c>
      <c r="G100" s="8" t="str">
        <f t="shared" si="1"/>
        <v>NA</v>
      </c>
      <c r="H100" s="8" t="s">
        <v>123</v>
      </c>
      <c r="I100" s="36"/>
      <c r="J100" s="36"/>
      <c r="K100" s="36"/>
      <c r="L100" s="36"/>
      <c r="M100" s="36"/>
      <c r="N100" s="36"/>
      <c r="O100" s="36"/>
      <c r="P100" s="36"/>
      <c r="Q100" s="36"/>
      <c r="R100" s="36"/>
    </row>
    <row r="101" spans="1:18" x14ac:dyDescent="0.2">
      <c r="A101" s="53">
        <v>4</v>
      </c>
      <c r="B101" s="51" t="s">
        <v>104</v>
      </c>
      <c r="C101" s="51" t="s">
        <v>138</v>
      </c>
      <c r="D101" s="57" t="s">
        <v>123</v>
      </c>
      <c r="E101" s="57" t="s">
        <v>123</v>
      </c>
      <c r="F101" s="57" t="s">
        <v>123</v>
      </c>
      <c r="G101" s="8" t="str">
        <f t="shared" si="1"/>
        <v>NA</v>
      </c>
      <c r="H101" s="8" t="s">
        <v>123</v>
      </c>
      <c r="I101" s="36"/>
      <c r="J101" s="36"/>
      <c r="K101" s="36"/>
      <c r="L101" s="36"/>
      <c r="M101" s="36"/>
      <c r="N101" s="36"/>
      <c r="O101" s="36"/>
      <c r="P101" s="36"/>
      <c r="Q101" s="36"/>
      <c r="R101" s="36"/>
    </row>
    <row r="102" spans="1:18" x14ac:dyDescent="0.2">
      <c r="A102" s="53">
        <v>4</v>
      </c>
      <c r="B102" s="51" t="s">
        <v>104</v>
      </c>
      <c r="C102" s="51" t="s">
        <v>139</v>
      </c>
      <c r="D102" s="57" t="s">
        <v>123</v>
      </c>
      <c r="E102" s="57" t="s">
        <v>123</v>
      </c>
      <c r="F102" s="57" t="s">
        <v>123</v>
      </c>
      <c r="G102" s="8" t="str">
        <f t="shared" si="1"/>
        <v>NA</v>
      </c>
      <c r="H102" s="8" t="s">
        <v>123</v>
      </c>
      <c r="I102" s="36"/>
      <c r="J102" s="36"/>
      <c r="K102" s="36"/>
      <c r="L102" s="36"/>
      <c r="M102" s="36"/>
      <c r="N102" s="36"/>
      <c r="O102" s="36"/>
      <c r="P102" s="36"/>
      <c r="Q102" s="36"/>
      <c r="R102" s="36"/>
    </row>
  </sheetData>
  <pageMargins left="0.7" right="0.7" top="0.75" bottom="0.75" header="0.3" footer="0.3"/>
  <pageSetup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D8126-B905-5B47-88B9-CBAD21C578A2}">
  <dimension ref="A1:S102"/>
  <sheetViews>
    <sheetView topLeftCell="A81" workbookViewId="0">
      <selection activeCell="H102" sqref="H9:H102"/>
    </sheetView>
  </sheetViews>
  <sheetFormatPr baseColWidth="10" defaultColWidth="11.5" defaultRowHeight="15" x14ac:dyDescent="0.2"/>
  <sheetData>
    <row r="1" spans="1:19" ht="19" x14ac:dyDescent="0.25">
      <c r="A1" s="35" t="s">
        <v>0</v>
      </c>
      <c r="B1" s="35"/>
      <c r="C1" s="35"/>
      <c r="D1" s="35"/>
      <c r="E1" s="35"/>
      <c r="F1" s="35"/>
      <c r="G1" s="35"/>
      <c r="H1" s="35"/>
      <c r="I1" s="35"/>
      <c r="J1" s="35"/>
      <c r="K1" s="36"/>
      <c r="L1" s="35"/>
      <c r="M1" s="36"/>
      <c r="N1" s="36"/>
      <c r="O1" s="36"/>
      <c r="P1" s="36"/>
      <c r="Q1" s="36"/>
      <c r="R1" s="36"/>
      <c r="S1" s="36"/>
    </row>
    <row r="2" spans="1:19" ht="19" x14ac:dyDescent="0.25">
      <c r="A2" s="35"/>
      <c r="B2" s="35"/>
      <c r="C2" s="35"/>
      <c r="D2" s="35"/>
      <c r="E2" s="35"/>
      <c r="F2" s="36"/>
      <c r="G2" s="35"/>
      <c r="H2" s="35"/>
      <c r="I2" s="35"/>
      <c r="J2" s="35"/>
      <c r="K2" s="35"/>
      <c r="L2" s="36"/>
      <c r="M2" s="36"/>
      <c r="N2" s="36"/>
      <c r="O2" s="36"/>
      <c r="P2" s="36"/>
      <c r="Q2" s="36"/>
      <c r="R2" s="36"/>
    </row>
    <row r="3" spans="1:19" ht="19" x14ac:dyDescent="0.25">
      <c r="A3" s="35" t="s">
        <v>178</v>
      </c>
      <c r="B3" s="35"/>
      <c r="C3" s="35"/>
      <c r="D3" s="35"/>
      <c r="E3" s="35"/>
      <c r="F3" s="36"/>
      <c r="G3" s="35"/>
      <c r="H3" s="35"/>
      <c r="I3" s="35"/>
      <c r="J3" s="35"/>
      <c r="K3" s="35"/>
      <c r="L3" s="36"/>
      <c r="M3" s="36"/>
      <c r="N3" s="36"/>
      <c r="O3" s="36"/>
      <c r="P3" s="36"/>
      <c r="Q3" s="36"/>
      <c r="R3" s="36"/>
    </row>
    <row r="4" spans="1:19" ht="19" x14ac:dyDescent="0.25">
      <c r="A4" s="35"/>
      <c r="B4" s="35"/>
      <c r="C4" s="35"/>
      <c r="D4" s="35"/>
      <c r="E4" s="35"/>
      <c r="F4" s="36"/>
      <c r="G4" s="35"/>
      <c r="H4" s="35"/>
      <c r="I4" s="35"/>
      <c r="J4" s="35"/>
      <c r="K4" s="35"/>
      <c r="L4" s="36"/>
      <c r="M4" s="36"/>
      <c r="N4" s="36"/>
      <c r="O4" s="36"/>
      <c r="P4" s="36"/>
      <c r="Q4" s="36"/>
      <c r="R4" s="36"/>
    </row>
    <row r="5" spans="1:19" ht="19" x14ac:dyDescent="0.25">
      <c r="A5" s="35" t="s">
        <v>179</v>
      </c>
      <c r="B5" s="35"/>
      <c r="C5" s="35"/>
      <c r="D5" s="35"/>
      <c r="E5" s="35"/>
      <c r="F5" s="36"/>
      <c r="G5" s="35"/>
      <c r="H5" s="35"/>
      <c r="I5" s="35"/>
      <c r="J5" s="35"/>
      <c r="K5" s="35"/>
      <c r="L5" s="36"/>
      <c r="M5" s="36"/>
      <c r="N5" s="36"/>
      <c r="O5" s="36"/>
      <c r="P5" s="36"/>
      <c r="Q5" s="36"/>
      <c r="R5" s="36"/>
    </row>
    <row r="6" spans="1:19" ht="19" x14ac:dyDescent="0.25">
      <c r="A6" s="35" t="s">
        <v>3</v>
      </c>
      <c r="B6" s="35"/>
      <c r="C6" s="35"/>
      <c r="D6" s="35"/>
      <c r="E6" s="35"/>
      <c r="F6" s="36"/>
      <c r="G6" s="35"/>
      <c r="H6" s="35"/>
      <c r="I6" s="35"/>
      <c r="J6" s="35"/>
      <c r="K6" s="35"/>
      <c r="L6" s="36"/>
      <c r="M6" s="36"/>
      <c r="N6" s="36"/>
      <c r="O6" s="36"/>
      <c r="P6" s="36"/>
      <c r="Q6" s="36"/>
      <c r="R6" s="36"/>
    </row>
    <row r="7" spans="1:19" x14ac:dyDescent="0.2">
      <c r="A7" s="36"/>
      <c r="B7" s="36"/>
      <c r="C7" s="36"/>
      <c r="D7" s="36"/>
      <c r="E7" s="36"/>
      <c r="F7" s="36"/>
      <c r="G7" s="36"/>
      <c r="H7" s="36"/>
      <c r="I7" s="36"/>
      <c r="J7" s="36"/>
      <c r="K7" s="36"/>
      <c r="L7" s="36"/>
      <c r="M7" s="36"/>
      <c r="N7" s="36"/>
      <c r="O7" s="36"/>
      <c r="P7" s="36"/>
      <c r="Q7" s="36"/>
      <c r="R7" s="36"/>
    </row>
    <row r="8" spans="1:19" ht="28" thickBot="1" x14ac:dyDescent="0.25">
      <c r="A8" s="37" t="s">
        <v>4</v>
      </c>
      <c r="B8" s="38" t="s">
        <v>5</v>
      </c>
      <c r="C8" s="39" t="s">
        <v>7</v>
      </c>
      <c r="D8" s="40" t="s">
        <v>8</v>
      </c>
      <c r="E8" s="41" t="s">
        <v>8</v>
      </c>
      <c r="F8" s="41" t="s">
        <v>8</v>
      </c>
      <c r="G8" s="7" t="s">
        <v>9</v>
      </c>
      <c r="H8" s="7" t="s">
        <v>10</v>
      </c>
      <c r="I8" s="42"/>
      <c r="J8" s="42"/>
      <c r="K8" s="42"/>
      <c r="L8" s="42"/>
      <c r="M8" s="42"/>
      <c r="N8" s="42"/>
      <c r="O8" s="42"/>
      <c r="P8" s="42"/>
      <c r="Q8" s="42"/>
      <c r="R8" s="42"/>
    </row>
    <row r="9" spans="1:19" x14ac:dyDescent="0.2">
      <c r="A9" s="43">
        <v>2</v>
      </c>
      <c r="B9" s="44" t="s">
        <v>42</v>
      </c>
      <c r="C9" s="45">
        <v>800</v>
      </c>
      <c r="D9" s="57">
        <v>1.4</v>
      </c>
      <c r="E9" s="47" t="s">
        <v>123</v>
      </c>
      <c r="F9" s="47" t="s">
        <v>123</v>
      </c>
      <c r="G9" s="8">
        <f t="shared" ref="G9:G72" si="0">IF(D9="NA","NA",ROUND(AVERAGE(D9:F9),2))</f>
        <v>1.4</v>
      </c>
      <c r="H9" s="8" t="s">
        <v>123</v>
      </c>
      <c r="I9" s="36"/>
      <c r="J9" s="36"/>
      <c r="K9" s="36"/>
      <c r="L9" s="36"/>
      <c r="M9" s="36"/>
      <c r="N9" s="36"/>
      <c r="O9" s="36"/>
      <c r="P9" s="36"/>
      <c r="Q9" s="36"/>
      <c r="R9" s="36"/>
    </row>
    <row r="10" spans="1:19" x14ac:dyDescent="0.2">
      <c r="A10" s="43">
        <v>2</v>
      </c>
      <c r="B10" s="44" t="s">
        <v>42</v>
      </c>
      <c r="C10" s="45">
        <v>801</v>
      </c>
      <c r="D10" s="57">
        <v>1.8</v>
      </c>
      <c r="E10" s="47" t="s">
        <v>123</v>
      </c>
      <c r="F10" s="47" t="s">
        <v>123</v>
      </c>
      <c r="G10" s="8">
        <f t="shared" si="0"/>
        <v>1.8</v>
      </c>
      <c r="H10" s="8" t="s">
        <v>123</v>
      </c>
      <c r="I10" s="36"/>
      <c r="J10" s="36"/>
      <c r="K10" s="36"/>
      <c r="L10" s="36"/>
      <c r="M10" s="36"/>
      <c r="N10" s="36"/>
      <c r="O10" s="36"/>
      <c r="P10" s="36"/>
      <c r="Q10" s="36"/>
      <c r="R10" s="36"/>
    </row>
    <row r="11" spans="1:19" x14ac:dyDescent="0.2">
      <c r="A11" s="43">
        <v>2</v>
      </c>
      <c r="B11" s="44" t="s">
        <v>42</v>
      </c>
      <c r="C11" s="45">
        <v>804</v>
      </c>
      <c r="D11" s="57">
        <v>1</v>
      </c>
      <c r="E11" s="47" t="s">
        <v>123</v>
      </c>
      <c r="F11" s="47" t="s">
        <v>123</v>
      </c>
      <c r="G11" s="8">
        <f t="shared" si="0"/>
        <v>1</v>
      </c>
      <c r="H11" s="8" t="s">
        <v>123</v>
      </c>
      <c r="I11" s="36"/>
      <c r="J11" s="36"/>
      <c r="K11" s="36"/>
      <c r="L11" s="36"/>
      <c r="M11" s="36"/>
      <c r="N11" s="36"/>
      <c r="O11" s="36"/>
      <c r="P11" s="36"/>
      <c r="Q11" s="36"/>
      <c r="R11" s="36"/>
    </row>
    <row r="12" spans="1:19" x14ac:dyDescent="0.2">
      <c r="A12" s="43">
        <v>2</v>
      </c>
      <c r="B12" s="44" t="s">
        <v>42</v>
      </c>
      <c r="C12" s="45">
        <v>806</v>
      </c>
      <c r="D12" s="57">
        <v>1.2</v>
      </c>
      <c r="E12" s="47" t="s">
        <v>123</v>
      </c>
      <c r="F12" s="47" t="s">
        <v>123</v>
      </c>
      <c r="G12" s="8">
        <f t="shared" si="0"/>
        <v>1.2</v>
      </c>
      <c r="H12" s="8" t="s">
        <v>123</v>
      </c>
      <c r="I12" s="36"/>
      <c r="J12" s="36"/>
      <c r="K12" s="36"/>
      <c r="L12" s="36"/>
      <c r="M12" s="36"/>
      <c r="N12" s="36"/>
      <c r="O12" s="36"/>
      <c r="P12" s="36"/>
      <c r="Q12" s="36"/>
      <c r="R12" s="36"/>
    </row>
    <row r="13" spans="1:19" x14ac:dyDescent="0.2">
      <c r="A13" s="43">
        <v>2</v>
      </c>
      <c r="B13" s="44" t="s">
        <v>42</v>
      </c>
      <c r="C13" s="45">
        <v>809</v>
      </c>
      <c r="D13" s="57">
        <v>2.5</v>
      </c>
      <c r="E13" s="47" t="s">
        <v>123</v>
      </c>
      <c r="F13" s="47" t="s">
        <v>123</v>
      </c>
      <c r="G13" s="8">
        <f t="shared" si="0"/>
        <v>2.5</v>
      </c>
      <c r="H13" s="8" t="s">
        <v>123</v>
      </c>
      <c r="I13" s="36"/>
      <c r="J13" s="36"/>
      <c r="K13" s="36"/>
      <c r="L13" s="36"/>
      <c r="M13" s="36"/>
      <c r="N13" s="36"/>
      <c r="O13" s="36"/>
      <c r="P13" s="36"/>
      <c r="Q13" s="36"/>
      <c r="R13" s="36"/>
    </row>
    <row r="14" spans="1:19" x14ac:dyDescent="0.2">
      <c r="A14" s="43">
        <v>2</v>
      </c>
      <c r="B14" s="44" t="s">
        <v>42</v>
      </c>
      <c r="C14" s="45">
        <v>810</v>
      </c>
      <c r="D14" s="57">
        <v>3.3</v>
      </c>
      <c r="E14" s="47" t="s">
        <v>123</v>
      </c>
      <c r="F14" s="47" t="s">
        <v>123</v>
      </c>
      <c r="G14" s="8">
        <f t="shared" si="0"/>
        <v>3.3</v>
      </c>
      <c r="H14" s="8" t="s">
        <v>123</v>
      </c>
      <c r="I14" s="36"/>
      <c r="J14" s="36"/>
      <c r="K14" s="36"/>
      <c r="L14" s="36"/>
      <c r="M14" s="36"/>
      <c r="N14" s="36"/>
      <c r="O14" s="36"/>
      <c r="P14" s="36"/>
      <c r="Q14" s="36"/>
      <c r="R14" s="36"/>
    </row>
    <row r="15" spans="1:19" x14ac:dyDescent="0.2">
      <c r="A15" s="43">
        <v>2</v>
      </c>
      <c r="B15" s="44" t="s">
        <v>42</v>
      </c>
      <c r="C15" s="45">
        <v>819</v>
      </c>
      <c r="D15" s="57">
        <v>2.4</v>
      </c>
      <c r="E15" s="47" t="s">
        <v>123</v>
      </c>
      <c r="F15" s="47" t="s">
        <v>123</v>
      </c>
      <c r="G15" s="8">
        <f t="shared" si="0"/>
        <v>2.4</v>
      </c>
      <c r="H15" s="8" t="s">
        <v>123</v>
      </c>
      <c r="I15" s="36"/>
      <c r="J15" s="36"/>
      <c r="K15" s="36"/>
      <c r="L15" s="36"/>
      <c r="M15" s="36"/>
      <c r="N15" s="36"/>
      <c r="O15" s="36"/>
      <c r="P15" s="36"/>
      <c r="Q15" s="36"/>
      <c r="R15" s="36"/>
    </row>
    <row r="16" spans="1:19" x14ac:dyDescent="0.2">
      <c r="A16" s="43">
        <v>2</v>
      </c>
      <c r="B16" s="44" t="s">
        <v>42</v>
      </c>
      <c r="C16" s="45">
        <v>822</v>
      </c>
      <c r="D16" s="57">
        <v>3</v>
      </c>
      <c r="E16" s="47" t="s">
        <v>123</v>
      </c>
      <c r="F16" s="47" t="s">
        <v>123</v>
      </c>
      <c r="G16" s="8">
        <f t="shared" si="0"/>
        <v>3</v>
      </c>
      <c r="H16" s="8" t="s">
        <v>123</v>
      </c>
      <c r="I16" s="36"/>
      <c r="J16" s="36"/>
      <c r="K16" s="36"/>
      <c r="L16" s="36"/>
      <c r="M16" s="36"/>
      <c r="N16" s="36"/>
      <c r="O16" s="36"/>
      <c r="P16" s="36"/>
      <c r="Q16" s="36"/>
      <c r="R16" s="36"/>
    </row>
    <row r="17" spans="1:18" x14ac:dyDescent="0.2">
      <c r="A17" s="43">
        <v>2</v>
      </c>
      <c r="B17" s="44" t="s">
        <v>42</v>
      </c>
      <c r="C17" s="45">
        <v>823</v>
      </c>
      <c r="D17" s="57">
        <v>3.5</v>
      </c>
      <c r="E17" s="47" t="s">
        <v>123</v>
      </c>
      <c r="F17" s="47" t="s">
        <v>123</v>
      </c>
      <c r="G17" s="8">
        <f t="shared" si="0"/>
        <v>3.5</v>
      </c>
      <c r="H17" s="8" t="s">
        <v>123</v>
      </c>
      <c r="I17" s="36"/>
      <c r="J17" s="36"/>
      <c r="K17" s="36"/>
      <c r="L17" s="36"/>
      <c r="M17" s="36"/>
      <c r="N17" s="36"/>
      <c r="O17" s="36"/>
      <c r="P17" s="36"/>
      <c r="Q17" s="36"/>
      <c r="R17" s="36"/>
    </row>
    <row r="18" spans="1:18" x14ac:dyDescent="0.2">
      <c r="A18" s="43">
        <v>2</v>
      </c>
      <c r="B18" s="44" t="s">
        <v>42</v>
      </c>
      <c r="C18" s="45">
        <v>825</v>
      </c>
      <c r="D18" s="57">
        <v>1.5</v>
      </c>
      <c r="E18" s="47" t="s">
        <v>123</v>
      </c>
      <c r="F18" s="47" t="s">
        <v>123</v>
      </c>
      <c r="G18" s="8">
        <f t="shared" si="0"/>
        <v>1.5</v>
      </c>
      <c r="H18" s="8" t="s">
        <v>123</v>
      </c>
      <c r="I18" s="36"/>
      <c r="J18" s="36"/>
      <c r="K18" s="36"/>
      <c r="L18" s="36"/>
      <c r="M18" s="36"/>
      <c r="N18" s="36"/>
      <c r="O18" s="36"/>
      <c r="P18" s="36"/>
      <c r="Q18" s="36"/>
      <c r="R18" s="36"/>
    </row>
    <row r="19" spans="1:18" x14ac:dyDescent="0.2">
      <c r="A19" s="43">
        <v>2</v>
      </c>
      <c r="B19" s="44" t="s">
        <v>42</v>
      </c>
      <c r="C19" s="45">
        <v>826</v>
      </c>
      <c r="D19" s="57">
        <v>1.7</v>
      </c>
      <c r="E19" s="47" t="s">
        <v>123</v>
      </c>
      <c r="F19" s="47" t="s">
        <v>123</v>
      </c>
      <c r="G19" s="8">
        <f t="shared" si="0"/>
        <v>1.7</v>
      </c>
      <c r="H19" s="8" t="s">
        <v>123</v>
      </c>
      <c r="I19" s="36"/>
      <c r="J19" s="36"/>
      <c r="K19" s="36"/>
      <c r="L19" s="36"/>
      <c r="M19" s="36"/>
      <c r="N19" s="36"/>
      <c r="O19" s="36"/>
      <c r="P19" s="36"/>
      <c r="Q19" s="36"/>
      <c r="R19" s="36"/>
    </row>
    <row r="20" spans="1:18" x14ac:dyDescent="0.2">
      <c r="A20" s="43">
        <v>2</v>
      </c>
      <c r="B20" s="44" t="s">
        <v>42</v>
      </c>
      <c r="C20" s="45">
        <v>828</v>
      </c>
      <c r="D20" s="57">
        <v>2.2000000000000002</v>
      </c>
      <c r="E20" s="47" t="s">
        <v>123</v>
      </c>
      <c r="F20" s="47" t="s">
        <v>123</v>
      </c>
      <c r="G20" s="8">
        <f t="shared" si="0"/>
        <v>2.2000000000000002</v>
      </c>
      <c r="H20" s="8" t="s">
        <v>123</v>
      </c>
      <c r="I20" s="36"/>
      <c r="J20" s="36"/>
      <c r="K20" s="36"/>
      <c r="L20" s="36"/>
      <c r="M20" s="36"/>
      <c r="N20" s="36"/>
      <c r="O20" s="36"/>
      <c r="P20" s="36"/>
      <c r="Q20" s="36"/>
      <c r="R20" s="36"/>
    </row>
    <row r="21" spans="1:18" x14ac:dyDescent="0.2">
      <c r="A21" s="43">
        <v>2</v>
      </c>
      <c r="B21" s="44" t="s">
        <v>42</v>
      </c>
      <c r="C21" s="45">
        <v>829</v>
      </c>
      <c r="D21" s="57">
        <v>1.6</v>
      </c>
      <c r="E21" s="47" t="s">
        <v>123</v>
      </c>
      <c r="F21" s="47" t="s">
        <v>123</v>
      </c>
      <c r="G21" s="8">
        <f t="shared" si="0"/>
        <v>1.6</v>
      </c>
      <c r="H21" s="8" t="s">
        <v>123</v>
      </c>
      <c r="I21" s="36"/>
      <c r="J21" s="36"/>
      <c r="K21" s="36"/>
      <c r="L21" s="36"/>
      <c r="M21" s="36"/>
      <c r="N21" s="36"/>
      <c r="O21" s="36"/>
      <c r="P21" s="36"/>
      <c r="Q21" s="36"/>
      <c r="R21" s="36"/>
    </row>
    <row r="22" spans="1:18" x14ac:dyDescent="0.2">
      <c r="A22" s="43">
        <v>2</v>
      </c>
      <c r="B22" s="44" t="s">
        <v>42</v>
      </c>
      <c r="C22" s="45">
        <v>832</v>
      </c>
      <c r="D22" s="57">
        <v>2.1</v>
      </c>
      <c r="E22" s="47" t="s">
        <v>123</v>
      </c>
      <c r="F22" s="47" t="s">
        <v>123</v>
      </c>
      <c r="G22" s="8">
        <f t="shared" si="0"/>
        <v>2.1</v>
      </c>
      <c r="H22" s="8" t="s">
        <v>123</v>
      </c>
      <c r="I22" s="36"/>
      <c r="J22" s="36"/>
      <c r="K22" s="36"/>
      <c r="L22" s="36"/>
      <c r="M22" s="36"/>
      <c r="N22" s="36"/>
      <c r="O22" s="36"/>
      <c r="P22" s="36"/>
      <c r="Q22" s="36"/>
      <c r="R22" s="36"/>
    </row>
    <row r="23" spans="1:18" x14ac:dyDescent="0.2">
      <c r="A23" s="43">
        <v>2</v>
      </c>
      <c r="B23" s="44" t="s">
        <v>42</v>
      </c>
      <c r="C23" s="45">
        <v>836</v>
      </c>
      <c r="D23" s="57">
        <v>1.7</v>
      </c>
      <c r="E23" s="47" t="s">
        <v>123</v>
      </c>
      <c r="F23" s="47" t="s">
        <v>123</v>
      </c>
      <c r="G23" s="8">
        <f t="shared" si="0"/>
        <v>1.7</v>
      </c>
      <c r="H23" s="8" t="s">
        <v>123</v>
      </c>
      <c r="I23" s="36"/>
      <c r="J23" s="36"/>
      <c r="K23" s="36"/>
      <c r="L23" s="36"/>
      <c r="M23" s="36"/>
      <c r="N23" s="36"/>
      <c r="O23" s="36"/>
      <c r="P23" s="36"/>
      <c r="Q23" s="36"/>
      <c r="R23" s="36"/>
    </row>
    <row r="24" spans="1:18" x14ac:dyDescent="0.2">
      <c r="A24" s="43">
        <v>2</v>
      </c>
      <c r="B24" s="44" t="s">
        <v>42</v>
      </c>
      <c r="C24" s="45">
        <v>839</v>
      </c>
      <c r="D24" s="57">
        <v>1.7</v>
      </c>
      <c r="E24" s="47" t="s">
        <v>123</v>
      </c>
      <c r="F24" s="47" t="s">
        <v>123</v>
      </c>
      <c r="G24" s="8">
        <f t="shared" si="0"/>
        <v>1.7</v>
      </c>
      <c r="H24" s="8" t="s">
        <v>123</v>
      </c>
      <c r="I24" s="36"/>
      <c r="J24" s="36"/>
      <c r="K24" s="36"/>
      <c r="L24" s="36"/>
      <c r="M24" s="36"/>
      <c r="N24" s="36"/>
      <c r="O24" s="36"/>
      <c r="P24" s="36"/>
      <c r="Q24" s="36"/>
      <c r="R24" s="36"/>
    </row>
    <row r="25" spans="1:18" x14ac:dyDescent="0.2">
      <c r="A25" s="43">
        <v>2</v>
      </c>
      <c r="B25" s="44" t="s">
        <v>42</v>
      </c>
      <c r="C25" s="45">
        <v>840</v>
      </c>
      <c r="D25" s="57">
        <v>2.2999999999999998</v>
      </c>
      <c r="E25" s="47" t="s">
        <v>123</v>
      </c>
      <c r="F25" s="47" t="s">
        <v>123</v>
      </c>
      <c r="G25" s="8">
        <f t="shared" si="0"/>
        <v>2.2999999999999998</v>
      </c>
      <c r="H25" s="8" t="s">
        <v>123</v>
      </c>
      <c r="I25" s="36"/>
      <c r="J25" s="36"/>
      <c r="K25" s="36"/>
      <c r="L25" s="36"/>
      <c r="M25" s="36"/>
      <c r="N25" s="36"/>
      <c r="O25" s="36"/>
      <c r="P25" s="36"/>
      <c r="Q25" s="36"/>
      <c r="R25" s="36"/>
    </row>
    <row r="26" spans="1:18" x14ac:dyDescent="0.2">
      <c r="A26" s="43">
        <v>2</v>
      </c>
      <c r="B26" s="44" t="s">
        <v>42</v>
      </c>
      <c r="C26" s="45">
        <v>841</v>
      </c>
      <c r="D26" s="57">
        <v>2.4</v>
      </c>
      <c r="E26" s="47" t="s">
        <v>123</v>
      </c>
      <c r="F26" s="47" t="s">
        <v>123</v>
      </c>
      <c r="G26" s="8">
        <f t="shared" si="0"/>
        <v>2.4</v>
      </c>
      <c r="H26" s="8" t="s">
        <v>123</v>
      </c>
      <c r="I26" s="36"/>
      <c r="J26" s="36"/>
      <c r="K26" s="36"/>
      <c r="L26" s="36"/>
      <c r="M26" s="36"/>
      <c r="N26" s="36"/>
      <c r="O26" s="36"/>
      <c r="P26" s="36"/>
      <c r="Q26" s="36"/>
      <c r="R26" s="36"/>
    </row>
    <row r="27" spans="1:18" x14ac:dyDescent="0.2">
      <c r="A27" s="43">
        <v>2</v>
      </c>
      <c r="B27" s="44" t="s">
        <v>42</v>
      </c>
      <c r="C27" s="45">
        <v>843</v>
      </c>
      <c r="D27" s="57">
        <v>1.7</v>
      </c>
      <c r="E27" s="47" t="s">
        <v>123</v>
      </c>
      <c r="F27" s="47" t="s">
        <v>123</v>
      </c>
      <c r="G27" s="8">
        <f t="shared" si="0"/>
        <v>1.7</v>
      </c>
      <c r="H27" s="8" t="s">
        <v>123</v>
      </c>
      <c r="I27" s="36"/>
      <c r="J27" s="36"/>
      <c r="K27" s="36"/>
      <c r="L27" s="36"/>
      <c r="M27" s="36"/>
      <c r="N27" s="36"/>
      <c r="O27" s="36"/>
      <c r="P27" s="36"/>
      <c r="Q27" s="36"/>
      <c r="R27" s="36"/>
    </row>
    <row r="28" spans="1:18" x14ac:dyDescent="0.2">
      <c r="A28" s="43">
        <v>2</v>
      </c>
      <c r="B28" s="44" t="s">
        <v>42</v>
      </c>
      <c r="C28" s="45">
        <v>850</v>
      </c>
      <c r="D28" s="57">
        <v>1.7</v>
      </c>
      <c r="E28" s="47" t="s">
        <v>123</v>
      </c>
      <c r="F28" s="47" t="s">
        <v>123</v>
      </c>
      <c r="G28" s="8">
        <f t="shared" si="0"/>
        <v>1.7</v>
      </c>
      <c r="H28" s="8" t="s">
        <v>123</v>
      </c>
      <c r="I28" s="36"/>
      <c r="J28" s="36"/>
      <c r="K28" s="36"/>
      <c r="L28" s="36"/>
      <c r="M28" s="36"/>
      <c r="N28" s="36"/>
      <c r="O28" s="36"/>
      <c r="P28" s="36"/>
      <c r="Q28" s="36"/>
      <c r="R28" s="36"/>
    </row>
    <row r="29" spans="1:18" x14ac:dyDescent="0.2">
      <c r="A29" s="43">
        <v>2</v>
      </c>
      <c r="B29" s="44" t="s">
        <v>42</v>
      </c>
      <c r="C29" s="45">
        <v>852</v>
      </c>
      <c r="D29" s="57">
        <v>1.3</v>
      </c>
      <c r="E29" s="47" t="s">
        <v>123</v>
      </c>
      <c r="F29" s="47" t="s">
        <v>123</v>
      </c>
      <c r="G29" s="8">
        <f t="shared" si="0"/>
        <v>1.3</v>
      </c>
      <c r="H29" s="8" t="s">
        <v>123</v>
      </c>
      <c r="I29" s="36"/>
      <c r="J29" s="36"/>
      <c r="K29" s="36"/>
      <c r="L29" s="36"/>
      <c r="M29" s="36"/>
      <c r="N29" s="36"/>
      <c r="O29" s="36"/>
      <c r="P29" s="36"/>
      <c r="Q29" s="36"/>
      <c r="R29" s="36"/>
    </row>
    <row r="30" spans="1:18" x14ac:dyDescent="0.2">
      <c r="A30" s="43">
        <v>2</v>
      </c>
      <c r="B30" s="44" t="s">
        <v>42</v>
      </c>
      <c r="C30" s="45">
        <v>854</v>
      </c>
      <c r="D30" s="57">
        <v>0.9</v>
      </c>
      <c r="E30" s="47" t="s">
        <v>123</v>
      </c>
      <c r="F30" s="47" t="s">
        <v>123</v>
      </c>
      <c r="G30" s="8">
        <f t="shared" si="0"/>
        <v>0.9</v>
      </c>
      <c r="H30" s="8" t="s">
        <v>123</v>
      </c>
      <c r="I30" s="36"/>
      <c r="J30" s="36"/>
      <c r="K30" s="36"/>
      <c r="L30" s="36"/>
      <c r="M30" s="36"/>
      <c r="N30" s="36"/>
      <c r="O30" s="36"/>
      <c r="P30" s="36"/>
      <c r="Q30" s="36"/>
      <c r="R30" s="36"/>
    </row>
    <row r="31" spans="1:18" x14ac:dyDescent="0.2">
      <c r="A31" s="43">
        <v>2</v>
      </c>
      <c r="B31" s="44" t="s">
        <v>42</v>
      </c>
      <c r="C31" s="45">
        <v>855</v>
      </c>
      <c r="D31" s="57">
        <v>2.1</v>
      </c>
      <c r="E31" s="47" t="s">
        <v>123</v>
      </c>
      <c r="F31" s="47" t="s">
        <v>123</v>
      </c>
      <c r="G31" s="8">
        <f t="shared" si="0"/>
        <v>2.1</v>
      </c>
      <c r="H31" s="8" t="s">
        <v>123</v>
      </c>
      <c r="I31" s="36"/>
      <c r="J31" s="36"/>
      <c r="K31" s="36"/>
      <c r="L31" s="36"/>
      <c r="M31" s="36"/>
      <c r="N31" s="36"/>
      <c r="O31" s="36"/>
      <c r="P31" s="36"/>
      <c r="Q31" s="36"/>
      <c r="R31" s="36"/>
    </row>
    <row r="32" spans="1:18" x14ac:dyDescent="0.2">
      <c r="A32" s="43">
        <v>2</v>
      </c>
      <c r="B32" s="44" t="s">
        <v>42</v>
      </c>
      <c r="C32" s="45">
        <v>857</v>
      </c>
      <c r="D32" s="57">
        <v>2.4</v>
      </c>
      <c r="E32" s="47" t="s">
        <v>123</v>
      </c>
      <c r="F32" s="47" t="s">
        <v>123</v>
      </c>
      <c r="G32" s="8">
        <f t="shared" si="0"/>
        <v>2.4</v>
      </c>
      <c r="H32" s="8" t="s">
        <v>123</v>
      </c>
      <c r="I32" s="36"/>
      <c r="J32" s="36"/>
      <c r="K32" s="36"/>
      <c r="L32" s="36"/>
      <c r="M32" s="36"/>
      <c r="N32" s="36"/>
      <c r="O32" s="36"/>
      <c r="P32" s="36"/>
      <c r="Q32" s="36"/>
      <c r="R32" s="36"/>
    </row>
    <row r="33" spans="1:18" x14ac:dyDescent="0.2">
      <c r="A33" s="43">
        <v>2</v>
      </c>
      <c r="B33" s="44" t="s">
        <v>42</v>
      </c>
      <c r="C33" s="45">
        <v>858</v>
      </c>
      <c r="D33" s="57">
        <v>2.6</v>
      </c>
      <c r="E33" s="47" t="s">
        <v>123</v>
      </c>
      <c r="F33" s="47" t="s">
        <v>123</v>
      </c>
      <c r="G33" s="8">
        <f t="shared" si="0"/>
        <v>2.6</v>
      </c>
      <c r="H33" s="8" t="s">
        <v>123</v>
      </c>
      <c r="I33" s="36"/>
      <c r="J33" s="36"/>
      <c r="K33" s="36"/>
      <c r="L33" s="36"/>
      <c r="M33" s="36"/>
      <c r="N33" s="36"/>
      <c r="O33" s="36"/>
      <c r="P33" s="36"/>
      <c r="Q33" s="36"/>
      <c r="R33" s="36"/>
    </row>
    <row r="34" spans="1:18" x14ac:dyDescent="0.2">
      <c r="A34" s="43">
        <v>2</v>
      </c>
      <c r="B34" s="44" t="s">
        <v>42</v>
      </c>
      <c r="C34" s="45">
        <v>870</v>
      </c>
      <c r="D34" s="57">
        <v>1.3</v>
      </c>
      <c r="E34" s="47" t="s">
        <v>123</v>
      </c>
      <c r="F34" s="47" t="s">
        <v>123</v>
      </c>
      <c r="G34" s="8">
        <f t="shared" si="0"/>
        <v>1.3</v>
      </c>
      <c r="H34" s="8" t="s">
        <v>123</v>
      </c>
      <c r="I34" s="36"/>
      <c r="J34" s="36"/>
      <c r="K34" s="36"/>
      <c r="L34" s="36"/>
      <c r="M34" s="36"/>
      <c r="N34" s="36"/>
      <c r="O34" s="36"/>
      <c r="P34" s="36"/>
      <c r="Q34" s="36"/>
      <c r="R34" s="36"/>
    </row>
    <row r="35" spans="1:18" x14ac:dyDescent="0.2">
      <c r="A35" s="43">
        <v>2</v>
      </c>
      <c r="B35" s="44" t="s">
        <v>42</v>
      </c>
      <c r="C35" s="45">
        <v>875</v>
      </c>
      <c r="D35" s="57">
        <v>2.1</v>
      </c>
      <c r="E35" s="47" t="s">
        <v>123</v>
      </c>
      <c r="F35" s="47" t="s">
        <v>123</v>
      </c>
      <c r="G35" s="8">
        <f t="shared" si="0"/>
        <v>2.1</v>
      </c>
      <c r="H35" s="8" t="s">
        <v>123</v>
      </c>
      <c r="I35" s="36"/>
      <c r="J35" s="36"/>
      <c r="K35" s="36"/>
      <c r="L35" s="36"/>
      <c r="M35" s="36"/>
      <c r="N35" s="36"/>
      <c r="O35" s="36"/>
      <c r="P35" s="36"/>
      <c r="Q35" s="36"/>
      <c r="R35" s="36"/>
    </row>
    <row r="36" spans="1:18" x14ac:dyDescent="0.2">
      <c r="A36" s="43">
        <v>2</v>
      </c>
      <c r="B36" s="44" t="s">
        <v>42</v>
      </c>
      <c r="C36" s="45">
        <v>880</v>
      </c>
      <c r="D36" s="57">
        <v>2.8</v>
      </c>
      <c r="E36" s="47" t="s">
        <v>123</v>
      </c>
      <c r="F36" s="47" t="s">
        <v>123</v>
      </c>
      <c r="G36" s="8">
        <f t="shared" si="0"/>
        <v>2.8</v>
      </c>
      <c r="H36" s="8" t="s">
        <v>123</v>
      </c>
      <c r="I36" s="36"/>
      <c r="J36" s="36"/>
      <c r="K36" s="36"/>
      <c r="L36" s="36"/>
      <c r="M36" s="36"/>
      <c r="N36" s="36"/>
      <c r="O36" s="36"/>
      <c r="P36" s="36"/>
      <c r="Q36" s="36"/>
      <c r="R36" s="36"/>
    </row>
    <row r="37" spans="1:18" x14ac:dyDescent="0.2">
      <c r="A37" s="43">
        <v>2</v>
      </c>
      <c r="B37" s="44" t="s">
        <v>42</v>
      </c>
      <c r="C37" s="45">
        <v>883</v>
      </c>
      <c r="D37" s="57">
        <v>1.8</v>
      </c>
      <c r="E37" s="47" t="s">
        <v>123</v>
      </c>
      <c r="F37" s="47" t="s">
        <v>123</v>
      </c>
      <c r="G37" s="8">
        <f t="shared" si="0"/>
        <v>1.8</v>
      </c>
      <c r="H37" s="8" t="s">
        <v>123</v>
      </c>
      <c r="I37" s="36"/>
      <c r="J37" s="36"/>
      <c r="K37" s="36"/>
      <c r="L37" s="36"/>
      <c r="M37" s="36"/>
      <c r="N37" s="36"/>
      <c r="O37" s="36"/>
      <c r="P37" s="36"/>
      <c r="Q37" s="36"/>
      <c r="R37" s="36"/>
    </row>
    <row r="38" spans="1:18" x14ac:dyDescent="0.2">
      <c r="A38" s="43">
        <v>2</v>
      </c>
      <c r="B38" s="44" t="s">
        <v>42</v>
      </c>
      <c r="C38" s="45">
        <v>884</v>
      </c>
      <c r="D38" s="57">
        <v>1.3</v>
      </c>
      <c r="E38" s="47" t="s">
        <v>123</v>
      </c>
      <c r="F38" s="47" t="s">
        <v>123</v>
      </c>
      <c r="G38" s="8">
        <f t="shared" si="0"/>
        <v>1.3</v>
      </c>
      <c r="H38" s="8" t="s">
        <v>123</v>
      </c>
      <c r="I38" s="36"/>
      <c r="J38" s="36"/>
      <c r="K38" s="36"/>
      <c r="L38" s="36"/>
      <c r="M38" s="36"/>
      <c r="N38" s="36"/>
      <c r="O38" s="36"/>
      <c r="P38" s="36"/>
      <c r="Q38" s="36"/>
      <c r="R38" s="36"/>
    </row>
    <row r="39" spans="1:18" ht="16" thickBot="1" x14ac:dyDescent="0.25">
      <c r="A39" s="48">
        <v>2</v>
      </c>
      <c r="B39" s="49" t="s">
        <v>42</v>
      </c>
      <c r="C39" s="50">
        <v>886</v>
      </c>
      <c r="D39" s="57">
        <v>2.5</v>
      </c>
      <c r="E39" s="47" t="s">
        <v>123</v>
      </c>
      <c r="F39" s="47" t="s">
        <v>123</v>
      </c>
      <c r="G39" s="8">
        <f t="shared" si="0"/>
        <v>2.5</v>
      </c>
      <c r="H39" s="8" t="s">
        <v>123</v>
      </c>
      <c r="I39" s="36"/>
      <c r="J39" s="36"/>
      <c r="K39" s="36"/>
      <c r="L39" s="36"/>
      <c r="M39" s="36"/>
      <c r="N39" s="36"/>
      <c r="O39" s="36"/>
      <c r="P39" s="36"/>
      <c r="Q39" s="36"/>
      <c r="R39" s="36"/>
    </row>
    <row r="40" spans="1:18" x14ac:dyDescent="0.2">
      <c r="A40" s="58">
        <v>3</v>
      </c>
      <c r="B40" s="58" t="s">
        <v>74</v>
      </c>
      <c r="C40" s="59">
        <v>802</v>
      </c>
      <c r="D40" s="57">
        <v>1.4</v>
      </c>
      <c r="E40" s="47" t="s">
        <v>123</v>
      </c>
      <c r="F40" s="47" t="s">
        <v>123</v>
      </c>
      <c r="G40" s="8">
        <f t="shared" si="0"/>
        <v>1.4</v>
      </c>
      <c r="H40" s="8" t="s">
        <v>123</v>
      </c>
      <c r="I40" s="36"/>
      <c r="J40" s="36"/>
      <c r="K40" s="36"/>
      <c r="L40" s="36"/>
      <c r="M40" s="36"/>
      <c r="N40" s="36"/>
      <c r="O40" s="36"/>
      <c r="P40" s="36"/>
      <c r="Q40" s="36"/>
      <c r="R40" s="36"/>
    </row>
    <row r="41" spans="1:18" x14ac:dyDescent="0.2">
      <c r="A41" s="58">
        <v>3</v>
      </c>
      <c r="B41" s="58" t="s">
        <v>74</v>
      </c>
      <c r="C41" s="59">
        <v>803</v>
      </c>
      <c r="D41" s="57">
        <v>1.2</v>
      </c>
      <c r="E41" s="47" t="s">
        <v>123</v>
      </c>
      <c r="F41" s="47" t="s">
        <v>123</v>
      </c>
      <c r="G41" s="8">
        <f t="shared" si="0"/>
        <v>1.2</v>
      </c>
      <c r="H41" s="8" t="s">
        <v>123</v>
      </c>
      <c r="I41" s="36"/>
      <c r="J41" s="36"/>
      <c r="K41" s="36"/>
      <c r="L41" s="36"/>
      <c r="M41" s="36"/>
      <c r="N41" s="36"/>
      <c r="O41" s="36"/>
      <c r="P41" s="36"/>
      <c r="Q41" s="36"/>
      <c r="R41" s="36"/>
    </row>
    <row r="42" spans="1:18" x14ac:dyDescent="0.2">
      <c r="A42" s="58">
        <v>3</v>
      </c>
      <c r="B42" s="58" t="s">
        <v>74</v>
      </c>
      <c r="C42" s="59">
        <v>808</v>
      </c>
      <c r="D42" s="57">
        <v>1</v>
      </c>
      <c r="E42" s="47" t="s">
        <v>123</v>
      </c>
      <c r="F42" s="47" t="s">
        <v>123</v>
      </c>
      <c r="G42" s="8">
        <f t="shared" si="0"/>
        <v>1</v>
      </c>
      <c r="H42" s="8" t="s">
        <v>123</v>
      </c>
      <c r="I42" s="36"/>
      <c r="J42" s="36"/>
      <c r="K42" s="36"/>
      <c r="L42" s="36"/>
      <c r="M42" s="36"/>
      <c r="N42" s="36"/>
      <c r="O42" s="36"/>
      <c r="P42" s="36"/>
      <c r="Q42" s="36"/>
      <c r="R42" s="36"/>
    </row>
    <row r="43" spans="1:18" x14ac:dyDescent="0.2">
      <c r="A43" s="58">
        <v>3</v>
      </c>
      <c r="B43" s="58" t="s">
        <v>74</v>
      </c>
      <c r="C43" s="59">
        <v>811</v>
      </c>
      <c r="D43" s="57">
        <v>1.9</v>
      </c>
      <c r="E43" s="47" t="s">
        <v>123</v>
      </c>
      <c r="F43" s="47" t="s">
        <v>123</v>
      </c>
      <c r="G43" s="8">
        <f t="shared" si="0"/>
        <v>1.9</v>
      </c>
      <c r="H43" s="8" t="s">
        <v>123</v>
      </c>
      <c r="I43" s="36"/>
      <c r="J43" s="36"/>
      <c r="K43" s="36"/>
      <c r="L43" s="36"/>
      <c r="M43" s="36"/>
      <c r="N43" s="36"/>
      <c r="O43" s="36"/>
      <c r="P43" s="36"/>
      <c r="Q43" s="36"/>
      <c r="R43" s="36"/>
    </row>
    <row r="44" spans="1:18" x14ac:dyDescent="0.2">
      <c r="A44" s="58">
        <v>3</v>
      </c>
      <c r="B44" s="58" t="s">
        <v>74</v>
      </c>
      <c r="C44" s="59">
        <v>812</v>
      </c>
      <c r="D44" s="57">
        <v>1.6</v>
      </c>
      <c r="E44" s="47" t="s">
        <v>123</v>
      </c>
      <c r="F44" s="47" t="s">
        <v>123</v>
      </c>
      <c r="G44" s="8">
        <f t="shared" si="0"/>
        <v>1.6</v>
      </c>
      <c r="H44" s="8" t="s">
        <v>123</v>
      </c>
      <c r="I44" s="36"/>
      <c r="J44" s="36"/>
      <c r="K44" s="36"/>
      <c r="L44" s="36"/>
      <c r="M44" s="36"/>
      <c r="N44" s="36"/>
      <c r="O44" s="36"/>
      <c r="P44" s="36"/>
      <c r="Q44" s="36"/>
      <c r="R44" s="36"/>
    </row>
    <row r="45" spans="1:18" x14ac:dyDescent="0.2">
      <c r="A45" s="58">
        <v>3</v>
      </c>
      <c r="B45" s="58" t="s">
        <v>74</v>
      </c>
      <c r="C45" s="59">
        <v>815</v>
      </c>
      <c r="D45" s="57">
        <v>1.3</v>
      </c>
      <c r="E45" s="47" t="s">
        <v>123</v>
      </c>
      <c r="F45" s="47" t="s">
        <v>123</v>
      </c>
      <c r="G45" s="8">
        <f t="shared" si="0"/>
        <v>1.3</v>
      </c>
      <c r="H45" s="8" t="s">
        <v>123</v>
      </c>
      <c r="I45" s="36"/>
      <c r="J45" s="36"/>
      <c r="K45" s="36"/>
      <c r="L45" s="36"/>
      <c r="M45" s="36"/>
      <c r="N45" s="36"/>
      <c r="O45" s="36"/>
      <c r="P45" s="36"/>
      <c r="Q45" s="36"/>
      <c r="R45" s="36"/>
    </row>
    <row r="46" spans="1:18" x14ac:dyDescent="0.2">
      <c r="A46" s="58">
        <v>3</v>
      </c>
      <c r="B46" s="58" t="s">
        <v>74</v>
      </c>
      <c r="C46" s="59">
        <v>816</v>
      </c>
      <c r="D46" s="57">
        <v>2.2999999999999998</v>
      </c>
      <c r="E46" s="47" t="s">
        <v>123</v>
      </c>
      <c r="F46" s="47" t="s">
        <v>123</v>
      </c>
      <c r="G46" s="8">
        <f t="shared" si="0"/>
        <v>2.2999999999999998</v>
      </c>
      <c r="H46" s="8" t="s">
        <v>123</v>
      </c>
      <c r="I46" s="36"/>
      <c r="J46" s="36"/>
      <c r="K46" s="36"/>
      <c r="L46" s="36"/>
      <c r="M46" s="36"/>
      <c r="N46" s="36"/>
      <c r="O46" s="36"/>
      <c r="P46" s="36"/>
      <c r="Q46" s="36"/>
      <c r="R46" s="36"/>
    </row>
    <row r="47" spans="1:18" x14ac:dyDescent="0.2">
      <c r="A47" s="58">
        <v>3</v>
      </c>
      <c r="B47" s="58" t="s">
        <v>74</v>
      </c>
      <c r="C47" s="59">
        <v>817</v>
      </c>
      <c r="D47" s="57">
        <v>1.5</v>
      </c>
      <c r="E47" s="47" t="s">
        <v>123</v>
      </c>
      <c r="F47" s="47" t="s">
        <v>123</v>
      </c>
      <c r="G47" s="8">
        <f t="shared" si="0"/>
        <v>1.5</v>
      </c>
      <c r="H47" s="8" t="s">
        <v>123</v>
      </c>
      <c r="I47" s="36"/>
      <c r="J47" s="36"/>
      <c r="K47" s="36"/>
      <c r="L47" s="36"/>
      <c r="M47" s="36"/>
      <c r="N47" s="36"/>
      <c r="O47" s="36"/>
      <c r="P47" s="36"/>
      <c r="Q47" s="36"/>
      <c r="R47" s="36"/>
    </row>
    <row r="48" spans="1:18" x14ac:dyDescent="0.2">
      <c r="A48" s="58">
        <v>3</v>
      </c>
      <c r="B48" s="58" t="s">
        <v>74</v>
      </c>
      <c r="C48" s="59">
        <v>818</v>
      </c>
      <c r="D48" s="57">
        <v>1.2</v>
      </c>
      <c r="E48" s="47" t="s">
        <v>123</v>
      </c>
      <c r="F48" s="47" t="s">
        <v>123</v>
      </c>
      <c r="G48" s="8">
        <f t="shared" si="0"/>
        <v>1.2</v>
      </c>
      <c r="H48" s="8" t="s">
        <v>123</v>
      </c>
      <c r="I48" s="36"/>
      <c r="J48" s="36"/>
      <c r="K48" s="36"/>
      <c r="L48" s="36"/>
      <c r="M48" s="36"/>
      <c r="N48" s="36"/>
      <c r="O48" s="36"/>
      <c r="P48" s="36"/>
      <c r="Q48" s="36"/>
      <c r="R48" s="36"/>
    </row>
    <row r="49" spans="1:18" x14ac:dyDescent="0.2">
      <c r="A49" s="58">
        <v>3</v>
      </c>
      <c r="B49" s="58" t="s">
        <v>74</v>
      </c>
      <c r="C49" s="59">
        <v>833</v>
      </c>
      <c r="D49" s="57">
        <v>1.5</v>
      </c>
      <c r="E49" s="47" t="s">
        <v>123</v>
      </c>
      <c r="F49" s="47" t="s">
        <v>123</v>
      </c>
      <c r="G49" s="8">
        <f t="shared" si="0"/>
        <v>1.5</v>
      </c>
      <c r="H49" s="8" t="s">
        <v>123</v>
      </c>
      <c r="I49" s="36"/>
      <c r="J49" s="36"/>
      <c r="K49" s="36"/>
      <c r="L49" s="36"/>
      <c r="M49" s="36"/>
      <c r="N49" s="36"/>
      <c r="O49" s="36"/>
      <c r="P49" s="36"/>
      <c r="Q49" s="36"/>
      <c r="R49" s="36"/>
    </row>
    <row r="50" spans="1:18" x14ac:dyDescent="0.2">
      <c r="A50" s="58">
        <v>3</v>
      </c>
      <c r="B50" s="58" t="s">
        <v>74</v>
      </c>
      <c r="C50" s="59">
        <v>834</v>
      </c>
      <c r="D50" s="57">
        <v>1.4</v>
      </c>
      <c r="E50" s="47" t="s">
        <v>123</v>
      </c>
      <c r="F50" s="47" t="s">
        <v>123</v>
      </c>
      <c r="G50" s="8">
        <f t="shared" si="0"/>
        <v>1.4</v>
      </c>
      <c r="H50" s="8" t="s">
        <v>123</v>
      </c>
      <c r="I50" s="36"/>
      <c r="J50" s="36"/>
      <c r="K50" s="36"/>
      <c r="L50" s="36"/>
      <c r="M50" s="36"/>
      <c r="N50" s="36"/>
      <c r="O50" s="36"/>
      <c r="P50" s="36"/>
      <c r="Q50" s="36"/>
      <c r="R50" s="36"/>
    </row>
    <row r="51" spans="1:18" x14ac:dyDescent="0.2">
      <c r="A51" s="58">
        <v>3</v>
      </c>
      <c r="B51" s="58" t="s">
        <v>74</v>
      </c>
      <c r="C51" s="59">
        <v>835</v>
      </c>
      <c r="D51" s="57">
        <v>1.8</v>
      </c>
      <c r="E51" s="47" t="s">
        <v>123</v>
      </c>
      <c r="F51" s="47" t="s">
        <v>123</v>
      </c>
      <c r="G51" s="8">
        <f t="shared" si="0"/>
        <v>1.8</v>
      </c>
      <c r="H51" s="8" t="s">
        <v>123</v>
      </c>
      <c r="I51" s="36"/>
      <c r="J51" s="36"/>
      <c r="K51" s="36"/>
      <c r="L51" s="36"/>
      <c r="M51" s="36"/>
      <c r="N51" s="36"/>
      <c r="O51" s="36"/>
      <c r="P51" s="36"/>
      <c r="Q51" s="36"/>
      <c r="R51" s="36"/>
    </row>
    <row r="52" spans="1:18" x14ac:dyDescent="0.2">
      <c r="A52" s="58">
        <v>3</v>
      </c>
      <c r="B52" s="58" t="s">
        <v>74</v>
      </c>
      <c r="C52" s="59">
        <v>844</v>
      </c>
      <c r="D52" s="57">
        <v>1.4</v>
      </c>
      <c r="E52" s="47" t="s">
        <v>123</v>
      </c>
      <c r="F52" s="47" t="s">
        <v>123</v>
      </c>
      <c r="G52" s="8">
        <f t="shared" si="0"/>
        <v>1.4</v>
      </c>
      <c r="H52" s="8" t="s">
        <v>123</v>
      </c>
      <c r="I52" s="36"/>
      <c r="J52" s="36"/>
      <c r="K52" s="36"/>
      <c r="L52" s="36"/>
      <c r="M52" s="36"/>
      <c r="N52" s="36"/>
      <c r="O52" s="36"/>
      <c r="P52" s="36"/>
      <c r="Q52" s="36"/>
      <c r="R52" s="36"/>
    </row>
    <row r="53" spans="1:18" x14ac:dyDescent="0.2">
      <c r="A53" s="58">
        <v>3</v>
      </c>
      <c r="B53" s="58" t="s">
        <v>74</v>
      </c>
      <c r="C53" s="59">
        <v>845</v>
      </c>
      <c r="D53" s="57">
        <v>2.4</v>
      </c>
      <c r="E53" s="47" t="s">
        <v>123</v>
      </c>
      <c r="F53" s="47" t="s">
        <v>123</v>
      </c>
      <c r="G53" s="8">
        <f t="shared" si="0"/>
        <v>2.4</v>
      </c>
      <c r="H53" s="8" t="s">
        <v>123</v>
      </c>
      <c r="I53" s="36"/>
      <c r="J53" s="36"/>
      <c r="K53" s="36"/>
      <c r="L53" s="36"/>
      <c r="M53" s="36"/>
      <c r="N53" s="36"/>
      <c r="O53" s="36"/>
      <c r="P53" s="36"/>
      <c r="Q53" s="36"/>
      <c r="R53" s="36"/>
    </row>
    <row r="54" spans="1:18" x14ac:dyDescent="0.2">
      <c r="A54" s="58">
        <v>3</v>
      </c>
      <c r="B54" s="58" t="s">
        <v>74</v>
      </c>
      <c r="C54" s="59">
        <v>846</v>
      </c>
      <c r="D54" s="57">
        <v>1.6</v>
      </c>
      <c r="E54" s="47" t="s">
        <v>123</v>
      </c>
      <c r="F54" s="47" t="s">
        <v>123</v>
      </c>
      <c r="G54" s="8">
        <f t="shared" si="0"/>
        <v>1.6</v>
      </c>
      <c r="H54" s="8" t="s">
        <v>123</v>
      </c>
      <c r="I54" s="36"/>
      <c r="J54" s="36"/>
      <c r="K54" s="36"/>
      <c r="L54" s="36"/>
      <c r="M54" s="36"/>
      <c r="N54" s="36"/>
      <c r="O54" s="36"/>
      <c r="P54" s="36"/>
      <c r="Q54" s="36"/>
      <c r="R54" s="36"/>
    </row>
    <row r="55" spans="1:18" x14ac:dyDescent="0.2">
      <c r="A55" s="58">
        <v>3</v>
      </c>
      <c r="B55" s="58" t="s">
        <v>74</v>
      </c>
      <c r="C55" s="59">
        <v>849</v>
      </c>
      <c r="D55" s="57">
        <v>1.2</v>
      </c>
      <c r="E55" s="47" t="s">
        <v>123</v>
      </c>
      <c r="F55" s="47" t="s">
        <v>123</v>
      </c>
      <c r="G55" s="8">
        <f t="shared" si="0"/>
        <v>1.2</v>
      </c>
      <c r="H55" s="8" t="s">
        <v>123</v>
      </c>
      <c r="I55" s="36"/>
      <c r="J55" s="36"/>
      <c r="K55" s="36"/>
      <c r="L55" s="36"/>
      <c r="M55" s="36"/>
      <c r="N55" s="36"/>
      <c r="O55" s="36"/>
      <c r="P55" s="36"/>
      <c r="Q55" s="36"/>
      <c r="R55" s="36"/>
    </row>
    <row r="56" spans="1:18" x14ac:dyDescent="0.2">
      <c r="A56" s="58">
        <v>3</v>
      </c>
      <c r="B56" s="58" t="s">
        <v>74</v>
      </c>
      <c r="C56" s="59">
        <v>856</v>
      </c>
      <c r="D56" s="57">
        <v>1.1000000000000001</v>
      </c>
      <c r="E56" s="47" t="s">
        <v>123</v>
      </c>
      <c r="F56" s="47" t="s">
        <v>123</v>
      </c>
      <c r="G56" s="8">
        <f t="shared" si="0"/>
        <v>1.1000000000000001</v>
      </c>
      <c r="H56" s="8" t="s">
        <v>123</v>
      </c>
      <c r="I56" s="36"/>
      <c r="J56" s="36"/>
      <c r="K56" s="36"/>
      <c r="L56" s="36"/>
      <c r="M56" s="36"/>
      <c r="N56" s="36"/>
      <c r="O56" s="36"/>
      <c r="P56" s="36"/>
      <c r="Q56" s="36"/>
      <c r="R56" s="36"/>
    </row>
    <row r="57" spans="1:18" x14ac:dyDescent="0.2">
      <c r="A57" s="58">
        <v>3</v>
      </c>
      <c r="B57" s="58" t="s">
        <v>74</v>
      </c>
      <c r="C57" s="59">
        <v>859</v>
      </c>
      <c r="D57" s="57">
        <v>1.6</v>
      </c>
      <c r="E57" s="47" t="s">
        <v>123</v>
      </c>
      <c r="F57" s="47" t="s">
        <v>123</v>
      </c>
      <c r="G57" s="8">
        <f t="shared" si="0"/>
        <v>1.6</v>
      </c>
      <c r="H57" s="8" t="s">
        <v>123</v>
      </c>
      <c r="I57" s="36"/>
      <c r="J57" s="36"/>
      <c r="K57" s="36"/>
      <c r="L57" s="36"/>
      <c r="M57" s="36"/>
      <c r="N57" s="36"/>
      <c r="O57" s="36"/>
      <c r="P57" s="36"/>
      <c r="Q57" s="36"/>
      <c r="R57" s="36"/>
    </row>
    <row r="58" spans="1:18" x14ac:dyDescent="0.2">
      <c r="A58" s="58">
        <v>3</v>
      </c>
      <c r="B58" s="58" t="s">
        <v>74</v>
      </c>
      <c r="C58" s="59">
        <v>861</v>
      </c>
      <c r="D58" s="57">
        <v>1.5</v>
      </c>
      <c r="E58" s="47" t="s">
        <v>123</v>
      </c>
      <c r="F58" s="47" t="s">
        <v>123</v>
      </c>
      <c r="G58" s="8">
        <f t="shared" si="0"/>
        <v>1.5</v>
      </c>
      <c r="H58" s="8" t="s">
        <v>123</v>
      </c>
      <c r="I58" s="36"/>
      <c r="J58" s="36"/>
      <c r="K58" s="36"/>
      <c r="L58" s="36"/>
      <c r="M58" s="36"/>
      <c r="N58" s="36"/>
      <c r="O58" s="36"/>
      <c r="P58" s="36"/>
      <c r="Q58" s="36"/>
      <c r="R58" s="36"/>
    </row>
    <row r="59" spans="1:18" x14ac:dyDescent="0.2">
      <c r="A59" s="58">
        <v>3</v>
      </c>
      <c r="B59" s="58" t="s">
        <v>74</v>
      </c>
      <c r="C59" s="59">
        <v>862</v>
      </c>
      <c r="D59" s="57">
        <v>1.7</v>
      </c>
      <c r="E59" s="47" t="s">
        <v>123</v>
      </c>
      <c r="F59" s="47" t="s">
        <v>123</v>
      </c>
      <c r="G59" s="8">
        <f t="shared" si="0"/>
        <v>1.7</v>
      </c>
      <c r="H59" s="8" t="s">
        <v>123</v>
      </c>
      <c r="I59" s="36"/>
      <c r="J59" s="36"/>
      <c r="K59" s="36"/>
      <c r="L59" s="36"/>
      <c r="M59" s="36"/>
      <c r="N59" s="36"/>
      <c r="O59" s="36"/>
      <c r="P59" s="36"/>
      <c r="Q59" s="36"/>
      <c r="R59" s="36"/>
    </row>
    <row r="60" spans="1:18" x14ac:dyDescent="0.2">
      <c r="A60" s="58">
        <v>3</v>
      </c>
      <c r="B60" s="58" t="s">
        <v>74</v>
      </c>
      <c r="C60" s="59">
        <v>865</v>
      </c>
      <c r="D60" s="57" t="s">
        <v>123</v>
      </c>
      <c r="E60" s="47" t="s">
        <v>123</v>
      </c>
      <c r="F60" s="47" t="s">
        <v>123</v>
      </c>
      <c r="G60" s="8" t="str">
        <f t="shared" si="0"/>
        <v>NA</v>
      </c>
      <c r="H60" s="8" t="s">
        <v>123</v>
      </c>
      <c r="I60" s="36"/>
      <c r="J60" s="36"/>
      <c r="K60" s="36"/>
      <c r="L60" s="36"/>
      <c r="M60" s="36"/>
      <c r="N60" s="36"/>
      <c r="O60" s="36"/>
      <c r="P60" s="36"/>
      <c r="Q60" s="36"/>
      <c r="R60" s="36"/>
    </row>
    <row r="61" spans="1:18" x14ac:dyDescent="0.2">
      <c r="A61" s="58">
        <v>3</v>
      </c>
      <c r="B61" s="58" t="s">
        <v>74</v>
      </c>
      <c r="C61" s="59">
        <v>866</v>
      </c>
      <c r="D61" s="57">
        <v>1.6</v>
      </c>
      <c r="E61" s="47" t="s">
        <v>123</v>
      </c>
      <c r="F61" s="47" t="s">
        <v>123</v>
      </c>
      <c r="G61" s="8">
        <f t="shared" si="0"/>
        <v>1.6</v>
      </c>
      <c r="H61" s="8" t="s">
        <v>123</v>
      </c>
      <c r="I61" s="36"/>
      <c r="J61" s="36"/>
      <c r="K61" s="36"/>
      <c r="L61" s="36"/>
      <c r="M61" s="36"/>
      <c r="N61" s="36"/>
      <c r="O61" s="36"/>
      <c r="P61" s="36"/>
      <c r="Q61" s="36"/>
      <c r="R61" s="36"/>
    </row>
    <row r="62" spans="1:18" x14ac:dyDescent="0.2">
      <c r="A62" s="58">
        <v>3</v>
      </c>
      <c r="B62" s="58" t="s">
        <v>74</v>
      </c>
      <c r="C62" s="59">
        <v>871</v>
      </c>
      <c r="D62" s="57">
        <v>1.3</v>
      </c>
      <c r="E62" s="47" t="s">
        <v>123</v>
      </c>
      <c r="F62" s="47" t="s">
        <v>123</v>
      </c>
      <c r="G62" s="8">
        <f t="shared" si="0"/>
        <v>1.3</v>
      </c>
      <c r="H62" s="8" t="s">
        <v>123</v>
      </c>
      <c r="I62" s="36"/>
      <c r="J62" s="36"/>
      <c r="K62" s="36"/>
      <c r="L62" s="36"/>
      <c r="M62" s="36"/>
      <c r="N62" s="36"/>
      <c r="O62" s="36"/>
      <c r="P62" s="36"/>
      <c r="Q62" s="36"/>
      <c r="R62" s="36"/>
    </row>
    <row r="63" spans="1:18" x14ac:dyDescent="0.2">
      <c r="A63" s="58">
        <v>3</v>
      </c>
      <c r="B63" s="58" t="s">
        <v>74</v>
      </c>
      <c r="C63" s="59">
        <v>873</v>
      </c>
      <c r="D63" s="57">
        <v>2</v>
      </c>
      <c r="E63" s="47" t="s">
        <v>123</v>
      </c>
      <c r="F63" s="47" t="s">
        <v>123</v>
      </c>
      <c r="G63" s="8">
        <f t="shared" si="0"/>
        <v>2</v>
      </c>
      <c r="H63" s="8" t="s">
        <v>123</v>
      </c>
      <c r="I63" s="36"/>
      <c r="J63" s="36"/>
      <c r="K63" s="36"/>
      <c r="L63" s="36"/>
      <c r="M63" s="36"/>
      <c r="N63" s="36"/>
      <c r="O63" s="36"/>
      <c r="P63" s="36"/>
      <c r="Q63" s="36"/>
      <c r="R63" s="36"/>
    </row>
    <row r="64" spans="1:18" x14ac:dyDescent="0.2">
      <c r="A64" s="58">
        <v>3</v>
      </c>
      <c r="B64" s="58" t="s">
        <v>74</v>
      </c>
      <c r="C64" s="59">
        <v>874</v>
      </c>
      <c r="D64" s="57">
        <v>1.4</v>
      </c>
      <c r="E64" s="47" t="s">
        <v>123</v>
      </c>
      <c r="F64" s="47" t="s">
        <v>123</v>
      </c>
      <c r="G64" s="8">
        <f t="shared" si="0"/>
        <v>1.4</v>
      </c>
      <c r="H64" s="8" t="s">
        <v>123</v>
      </c>
      <c r="I64" s="36"/>
      <c r="J64" s="36"/>
      <c r="K64" s="36"/>
      <c r="L64" s="36"/>
      <c r="M64" s="36"/>
      <c r="N64" s="36"/>
      <c r="O64" s="36"/>
      <c r="P64" s="36"/>
      <c r="Q64" s="36"/>
      <c r="R64" s="36"/>
    </row>
    <row r="65" spans="1:18" x14ac:dyDescent="0.2">
      <c r="A65" s="58">
        <v>3</v>
      </c>
      <c r="B65" s="58" t="s">
        <v>74</v>
      </c>
      <c r="C65" s="59">
        <v>877</v>
      </c>
      <c r="D65" s="57">
        <v>1.3</v>
      </c>
      <c r="E65" s="47" t="s">
        <v>123</v>
      </c>
      <c r="F65" s="47" t="s">
        <v>123</v>
      </c>
      <c r="G65" s="8">
        <f t="shared" si="0"/>
        <v>1.3</v>
      </c>
      <c r="H65" s="8" t="s">
        <v>123</v>
      </c>
      <c r="I65" s="36"/>
      <c r="J65" s="36"/>
      <c r="K65" s="36"/>
      <c r="L65" s="36"/>
      <c r="M65" s="36"/>
      <c r="N65" s="36"/>
      <c r="O65" s="36"/>
      <c r="P65" s="36"/>
      <c r="Q65" s="36"/>
      <c r="R65" s="36"/>
    </row>
    <row r="66" spans="1:18" x14ac:dyDescent="0.2">
      <c r="A66" s="58">
        <v>3</v>
      </c>
      <c r="B66" s="58" t="s">
        <v>74</v>
      </c>
      <c r="C66" s="59">
        <v>879</v>
      </c>
      <c r="D66" s="57">
        <v>1.1000000000000001</v>
      </c>
      <c r="E66" s="47" t="s">
        <v>123</v>
      </c>
      <c r="F66" s="47" t="s">
        <v>123</v>
      </c>
      <c r="G66" s="8">
        <f t="shared" si="0"/>
        <v>1.1000000000000001</v>
      </c>
      <c r="H66" s="8" t="s">
        <v>123</v>
      </c>
      <c r="I66" s="36"/>
      <c r="J66" s="36"/>
      <c r="K66" s="36"/>
      <c r="L66" s="36"/>
      <c r="M66" s="36"/>
      <c r="N66" s="36"/>
      <c r="O66" s="36"/>
      <c r="P66" s="36"/>
      <c r="Q66" s="36"/>
      <c r="R66" s="36"/>
    </row>
    <row r="67" spans="1:18" x14ac:dyDescent="0.2">
      <c r="A67" s="58">
        <v>3</v>
      </c>
      <c r="B67" s="58" t="s">
        <v>74</v>
      </c>
      <c r="C67" s="59">
        <v>887</v>
      </c>
      <c r="D67" s="57">
        <v>2.2000000000000002</v>
      </c>
      <c r="E67" s="47" t="s">
        <v>123</v>
      </c>
      <c r="F67" s="47" t="s">
        <v>123</v>
      </c>
      <c r="G67" s="8">
        <f t="shared" si="0"/>
        <v>2.2000000000000002</v>
      </c>
      <c r="H67" s="8" t="s">
        <v>123</v>
      </c>
      <c r="I67" s="36"/>
      <c r="J67" s="36"/>
      <c r="K67" s="36"/>
      <c r="L67" s="36"/>
      <c r="M67" s="36"/>
      <c r="N67" s="36"/>
      <c r="O67" s="36"/>
      <c r="P67" s="36"/>
      <c r="Q67" s="36"/>
      <c r="R67" s="36"/>
    </row>
    <row r="68" spans="1:18" x14ac:dyDescent="0.2">
      <c r="A68" s="58">
        <v>3</v>
      </c>
      <c r="B68" s="58" t="s">
        <v>74</v>
      </c>
      <c r="C68" s="59">
        <v>888</v>
      </c>
      <c r="D68" s="57">
        <v>0.8</v>
      </c>
      <c r="E68" s="47" t="s">
        <v>123</v>
      </c>
      <c r="F68" s="47" t="s">
        <v>123</v>
      </c>
      <c r="G68" s="8">
        <f t="shared" si="0"/>
        <v>0.8</v>
      </c>
      <c r="H68" s="8" t="s">
        <v>123</v>
      </c>
      <c r="I68" s="36"/>
      <c r="J68" s="36"/>
      <c r="K68" s="36"/>
      <c r="L68" s="36"/>
      <c r="M68" s="36"/>
      <c r="N68" s="36"/>
      <c r="O68" s="36"/>
      <c r="P68" s="36"/>
      <c r="Q68" s="36"/>
      <c r="R68" s="36"/>
    </row>
    <row r="69" spans="1:18" x14ac:dyDescent="0.2">
      <c r="A69" s="51">
        <v>4</v>
      </c>
      <c r="B69" s="51" t="s">
        <v>104</v>
      </c>
      <c r="C69" s="52" t="s">
        <v>105</v>
      </c>
      <c r="D69" s="57">
        <v>2.9</v>
      </c>
      <c r="E69" s="47" t="s">
        <v>123</v>
      </c>
      <c r="F69" s="47" t="s">
        <v>123</v>
      </c>
      <c r="G69" s="8">
        <f t="shared" si="0"/>
        <v>2.9</v>
      </c>
      <c r="H69" s="8" t="s">
        <v>123</v>
      </c>
      <c r="I69" s="36"/>
      <c r="J69" s="36"/>
      <c r="K69" s="36"/>
      <c r="L69" s="36"/>
      <c r="M69" s="36"/>
      <c r="N69" s="36"/>
      <c r="O69" s="36"/>
      <c r="P69" s="36"/>
      <c r="Q69" s="36"/>
      <c r="R69" s="36"/>
    </row>
    <row r="70" spans="1:18" x14ac:dyDescent="0.2">
      <c r="A70" s="51">
        <v>4</v>
      </c>
      <c r="B70" s="51" t="s">
        <v>104</v>
      </c>
      <c r="C70" s="52" t="s">
        <v>106</v>
      </c>
      <c r="D70" s="57">
        <v>1.8</v>
      </c>
      <c r="E70" s="47" t="s">
        <v>123</v>
      </c>
      <c r="F70" s="47" t="s">
        <v>123</v>
      </c>
      <c r="G70" s="8">
        <f t="shared" si="0"/>
        <v>1.8</v>
      </c>
      <c r="H70" s="8" t="s">
        <v>123</v>
      </c>
      <c r="I70" s="36"/>
      <c r="J70" s="36"/>
      <c r="K70" s="36"/>
      <c r="L70" s="36"/>
      <c r="M70" s="36"/>
      <c r="N70" s="36"/>
      <c r="O70" s="36"/>
      <c r="P70" s="36"/>
      <c r="Q70" s="36"/>
      <c r="R70" s="36"/>
    </row>
    <row r="71" spans="1:18" x14ac:dyDescent="0.2">
      <c r="A71" s="51">
        <v>4</v>
      </c>
      <c r="B71" s="51" t="s">
        <v>104</v>
      </c>
      <c r="C71" s="52" t="s">
        <v>107</v>
      </c>
      <c r="D71" s="57">
        <v>4.5</v>
      </c>
      <c r="E71" s="47" t="s">
        <v>123</v>
      </c>
      <c r="F71" s="47" t="s">
        <v>123</v>
      </c>
      <c r="G71" s="8">
        <f t="shared" si="0"/>
        <v>4.5</v>
      </c>
      <c r="H71" s="8" t="s">
        <v>123</v>
      </c>
      <c r="I71" s="36"/>
      <c r="J71" s="36"/>
      <c r="K71" s="36"/>
      <c r="L71" s="36"/>
      <c r="M71" s="36"/>
      <c r="N71" s="36"/>
      <c r="O71" s="36"/>
      <c r="P71" s="36"/>
      <c r="Q71" s="36"/>
      <c r="R71" s="36"/>
    </row>
    <row r="72" spans="1:18" x14ac:dyDescent="0.2">
      <c r="A72" s="51">
        <v>4</v>
      </c>
      <c r="B72" s="51" t="s">
        <v>104</v>
      </c>
      <c r="C72" s="52" t="s">
        <v>108</v>
      </c>
      <c r="D72" s="57">
        <v>1.5</v>
      </c>
      <c r="E72" s="47" t="s">
        <v>123</v>
      </c>
      <c r="F72" s="47" t="s">
        <v>123</v>
      </c>
      <c r="G72" s="8">
        <f t="shared" si="0"/>
        <v>1.5</v>
      </c>
      <c r="H72" s="8" t="s">
        <v>123</v>
      </c>
      <c r="I72" s="36"/>
      <c r="J72" s="36"/>
      <c r="K72" s="36"/>
      <c r="L72" s="36"/>
      <c r="M72" s="36"/>
      <c r="N72" s="36"/>
      <c r="O72" s="36"/>
      <c r="P72" s="36"/>
      <c r="Q72" s="36"/>
      <c r="R72" s="36"/>
    </row>
    <row r="73" spans="1:18" x14ac:dyDescent="0.2">
      <c r="A73" s="51">
        <v>4</v>
      </c>
      <c r="B73" s="51" t="s">
        <v>104</v>
      </c>
      <c r="C73" s="52" t="s">
        <v>109</v>
      </c>
      <c r="D73" s="57">
        <v>2.9</v>
      </c>
      <c r="E73" s="47" t="s">
        <v>123</v>
      </c>
      <c r="F73" s="47" t="s">
        <v>123</v>
      </c>
      <c r="G73" s="8">
        <f t="shared" ref="G73:G102" si="1">IF(D73="NA","NA",ROUND(AVERAGE(D73:F73),2))</f>
        <v>2.9</v>
      </c>
      <c r="H73" s="8" t="s">
        <v>123</v>
      </c>
      <c r="I73" s="36"/>
      <c r="J73" s="36"/>
      <c r="K73" s="36"/>
      <c r="L73" s="36"/>
      <c r="M73" s="36"/>
      <c r="N73" s="36"/>
      <c r="O73" s="36"/>
      <c r="P73" s="36"/>
      <c r="Q73" s="36"/>
      <c r="R73" s="36"/>
    </row>
    <row r="74" spans="1:18" x14ac:dyDescent="0.2">
      <c r="A74" s="51">
        <v>4</v>
      </c>
      <c r="B74" s="51" t="s">
        <v>104</v>
      </c>
      <c r="C74" s="52" t="s">
        <v>110</v>
      </c>
      <c r="D74" s="57">
        <v>2.2000000000000002</v>
      </c>
      <c r="E74" s="47" t="s">
        <v>123</v>
      </c>
      <c r="F74" s="47" t="s">
        <v>123</v>
      </c>
      <c r="G74" s="8">
        <f t="shared" si="1"/>
        <v>2.2000000000000002</v>
      </c>
      <c r="H74" s="8" t="s">
        <v>123</v>
      </c>
      <c r="I74" s="36"/>
      <c r="J74" s="36"/>
      <c r="K74" s="36"/>
      <c r="L74" s="36"/>
      <c r="M74" s="36"/>
      <c r="N74" s="36"/>
      <c r="O74" s="36"/>
      <c r="P74" s="36"/>
      <c r="Q74" s="36"/>
      <c r="R74" s="36"/>
    </row>
    <row r="75" spans="1:18" x14ac:dyDescent="0.2">
      <c r="A75" s="51">
        <v>4</v>
      </c>
      <c r="B75" s="51" t="s">
        <v>104</v>
      </c>
      <c r="C75" s="52" t="s">
        <v>111</v>
      </c>
      <c r="D75" s="57">
        <v>1.7</v>
      </c>
      <c r="E75" s="47" t="s">
        <v>123</v>
      </c>
      <c r="F75" s="47" t="s">
        <v>123</v>
      </c>
      <c r="G75" s="8">
        <f t="shared" si="1"/>
        <v>1.7</v>
      </c>
      <c r="H75" s="8" t="s">
        <v>123</v>
      </c>
      <c r="I75" s="36"/>
      <c r="J75" s="36"/>
      <c r="K75" s="36"/>
      <c r="L75" s="36"/>
      <c r="M75" s="36"/>
      <c r="N75" s="36"/>
      <c r="O75" s="36"/>
      <c r="P75" s="36"/>
      <c r="Q75" s="36"/>
      <c r="R75" s="36"/>
    </row>
    <row r="76" spans="1:18" x14ac:dyDescent="0.2">
      <c r="A76" s="51">
        <v>4</v>
      </c>
      <c r="B76" s="51" t="s">
        <v>104</v>
      </c>
      <c r="C76" s="52" t="s">
        <v>112</v>
      </c>
      <c r="D76" s="57">
        <v>2.4</v>
      </c>
      <c r="E76" s="47" t="s">
        <v>123</v>
      </c>
      <c r="F76" s="47" t="s">
        <v>123</v>
      </c>
      <c r="G76" s="8">
        <f t="shared" si="1"/>
        <v>2.4</v>
      </c>
      <c r="H76" s="8" t="s">
        <v>123</v>
      </c>
      <c r="I76" s="36"/>
      <c r="J76" s="36"/>
      <c r="K76" s="36"/>
      <c r="L76" s="36"/>
      <c r="M76" s="36"/>
      <c r="N76" s="36"/>
      <c r="O76" s="36"/>
      <c r="P76" s="36"/>
      <c r="Q76" s="36"/>
      <c r="R76" s="36"/>
    </row>
    <row r="77" spans="1:18" x14ac:dyDescent="0.2">
      <c r="A77" s="51">
        <v>4</v>
      </c>
      <c r="B77" s="51" t="s">
        <v>104</v>
      </c>
      <c r="C77" s="52" t="s">
        <v>113</v>
      </c>
      <c r="D77" s="57">
        <v>2.5</v>
      </c>
      <c r="E77" s="47" t="s">
        <v>123</v>
      </c>
      <c r="F77" s="47" t="s">
        <v>123</v>
      </c>
      <c r="G77" s="8">
        <f t="shared" si="1"/>
        <v>2.5</v>
      </c>
      <c r="H77" s="8" t="s">
        <v>123</v>
      </c>
      <c r="I77" s="36"/>
      <c r="J77" s="36"/>
      <c r="K77" s="36"/>
      <c r="L77" s="36"/>
      <c r="M77" s="36"/>
      <c r="N77" s="36"/>
      <c r="O77" s="36"/>
      <c r="P77" s="36"/>
      <c r="Q77" s="36"/>
      <c r="R77" s="36"/>
    </row>
    <row r="78" spans="1:18" x14ac:dyDescent="0.2">
      <c r="A78" s="51">
        <v>4</v>
      </c>
      <c r="B78" s="51" t="s">
        <v>104</v>
      </c>
      <c r="C78" s="52" t="s">
        <v>114</v>
      </c>
      <c r="D78" s="57">
        <v>1.5</v>
      </c>
      <c r="E78" s="47" t="s">
        <v>123</v>
      </c>
      <c r="F78" s="47" t="s">
        <v>123</v>
      </c>
      <c r="G78" s="8">
        <f t="shared" si="1"/>
        <v>1.5</v>
      </c>
      <c r="H78" s="8" t="s">
        <v>123</v>
      </c>
      <c r="I78" s="36"/>
      <c r="J78" s="36"/>
      <c r="K78" s="36"/>
      <c r="L78" s="36"/>
      <c r="M78" s="36"/>
      <c r="N78" s="36"/>
      <c r="O78" s="36"/>
      <c r="P78" s="36"/>
      <c r="Q78" s="36"/>
      <c r="R78" s="36"/>
    </row>
    <row r="79" spans="1:18" x14ac:dyDescent="0.2">
      <c r="A79" s="51">
        <v>4</v>
      </c>
      <c r="B79" s="51" t="s">
        <v>104</v>
      </c>
      <c r="C79" s="52" t="s">
        <v>115</v>
      </c>
      <c r="D79" s="57">
        <v>2.8</v>
      </c>
      <c r="E79" s="47" t="s">
        <v>123</v>
      </c>
      <c r="F79" s="47" t="s">
        <v>123</v>
      </c>
      <c r="G79" s="8">
        <f t="shared" si="1"/>
        <v>2.8</v>
      </c>
      <c r="H79" s="8" t="s">
        <v>123</v>
      </c>
      <c r="I79" s="36"/>
      <c r="J79" s="36"/>
      <c r="K79" s="36"/>
      <c r="L79" s="36"/>
      <c r="M79" s="36"/>
      <c r="N79" s="36"/>
      <c r="O79" s="36"/>
      <c r="P79" s="36"/>
      <c r="Q79" s="36"/>
      <c r="R79" s="36"/>
    </row>
    <row r="80" spans="1:18" x14ac:dyDescent="0.2">
      <c r="A80" s="51">
        <v>4</v>
      </c>
      <c r="B80" s="51" t="s">
        <v>104</v>
      </c>
      <c r="C80" s="52" t="s">
        <v>116</v>
      </c>
      <c r="D80" s="57">
        <v>1.8</v>
      </c>
      <c r="E80" s="47" t="s">
        <v>123</v>
      </c>
      <c r="F80" s="47" t="s">
        <v>123</v>
      </c>
      <c r="G80" s="8">
        <f t="shared" si="1"/>
        <v>1.8</v>
      </c>
      <c r="H80" s="8" t="s">
        <v>123</v>
      </c>
      <c r="I80" s="36"/>
      <c r="J80" s="36"/>
      <c r="K80" s="36"/>
      <c r="L80" s="36"/>
      <c r="M80" s="36"/>
      <c r="N80" s="36"/>
      <c r="O80" s="36"/>
      <c r="P80" s="36"/>
      <c r="Q80" s="36"/>
      <c r="R80" s="36"/>
    </row>
    <row r="81" spans="1:18" x14ac:dyDescent="0.2">
      <c r="A81" s="51">
        <v>4</v>
      </c>
      <c r="B81" s="51" t="s">
        <v>104</v>
      </c>
      <c r="C81" s="52" t="s">
        <v>117</v>
      </c>
      <c r="D81" s="57">
        <v>2</v>
      </c>
      <c r="E81" s="47" t="s">
        <v>123</v>
      </c>
      <c r="F81" s="47" t="s">
        <v>123</v>
      </c>
      <c r="G81" s="8">
        <f t="shared" si="1"/>
        <v>2</v>
      </c>
      <c r="H81" s="8" t="s">
        <v>123</v>
      </c>
      <c r="I81" s="36"/>
      <c r="J81" s="36"/>
      <c r="K81" s="36"/>
      <c r="L81" s="36"/>
      <c r="M81" s="36"/>
      <c r="N81" s="36"/>
      <c r="O81" s="36"/>
      <c r="P81" s="36"/>
      <c r="Q81" s="36"/>
      <c r="R81" s="36"/>
    </row>
    <row r="82" spans="1:18" x14ac:dyDescent="0.2">
      <c r="A82" s="51">
        <v>4</v>
      </c>
      <c r="B82" s="51" t="s">
        <v>104</v>
      </c>
      <c r="C82" s="52" t="s">
        <v>118</v>
      </c>
      <c r="D82" s="57">
        <v>2.8</v>
      </c>
      <c r="E82" s="47" t="s">
        <v>123</v>
      </c>
      <c r="F82" s="47" t="s">
        <v>123</v>
      </c>
      <c r="G82" s="8">
        <f t="shared" si="1"/>
        <v>2.8</v>
      </c>
      <c r="H82" s="8" t="s">
        <v>123</v>
      </c>
      <c r="I82" s="36"/>
      <c r="J82" s="36"/>
      <c r="K82" s="36"/>
      <c r="L82" s="36"/>
      <c r="M82" s="36"/>
      <c r="N82" s="36"/>
      <c r="O82" s="36"/>
      <c r="P82" s="36"/>
      <c r="Q82" s="36"/>
      <c r="R82" s="36"/>
    </row>
    <row r="83" spans="1:18" x14ac:dyDescent="0.2">
      <c r="A83" s="51">
        <v>4</v>
      </c>
      <c r="B83" s="51" t="s">
        <v>104</v>
      </c>
      <c r="C83" s="52" t="s">
        <v>119</v>
      </c>
      <c r="D83" s="57" t="s">
        <v>123</v>
      </c>
      <c r="E83" s="47" t="s">
        <v>123</v>
      </c>
      <c r="F83" s="47" t="s">
        <v>123</v>
      </c>
      <c r="G83" s="8" t="str">
        <f t="shared" si="1"/>
        <v>NA</v>
      </c>
      <c r="H83" s="8" t="s">
        <v>123</v>
      </c>
      <c r="I83" s="36"/>
      <c r="J83" s="36"/>
      <c r="K83" s="36"/>
      <c r="L83" s="36"/>
      <c r="M83" s="36"/>
      <c r="N83" s="36"/>
      <c r="O83" s="36"/>
      <c r="P83" s="36"/>
      <c r="Q83" s="36"/>
      <c r="R83" s="36"/>
    </row>
    <row r="84" spans="1:18" x14ac:dyDescent="0.2">
      <c r="A84" s="51">
        <v>4</v>
      </c>
      <c r="B84" s="51" t="s">
        <v>104</v>
      </c>
      <c r="C84" s="52" t="s">
        <v>120</v>
      </c>
      <c r="D84" s="57">
        <v>2.4</v>
      </c>
      <c r="E84" s="47" t="s">
        <v>123</v>
      </c>
      <c r="F84" s="47" t="s">
        <v>123</v>
      </c>
      <c r="G84" s="8">
        <f t="shared" si="1"/>
        <v>2.4</v>
      </c>
      <c r="H84" s="8" t="s">
        <v>123</v>
      </c>
      <c r="I84" s="36"/>
      <c r="J84" s="36"/>
      <c r="K84" s="36"/>
      <c r="L84" s="36"/>
      <c r="M84" s="36"/>
      <c r="N84" s="36"/>
      <c r="O84" s="36"/>
      <c r="P84" s="36"/>
      <c r="Q84" s="36"/>
      <c r="R84" s="36"/>
    </row>
    <row r="85" spans="1:18" x14ac:dyDescent="0.2">
      <c r="A85" s="51">
        <v>4</v>
      </c>
      <c r="B85" s="51" t="s">
        <v>104</v>
      </c>
      <c r="C85" s="52" t="s">
        <v>121</v>
      </c>
      <c r="D85" s="57">
        <v>2.8</v>
      </c>
      <c r="E85" s="47" t="s">
        <v>123</v>
      </c>
      <c r="F85" s="47" t="s">
        <v>123</v>
      </c>
      <c r="G85" s="8">
        <f t="shared" si="1"/>
        <v>2.8</v>
      </c>
      <c r="H85" s="8" t="s">
        <v>123</v>
      </c>
      <c r="I85" s="36"/>
      <c r="J85" s="36"/>
      <c r="K85" s="36"/>
      <c r="L85" s="36"/>
      <c r="M85" s="36"/>
      <c r="N85" s="36"/>
      <c r="O85" s="36"/>
      <c r="P85" s="36"/>
      <c r="Q85" s="36"/>
      <c r="R85" s="36"/>
    </row>
    <row r="86" spans="1:18" x14ac:dyDescent="0.2">
      <c r="A86" s="51">
        <v>4</v>
      </c>
      <c r="B86" s="51" t="s">
        <v>104</v>
      </c>
      <c r="C86" s="52" t="s">
        <v>122</v>
      </c>
      <c r="D86" s="57" t="s">
        <v>123</v>
      </c>
      <c r="E86" s="47" t="s">
        <v>123</v>
      </c>
      <c r="F86" s="47" t="s">
        <v>123</v>
      </c>
      <c r="G86" s="8" t="str">
        <f t="shared" si="1"/>
        <v>NA</v>
      </c>
      <c r="H86" s="8" t="s">
        <v>123</v>
      </c>
      <c r="I86" s="36"/>
      <c r="J86" s="36"/>
      <c r="K86" s="36"/>
      <c r="L86" s="36"/>
      <c r="M86" s="36"/>
      <c r="N86" s="36"/>
      <c r="O86" s="36"/>
      <c r="P86" s="36"/>
      <c r="Q86" s="36"/>
      <c r="R86" s="36"/>
    </row>
    <row r="87" spans="1:18" x14ac:dyDescent="0.2">
      <c r="A87" s="51">
        <v>4</v>
      </c>
      <c r="B87" s="51" t="s">
        <v>104</v>
      </c>
      <c r="C87" s="52" t="s">
        <v>124</v>
      </c>
      <c r="D87" s="57">
        <v>2</v>
      </c>
      <c r="E87" s="47" t="s">
        <v>123</v>
      </c>
      <c r="F87" s="47" t="s">
        <v>123</v>
      </c>
      <c r="G87" s="8">
        <f t="shared" si="1"/>
        <v>2</v>
      </c>
      <c r="H87" s="8" t="s">
        <v>123</v>
      </c>
      <c r="I87" s="36"/>
      <c r="J87" s="36"/>
      <c r="K87" s="36"/>
      <c r="L87" s="36"/>
      <c r="M87" s="36"/>
      <c r="N87" s="36"/>
      <c r="O87" s="36"/>
      <c r="P87" s="36"/>
      <c r="Q87" s="36"/>
      <c r="R87" s="36"/>
    </row>
    <row r="88" spans="1:18" x14ac:dyDescent="0.2">
      <c r="A88" s="51">
        <v>4</v>
      </c>
      <c r="B88" s="51" t="s">
        <v>104</v>
      </c>
      <c r="C88" s="52" t="s">
        <v>125</v>
      </c>
      <c r="D88" s="57">
        <v>2.9</v>
      </c>
      <c r="E88" s="47" t="s">
        <v>123</v>
      </c>
      <c r="F88" s="47" t="s">
        <v>123</v>
      </c>
      <c r="G88" s="8">
        <f t="shared" si="1"/>
        <v>2.9</v>
      </c>
      <c r="H88" s="8" t="s">
        <v>123</v>
      </c>
      <c r="I88" s="36"/>
      <c r="J88" s="36"/>
      <c r="K88" s="36"/>
      <c r="L88" s="36"/>
      <c r="M88" s="36"/>
      <c r="N88" s="36"/>
      <c r="O88" s="36"/>
      <c r="P88" s="36"/>
      <c r="Q88" s="36"/>
      <c r="R88" s="36"/>
    </row>
    <row r="89" spans="1:18" x14ac:dyDescent="0.2">
      <c r="A89" s="51">
        <v>4</v>
      </c>
      <c r="B89" s="51" t="s">
        <v>104</v>
      </c>
      <c r="C89" s="52" t="s">
        <v>126</v>
      </c>
      <c r="D89" s="57">
        <v>2.2000000000000002</v>
      </c>
      <c r="E89" s="47" t="s">
        <v>123</v>
      </c>
      <c r="F89" s="47" t="s">
        <v>123</v>
      </c>
      <c r="G89" s="8">
        <f t="shared" si="1"/>
        <v>2.2000000000000002</v>
      </c>
      <c r="H89" s="8" t="s">
        <v>123</v>
      </c>
      <c r="I89" s="36"/>
      <c r="J89" s="36"/>
      <c r="K89" s="36"/>
      <c r="L89" s="36"/>
      <c r="M89" s="36"/>
      <c r="N89" s="36"/>
      <c r="O89" s="36"/>
      <c r="P89" s="36"/>
      <c r="Q89" s="36"/>
      <c r="R89" s="36"/>
    </row>
    <row r="90" spans="1:18" x14ac:dyDescent="0.2">
      <c r="A90" s="51">
        <v>4</v>
      </c>
      <c r="B90" s="51" t="s">
        <v>104</v>
      </c>
      <c r="C90" s="52" t="s">
        <v>127</v>
      </c>
      <c r="D90" s="57" t="s">
        <v>123</v>
      </c>
      <c r="E90" s="47" t="s">
        <v>123</v>
      </c>
      <c r="F90" s="47" t="s">
        <v>123</v>
      </c>
      <c r="G90" s="8" t="str">
        <f t="shared" si="1"/>
        <v>NA</v>
      </c>
      <c r="H90" s="8" t="s">
        <v>123</v>
      </c>
      <c r="I90" s="36"/>
      <c r="J90" s="36"/>
      <c r="K90" s="36"/>
      <c r="L90" s="36"/>
      <c r="M90" s="36"/>
      <c r="N90" s="36"/>
      <c r="O90" s="36"/>
      <c r="P90" s="36"/>
      <c r="Q90" s="36"/>
      <c r="R90" s="36"/>
    </row>
    <row r="91" spans="1:18" x14ac:dyDescent="0.2">
      <c r="A91" s="51">
        <v>4</v>
      </c>
      <c r="B91" s="51" t="s">
        <v>104</v>
      </c>
      <c r="C91" s="52" t="s">
        <v>128</v>
      </c>
      <c r="D91" s="57">
        <v>1.8</v>
      </c>
      <c r="E91" s="47" t="s">
        <v>123</v>
      </c>
      <c r="F91" s="47" t="s">
        <v>123</v>
      </c>
      <c r="G91" s="8">
        <f t="shared" si="1"/>
        <v>1.8</v>
      </c>
      <c r="H91" s="8" t="s">
        <v>123</v>
      </c>
      <c r="I91" s="36"/>
      <c r="J91" s="36"/>
      <c r="K91" s="36"/>
      <c r="L91" s="36"/>
      <c r="M91" s="36"/>
      <c r="N91" s="36"/>
      <c r="O91" s="36"/>
      <c r="P91" s="36"/>
      <c r="Q91" s="36"/>
      <c r="R91" s="36"/>
    </row>
    <row r="92" spans="1:18" x14ac:dyDescent="0.2">
      <c r="A92" s="51">
        <v>4</v>
      </c>
      <c r="B92" s="51" t="s">
        <v>104</v>
      </c>
      <c r="C92" s="52" t="s">
        <v>129</v>
      </c>
      <c r="D92" s="57">
        <v>2</v>
      </c>
      <c r="E92" s="47" t="s">
        <v>123</v>
      </c>
      <c r="F92" s="47" t="s">
        <v>123</v>
      </c>
      <c r="G92" s="8">
        <f t="shared" si="1"/>
        <v>2</v>
      </c>
      <c r="H92" s="8" t="s">
        <v>123</v>
      </c>
      <c r="I92" s="36"/>
      <c r="J92" s="36"/>
      <c r="K92" s="36"/>
      <c r="L92" s="36"/>
      <c r="M92" s="36"/>
      <c r="N92" s="36"/>
      <c r="O92" s="36"/>
      <c r="P92" s="36"/>
      <c r="Q92" s="36"/>
      <c r="R92" s="36"/>
    </row>
    <row r="93" spans="1:18" x14ac:dyDescent="0.2">
      <c r="A93" s="51">
        <v>4</v>
      </c>
      <c r="B93" s="51" t="s">
        <v>104</v>
      </c>
      <c r="C93" s="52" t="s">
        <v>130</v>
      </c>
      <c r="D93" s="57">
        <v>2.4</v>
      </c>
      <c r="E93" s="47" t="s">
        <v>123</v>
      </c>
      <c r="F93" s="47" t="s">
        <v>123</v>
      </c>
      <c r="G93" s="8">
        <f t="shared" si="1"/>
        <v>2.4</v>
      </c>
      <c r="H93" s="8" t="s">
        <v>123</v>
      </c>
      <c r="I93" s="36"/>
      <c r="J93" s="36"/>
      <c r="K93" s="36"/>
      <c r="L93" s="36"/>
      <c r="M93" s="36"/>
      <c r="N93" s="36"/>
      <c r="O93" s="36"/>
      <c r="P93" s="36"/>
      <c r="Q93" s="36"/>
      <c r="R93" s="36"/>
    </row>
    <row r="94" spans="1:18" x14ac:dyDescent="0.2">
      <c r="A94" s="51">
        <v>4</v>
      </c>
      <c r="B94" s="51" t="s">
        <v>104</v>
      </c>
      <c r="C94" s="52" t="s">
        <v>131</v>
      </c>
      <c r="D94" s="57">
        <v>2</v>
      </c>
      <c r="E94" s="47" t="s">
        <v>123</v>
      </c>
      <c r="F94" s="47" t="s">
        <v>123</v>
      </c>
      <c r="G94" s="8">
        <f t="shared" si="1"/>
        <v>2</v>
      </c>
      <c r="H94" s="8" t="s">
        <v>123</v>
      </c>
      <c r="I94" s="36"/>
      <c r="J94" s="36"/>
      <c r="K94" s="36"/>
      <c r="L94" s="36"/>
      <c r="M94" s="36"/>
      <c r="N94" s="36"/>
      <c r="O94" s="36"/>
      <c r="P94" s="36"/>
      <c r="Q94" s="36"/>
      <c r="R94" s="36"/>
    </row>
    <row r="95" spans="1:18" x14ac:dyDescent="0.2">
      <c r="A95" s="51">
        <v>4</v>
      </c>
      <c r="B95" s="51" t="s">
        <v>104</v>
      </c>
      <c r="C95" s="52" t="s">
        <v>132</v>
      </c>
      <c r="D95" s="57">
        <v>1.8</v>
      </c>
      <c r="E95" s="47" t="s">
        <v>123</v>
      </c>
      <c r="F95" s="47" t="s">
        <v>123</v>
      </c>
      <c r="G95" s="8">
        <f t="shared" si="1"/>
        <v>1.8</v>
      </c>
      <c r="H95" s="8" t="s">
        <v>123</v>
      </c>
      <c r="I95" s="36"/>
      <c r="J95" s="36"/>
      <c r="K95" s="36"/>
      <c r="L95" s="36"/>
      <c r="M95" s="36"/>
      <c r="N95" s="36"/>
      <c r="O95" s="36"/>
      <c r="P95" s="36"/>
      <c r="Q95" s="36"/>
      <c r="R95" s="36"/>
    </row>
    <row r="96" spans="1:18" x14ac:dyDescent="0.2">
      <c r="A96" s="51">
        <v>4</v>
      </c>
      <c r="B96" s="51" t="s">
        <v>104</v>
      </c>
      <c r="C96" s="52" t="s">
        <v>133</v>
      </c>
      <c r="D96" s="57">
        <v>2.1</v>
      </c>
      <c r="E96" s="47" t="s">
        <v>123</v>
      </c>
      <c r="F96" s="47" t="s">
        <v>123</v>
      </c>
      <c r="G96" s="8">
        <f t="shared" si="1"/>
        <v>2.1</v>
      </c>
      <c r="H96" s="8" t="s">
        <v>123</v>
      </c>
      <c r="I96" s="36"/>
      <c r="J96" s="36"/>
      <c r="K96" s="36"/>
      <c r="L96" s="36"/>
      <c r="M96" s="36"/>
      <c r="N96" s="36"/>
      <c r="O96" s="36"/>
      <c r="P96" s="36"/>
      <c r="Q96" s="36"/>
      <c r="R96" s="36"/>
    </row>
    <row r="97" spans="1:18" x14ac:dyDescent="0.2">
      <c r="A97" s="51">
        <v>4</v>
      </c>
      <c r="B97" s="51" t="s">
        <v>104</v>
      </c>
      <c r="C97" s="52" t="s">
        <v>134</v>
      </c>
      <c r="D97" s="57">
        <v>1.8</v>
      </c>
      <c r="E97" s="47" t="s">
        <v>123</v>
      </c>
      <c r="F97" s="47" t="s">
        <v>123</v>
      </c>
      <c r="G97" s="8">
        <f t="shared" si="1"/>
        <v>1.8</v>
      </c>
      <c r="H97" s="8" t="s">
        <v>123</v>
      </c>
      <c r="I97" s="36"/>
      <c r="J97" s="36"/>
      <c r="K97" s="36"/>
      <c r="L97" s="36"/>
      <c r="M97" s="36"/>
      <c r="N97" s="36"/>
      <c r="O97" s="36"/>
      <c r="P97" s="36"/>
      <c r="Q97" s="36"/>
      <c r="R97" s="36"/>
    </row>
    <row r="98" spans="1:18" x14ac:dyDescent="0.2">
      <c r="A98" s="53">
        <v>4</v>
      </c>
      <c r="B98" s="51" t="s">
        <v>104</v>
      </c>
      <c r="C98" s="51" t="s">
        <v>135</v>
      </c>
      <c r="D98" s="57">
        <v>1.8</v>
      </c>
      <c r="E98" s="47" t="s">
        <v>123</v>
      </c>
      <c r="F98" s="47" t="s">
        <v>123</v>
      </c>
      <c r="G98" s="8">
        <f t="shared" si="1"/>
        <v>1.8</v>
      </c>
      <c r="H98" s="8" t="s">
        <v>123</v>
      </c>
      <c r="I98" s="36"/>
      <c r="J98" s="36"/>
      <c r="K98" s="36"/>
      <c r="L98" s="36"/>
      <c r="M98" s="36"/>
      <c r="N98" s="36"/>
      <c r="O98" s="36"/>
      <c r="P98" s="36"/>
      <c r="Q98" s="36"/>
      <c r="R98" s="36"/>
    </row>
    <row r="99" spans="1:18" x14ac:dyDescent="0.2">
      <c r="A99" s="53">
        <v>4</v>
      </c>
      <c r="B99" s="51" t="s">
        <v>104</v>
      </c>
      <c r="C99" s="51" t="s">
        <v>136</v>
      </c>
      <c r="D99" s="57">
        <v>1.8</v>
      </c>
      <c r="E99" s="47" t="s">
        <v>123</v>
      </c>
      <c r="F99" s="47" t="s">
        <v>123</v>
      </c>
      <c r="G99" s="8">
        <f t="shared" si="1"/>
        <v>1.8</v>
      </c>
      <c r="H99" s="8" t="s">
        <v>123</v>
      </c>
      <c r="I99" s="36"/>
      <c r="J99" s="36"/>
      <c r="K99" s="36"/>
      <c r="L99" s="36"/>
      <c r="M99" s="36"/>
      <c r="N99" s="36"/>
      <c r="O99" s="36"/>
      <c r="P99" s="36"/>
      <c r="Q99" s="36"/>
      <c r="R99" s="36"/>
    </row>
    <row r="100" spans="1:18" x14ac:dyDescent="0.2">
      <c r="A100" s="53">
        <v>4</v>
      </c>
      <c r="B100" s="51" t="s">
        <v>104</v>
      </c>
      <c r="C100" s="51" t="s">
        <v>137</v>
      </c>
      <c r="D100" s="47" t="s">
        <v>123</v>
      </c>
      <c r="E100" s="47" t="s">
        <v>123</v>
      </c>
      <c r="F100" s="47" t="s">
        <v>123</v>
      </c>
      <c r="G100" s="8" t="str">
        <f t="shared" si="1"/>
        <v>NA</v>
      </c>
      <c r="H100" s="8" t="s">
        <v>123</v>
      </c>
      <c r="I100" s="36"/>
      <c r="J100" s="36"/>
      <c r="K100" s="36"/>
      <c r="L100" s="36"/>
      <c r="M100" s="36"/>
      <c r="N100" s="36"/>
      <c r="O100" s="36"/>
      <c r="P100" s="36"/>
      <c r="Q100" s="36"/>
      <c r="R100" s="36"/>
    </row>
    <row r="101" spans="1:18" x14ac:dyDescent="0.2">
      <c r="A101" s="53">
        <v>4</v>
      </c>
      <c r="B101" s="51" t="s">
        <v>104</v>
      </c>
      <c r="C101" s="51" t="s">
        <v>138</v>
      </c>
      <c r="D101" s="47" t="s">
        <v>123</v>
      </c>
      <c r="E101" s="47" t="s">
        <v>123</v>
      </c>
      <c r="F101" s="47" t="s">
        <v>123</v>
      </c>
      <c r="G101" s="8" t="str">
        <f t="shared" si="1"/>
        <v>NA</v>
      </c>
      <c r="H101" s="8" t="s">
        <v>123</v>
      </c>
      <c r="I101" s="36"/>
      <c r="J101" s="36"/>
      <c r="K101" s="36"/>
      <c r="L101" s="36"/>
      <c r="M101" s="36"/>
      <c r="N101" s="36"/>
      <c r="O101" s="36"/>
      <c r="P101" s="36"/>
      <c r="Q101" s="36"/>
      <c r="R101" s="36"/>
    </row>
    <row r="102" spans="1:18" x14ac:dyDescent="0.2">
      <c r="A102" s="53">
        <v>4</v>
      </c>
      <c r="B102" s="51" t="s">
        <v>104</v>
      </c>
      <c r="C102" s="51" t="s">
        <v>139</v>
      </c>
      <c r="D102" s="47" t="s">
        <v>123</v>
      </c>
      <c r="E102" s="47" t="s">
        <v>123</v>
      </c>
      <c r="F102" s="47" t="s">
        <v>123</v>
      </c>
      <c r="G102" s="8" t="str">
        <f t="shared" si="1"/>
        <v>NA</v>
      </c>
      <c r="H102" s="8" t="s">
        <v>123</v>
      </c>
      <c r="I102" s="36"/>
      <c r="J102" s="36"/>
      <c r="K102" s="36"/>
      <c r="L102" s="36"/>
      <c r="M102" s="36"/>
      <c r="N102" s="36"/>
      <c r="O102" s="36"/>
      <c r="P102" s="36"/>
      <c r="Q102" s="36"/>
      <c r="R102" s="36"/>
    </row>
  </sheetData>
  <pageMargins left="0.7" right="0.7" top="0.75" bottom="0.75" header="0.3" footer="0.3"/>
  <pageSetup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F8A63-F8C2-004F-96BA-22B4F500A8BD}">
  <dimension ref="A1:R102"/>
  <sheetViews>
    <sheetView topLeftCell="A81" workbookViewId="0">
      <selection activeCell="H102" sqref="H9:H102"/>
    </sheetView>
  </sheetViews>
  <sheetFormatPr baseColWidth="10" defaultColWidth="8.83203125" defaultRowHeight="15" x14ac:dyDescent="0.2"/>
  <cols>
    <col min="4" max="6" width="10.6640625" customWidth="1"/>
    <col min="7" max="7" width="8.83203125" customWidth="1"/>
  </cols>
  <sheetData>
    <row r="1" spans="1:18" ht="19" x14ac:dyDescent="0.25">
      <c r="A1" s="12" t="s">
        <v>0</v>
      </c>
      <c r="B1" s="12"/>
      <c r="C1" s="12"/>
      <c r="D1" s="12"/>
      <c r="E1" s="12"/>
      <c r="G1" s="12"/>
      <c r="H1" s="12"/>
      <c r="I1" s="12"/>
      <c r="K1" s="12"/>
    </row>
    <row r="2" spans="1:18" ht="19" x14ac:dyDescent="0.25">
      <c r="A2" s="12"/>
      <c r="B2" s="12"/>
      <c r="C2" s="12"/>
      <c r="D2" s="12"/>
      <c r="E2" s="12"/>
      <c r="G2" s="12"/>
      <c r="H2" s="12"/>
      <c r="I2" s="12"/>
      <c r="J2" s="12"/>
      <c r="K2" s="12"/>
    </row>
    <row r="3" spans="1:18" ht="19" x14ac:dyDescent="0.25">
      <c r="A3" s="12" t="s">
        <v>180</v>
      </c>
      <c r="B3" s="12"/>
      <c r="C3" s="12"/>
      <c r="D3" s="12"/>
      <c r="E3" s="12"/>
      <c r="G3" s="12"/>
      <c r="H3" s="12"/>
      <c r="I3" s="12"/>
      <c r="J3" s="12"/>
      <c r="K3" s="12"/>
    </row>
    <row r="4" spans="1:18" ht="19" x14ac:dyDescent="0.25">
      <c r="A4" s="12"/>
      <c r="B4" s="12"/>
      <c r="C4" s="12"/>
      <c r="D4" s="12"/>
      <c r="E4" s="12"/>
      <c r="G4" s="12"/>
      <c r="H4" s="12"/>
      <c r="I4" s="12"/>
      <c r="J4" s="12"/>
      <c r="K4" s="12"/>
    </row>
    <row r="5" spans="1:18" ht="19" x14ac:dyDescent="0.25">
      <c r="A5" s="12" t="s">
        <v>177</v>
      </c>
      <c r="B5" s="12"/>
      <c r="C5" s="12"/>
      <c r="D5" s="12"/>
      <c r="E5" s="12"/>
      <c r="G5" s="12"/>
      <c r="H5" s="12"/>
      <c r="I5" s="12"/>
      <c r="J5" s="12"/>
      <c r="K5" s="12"/>
    </row>
    <row r="6" spans="1:18" ht="19" x14ac:dyDescent="0.25">
      <c r="A6" s="12" t="s">
        <v>3</v>
      </c>
      <c r="B6" s="12"/>
      <c r="C6" s="12"/>
      <c r="D6" s="12"/>
      <c r="E6" s="12"/>
      <c r="G6" s="12"/>
      <c r="H6" s="12"/>
      <c r="I6" s="12"/>
      <c r="J6" s="12"/>
      <c r="K6" s="12"/>
    </row>
    <row r="8" spans="1:18" ht="41" thickBot="1" x14ac:dyDescent="0.25">
      <c r="A8" s="1" t="s">
        <v>4</v>
      </c>
      <c r="B8" s="2" t="s">
        <v>5</v>
      </c>
      <c r="C8" s="6" t="s">
        <v>7</v>
      </c>
      <c r="D8" s="7" t="s">
        <v>8</v>
      </c>
      <c r="E8" s="7" t="s">
        <v>8</v>
      </c>
      <c r="F8" s="7" t="s">
        <v>8</v>
      </c>
      <c r="G8" s="7" t="s">
        <v>9</v>
      </c>
      <c r="H8" s="7" t="s">
        <v>10</v>
      </c>
      <c r="I8" s="34"/>
      <c r="J8" s="34"/>
      <c r="K8" s="34"/>
      <c r="L8" s="34"/>
      <c r="M8" s="34"/>
      <c r="N8" s="34"/>
      <c r="O8" s="34"/>
      <c r="P8" s="34"/>
      <c r="Q8" s="34"/>
      <c r="R8" s="34"/>
    </row>
    <row r="9" spans="1:18" x14ac:dyDescent="0.2">
      <c r="A9" s="3">
        <v>2</v>
      </c>
      <c r="B9" s="3" t="s">
        <v>42</v>
      </c>
      <c r="C9" s="9">
        <v>800</v>
      </c>
      <c r="D9" s="57">
        <v>2.1</v>
      </c>
      <c r="E9" s="57" t="s">
        <v>123</v>
      </c>
      <c r="F9" s="57" t="s">
        <v>123</v>
      </c>
      <c r="G9" s="8">
        <f t="shared" ref="G9:G40" si="0">IF(D9="NA","NA",ROUND(AVERAGE(D9:F9),2))</f>
        <v>2.1</v>
      </c>
      <c r="H9" s="8" t="s">
        <v>123</v>
      </c>
    </row>
    <row r="10" spans="1:18" x14ac:dyDescent="0.2">
      <c r="A10" s="4">
        <v>2</v>
      </c>
      <c r="B10" s="4" t="s">
        <v>42</v>
      </c>
      <c r="C10" s="10">
        <v>801</v>
      </c>
      <c r="D10" s="57">
        <v>2.4</v>
      </c>
      <c r="E10" s="57" t="s">
        <v>123</v>
      </c>
      <c r="F10" s="57" t="s">
        <v>123</v>
      </c>
      <c r="G10" s="8">
        <f t="shared" si="0"/>
        <v>2.4</v>
      </c>
      <c r="H10" s="8" t="s">
        <v>123</v>
      </c>
    </row>
    <row r="11" spans="1:18" x14ac:dyDescent="0.2">
      <c r="A11" s="4">
        <v>2</v>
      </c>
      <c r="B11" s="4" t="s">
        <v>42</v>
      </c>
      <c r="C11" s="10">
        <v>804</v>
      </c>
      <c r="D11" s="57">
        <v>1.6</v>
      </c>
      <c r="E11" s="57" t="s">
        <v>123</v>
      </c>
      <c r="F11" s="57" t="s">
        <v>123</v>
      </c>
      <c r="G11" s="8">
        <f t="shared" si="0"/>
        <v>1.6</v>
      </c>
      <c r="H11" s="8" t="s">
        <v>123</v>
      </c>
    </row>
    <row r="12" spans="1:18" x14ac:dyDescent="0.2">
      <c r="A12" s="4">
        <v>2</v>
      </c>
      <c r="B12" s="4" t="s">
        <v>42</v>
      </c>
      <c r="C12" s="10">
        <v>806</v>
      </c>
      <c r="D12" s="57">
        <v>1.5</v>
      </c>
      <c r="E12" s="57" t="s">
        <v>123</v>
      </c>
      <c r="F12" s="57" t="s">
        <v>123</v>
      </c>
      <c r="G12" s="8">
        <f t="shared" si="0"/>
        <v>1.5</v>
      </c>
      <c r="H12" s="8" t="s">
        <v>123</v>
      </c>
    </row>
    <row r="13" spans="1:18" x14ac:dyDescent="0.2">
      <c r="A13" s="4">
        <v>2</v>
      </c>
      <c r="B13" s="4" t="s">
        <v>42</v>
      </c>
      <c r="C13" s="10">
        <v>809</v>
      </c>
      <c r="D13" s="57">
        <v>3.5</v>
      </c>
      <c r="E13" s="57" t="s">
        <v>123</v>
      </c>
      <c r="F13" s="57" t="s">
        <v>123</v>
      </c>
      <c r="G13" s="8">
        <f t="shared" si="0"/>
        <v>3.5</v>
      </c>
      <c r="H13" s="8" t="s">
        <v>123</v>
      </c>
    </row>
    <row r="14" spans="1:18" x14ac:dyDescent="0.2">
      <c r="A14" s="4">
        <v>2</v>
      </c>
      <c r="B14" s="4" t="s">
        <v>42</v>
      </c>
      <c r="C14" s="10">
        <v>810</v>
      </c>
      <c r="D14" s="57">
        <v>3.1</v>
      </c>
      <c r="E14" s="57" t="s">
        <v>123</v>
      </c>
      <c r="F14" s="57" t="s">
        <v>123</v>
      </c>
      <c r="G14" s="8">
        <f t="shared" si="0"/>
        <v>3.1</v>
      </c>
      <c r="H14" s="8" t="s">
        <v>123</v>
      </c>
    </row>
    <row r="15" spans="1:18" x14ac:dyDescent="0.2">
      <c r="A15" s="4">
        <v>2</v>
      </c>
      <c r="B15" s="4" t="s">
        <v>42</v>
      </c>
      <c r="C15" s="10">
        <v>819</v>
      </c>
      <c r="D15" s="57">
        <v>2</v>
      </c>
      <c r="E15" s="57" t="s">
        <v>123</v>
      </c>
      <c r="F15" s="57" t="s">
        <v>123</v>
      </c>
      <c r="G15" s="8">
        <f t="shared" si="0"/>
        <v>2</v>
      </c>
      <c r="H15" s="8" t="s">
        <v>123</v>
      </c>
    </row>
    <row r="16" spans="1:18" x14ac:dyDescent="0.2">
      <c r="A16" s="4">
        <v>2</v>
      </c>
      <c r="B16" s="4" t="s">
        <v>42</v>
      </c>
      <c r="C16" s="10">
        <v>822</v>
      </c>
      <c r="D16" s="57">
        <v>2.2000000000000002</v>
      </c>
      <c r="E16" s="57" t="s">
        <v>123</v>
      </c>
      <c r="F16" s="57" t="s">
        <v>123</v>
      </c>
      <c r="G16" s="8">
        <f t="shared" si="0"/>
        <v>2.2000000000000002</v>
      </c>
      <c r="H16" s="8" t="s">
        <v>123</v>
      </c>
    </row>
    <row r="17" spans="1:8" x14ac:dyDescent="0.2">
      <c r="A17" s="4">
        <v>2</v>
      </c>
      <c r="B17" s="4" t="s">
        <v>42</v>
      </c>
      <c r="C17" s="10">
        <v>823</v>
      </c>
      <c r="D17" s="57">
        <v>2.4</v>
      </c>
      <c r="E17" s="57" t="s">
        <v>123</v>
      </c>
      <c r="F17" s="57" t="s">
        <v>123</v>
      </c>
      <c r="G17" s="8">
        <f t="shared" si="0"/>
        <v>2.4</v>
      </c>
      <c r="H17" s="8" t="s">
        <v>123</v>
      </c>
    </row>
    <row r="18" spans="1:8" x14ac:dyDescent="0.2">
      <c r="A18" s="4">
        <v>2</v>
      </c>
      <c r="B18" s="4" t="s">
        <v>42</v>
      </c>
      <c r="C18" s="10">
        <v>825</v>
      </c>
      <c r="D18" s="57">
        <v>1.8</v>
      </c>
      <c r="E18" s="57" t="s">
        <v>123</v>
      </c>
      <c r="F18" s="57" t="s">
        <v>123</v>
      </c>
      <c r="G18" s="8">
        <f t="shared" si="0"/>
        <v>1.8</v>
      </c>
      <c r="H18" s="8" t="s">
        <v>123</v>
      </c>
    </row>
    <row r="19" spans="1:8" x14ac:dyDescent="0.2">
      <c r="A19" s="4">
        <v>2</v>
      </c>
      <c r="B19" s="4" t="s">
        <v>42</v>
      </c>
      <c r="C19" s="10">
        <v>826</v>
      </c>
      <c r="D19" s="57">
        <v>1.6</v>
      </c>
      <c r="E19" s="57" t="s">
        <v>123</v>
      </c>
      <c r="F19" s="57" t="s">
        <v>123</v>
      </c>
      <c r="G19" s="8">
        <f t="shared" si="0"/>
        <v>1.6</v>
      </c>
      <c r="H19" s="8" t="s">
        <v>123</v>
      </c>
    </row>
    <row r="20" spans="1:8" x14ac:dyDescent="0.2">
      <c r="A20" s="4">
        <v>2</v>
      </c>
      <c r="B20" s="4" t="s">
        <v>42</v>
      </c>
      <c r="C20" s="10">
        <v>828</v>
      </c>
      <c r="D20" s="57">
        <v>1.2</v>
      </c>
      <c r="E20" s="57" t="s">
        <v>123</v>
      </c>
      <c r="F20" s="57" t="s">
        <v>123</v>
      </c>
      <c r="G20" s="8">
        <f t="shared" si="0"/>
        <v>1.2</v>
      </c>
      <c r="H20" s="8" t="s">
        <v>123</v>
      </c>
    </row>
    <row r="21" spans="1:8" x14ac:dyDescent="0.2">
      <c r="A21" s="4">
        <v>2</v>
      </c>
      <c r="B21" s="4" t="s">
        <v>42</v>
      </c>
      <c r="C21" s="10">
        <v>829</v>
      </c>
      <c r="D21" s="57">
        <v>1.9</v>
      </c>
      <c r="E21" s="57" t="s">
        <v>123</v>
      </c>
      <c r="F21" s="57" t="s">
        <v>123</v>
      </c>
      <c r="G21" s="8">
        <f t="shared" si="0"/>
        <v>1.9</v>
      </c>
      <c r="H21" s="8" t="s">
        <v>123</v>
      </c>
    </row>
    <row r="22" spans="1:8" x14ac:dyDescent="0.2">
      <c r="A22" s="4">
        <v>2</v>
      </c>
      <c r="B22" s="4" t="s">
        <v>42</v>
      </c>
      <c r="C22" s="10">
        <v>832</v>
      </c>
      <c r="D22" s="57">
        <v>1.8</v>
      </c>
      <c r="E22" s="57" t="s">
        <v>123</v>
      </c>
      <c r="F22" s="57" t="s">
        <v>123</v>
      </c>
      <c r="G22" s="8">
        <f t="shared" si="0"/>
        <v>1.8</v>
      </c>
      <c r="H22" s="8" t="s">
        <v>123</v>
      </c>
    </row>
    <row r="23" spans="1:8" x14ac:dyDescent="0.2">
      <c r="A23" s="4">
        <v>2</v>
      </c>
      <c r="B23" s="4" t="s">
        <v>42</v>
      </c>
      <c r="C23" s="10">
        <v>836</v>
      </c>
      <c r="D23" s="57">
        <v>2.2000000000000002</v>
      </c>
      <c r="E23" s="57" t="s">
        <v>123</v>
      </c>
      <c r="F23" s="57" t="s">
        <v>123</v>
      </c>
      <c r="G23" s="8">
        <f t="shared" si="0"/>
        <v>2.2000000000000002</v>
      </c>
      <c r="H23" s="8" t="s">
        <v>123</v>
      </c>
    </row>
    <row r="24" spans="1:8" x14ac:dyDescent="0.2">
      <c r="A24" s="4">
        <v>2</v>
      </c>
      <c r="B24" s="4" t="s">
        <v>42</v>
      </c>
      <c r="C24" s="10">
        <v>839</v>
      </c>
      <c r="D24" s="57">
        <v>1.9</v>
      </c>
      <c r="E24" s="57" t="s">
        <v>123</v>
      </c>
      <c r="F24" s="57" t="s">
        <v>123</v>
      </c>
      <c r="G24" s="8">
        <f t="shared" si="0"/>
        <v>1.9</v>
      </c>
      <c r="H24" s="8" t="s">
        <v>123</v>
      </c>
    </row>
    <row r="25" spans="1:8" x14ac:dyDescent="0.2">
      <c r="A25" s="4">
        <v>2</v>
      </c>
      <c r="B25" s="4" t="s">
        <v>42</v>
      </c>
      <c r="C25" s="10">
        <v>840</v>
      </c>
      <c r="D25" s="57">
        <v>1.9</v>
      </c>
      <c r="E25" s="57" t="s">
        <v>123</v>
      </c>
      <c r="F25" s="57" t="s">
        <v>123</v>
      </c>
      <c r="G25" s="8">
        <f t="shared" si="0"/>
        <v>1.9</v>
      </c>
      <c r="H25" s="8" t="s">
        <v>123</v>
      </c>
    </row>
    <row r="26" spans="1:8" x14ac:dyDescent="0.2">
      <c r="A26" s="4">
        <v>2</v>
      </c>
      <c r="B26" s="4" t="s">
        <v>42</v>
      </c>
      <c r="C26" s="10">
        <v>841</v>
      </c>
      <c r="D26" s="57">
        <v>2.2999999999999998</v>
      </c>
      <c r="E26" s="57" t="s">
        <v>123</v>
      </c>
      <c r="F26" s="57" t="s">
        <v>123</v>
      </c>
      <c r="G26" s="8">
        <f t="shared" si="0"/>
        <v>2.2999999999999998</v>
      </c>
      <c r="H26" s="8" t="s">
        <v>123</v>
      </c>
    </row>
    <row r="27" spans="1:8" x14ac:dyDescent="0.2">
      <c r="A27" s="4">
        <v>2</v>
      </c>
      <c r="B27" s="4" t="s">
        <v>42</v>
      </c>
      <c r="C27" s="10">
        <v>843</v>
      </c>
      <c r="D27" s="57">
        <v>2.6</v>
      </c>
      <c r="E27" s="57" t="s">
        <v>123</v>
      </c>
      <c r="F27" s="57" t="s">
        <v>123</v>
      </c>
      <c r="G27" s="8">
        <f t="shared" si="0"/>
        <v>2.6</v>
      </c>
      <c r="H27" s="8" t="s">
        <v>123</v>
      </c>
    </row>
    <row r="28" spans="1:8" x14ac:dyDescent="0.2">
      <c r="A28" s="4">
        <v>2</v>
      </c>
      <c r="B28" s="4" t="s">
        <v>42</v>
      </c>
      <c r="C28" s="10">
        <v>850</v>
      </c>
      <c r="D28" s="57">
        <v>1.5</v>
      </c>
      <c r="E28" s="57" t="s">
        <v>123</v>
      </c>
      <c r="F28" s="57" t="s">
        <v>123</v>
      </c>
      <c r="G28" s="8">
        <f t="shared" si="0"/>
        <v>1.5</v>
      </c>
      <c r="H28" s="8" t="s">
        <v>123</v>
      </c>
    </row>
    <row r="29" spans="1:8" x14ac:dyDescent="0.2">
      <c r="A29" s="4">
        <v>2</v>
      </c>
      <c r="B29" s="4" t="s">
        <v>42</v>
      </c>
      <c r="C29" s="10">
        <v>852</v>
      </c>
      <c r="D29" s="57">
        <v>1.5</v>
      </c>
      <c r="E29" s="57" t="s">
        <v>123</v>
      </c>
      <c r="F29" s="57" t="s">
        <v>123</v>
      </c>
      <c r="G29" s="8">
        <f t="shared" si="0"/>
        <v>1.5</v>
      </c>
      <c r="H29" s="8" t="s">
        <v>123</v>
      </c>
    </row>
    <row r="30" spans="1:8" x14ac:dyDescent="0.2">
      <c r="A30" s="4">
        <v>2</v>
      </c>
      <c r="B30" s="4" t="s">
        <v>42</v>
      </c>
      <c r="C30" s="10">
        <v>854</v>
      </c>
      <c r="D30" s="57">
        <v>1.7</v>
      </c>
      <c r="E30" s="57" t="s">
        <v>123</v>
      </c>
      <c r="F30" s="57" t="s">
        <v>123</v>
      </c>
      <c r="G30" s="8">
        <f t="shared" si="0"/>
        <v>1.7</v>
      </c>
      <c r="H30" s="8" t="s">
        <v>123</v>
      </c>
    </row>
    <row r="31" spans="1:8" x14ac:dyDescent="0.2">
      <c r="A31" s="4">
        <v>2</v>
      </c>
      <c r="B31" s="4" t="s">
        <v>42</v>
      </c>
      <c r="C31" s="10">
        <v>855</v>
      </c>
      <c r="D31" s="57">
        <v>1.8</v>
      </c>
      <c r="E31" s="57" t="s">
        <v>123</v>
      </c>
      <c r="F31" s="57" t="s">
        <v>123</v>
      </c>
      <c r="G31" s="8">
        <f t="shared" si="0"/>
        <v>1.8</v>
      </c>
      <c r="H31" s="8" t="s">
        <v>123</v>
      </c>
    </row>
    <row r="32" spans="1:8" x14ac:dyDescent="0.2">
      <c r="A32" s="4">
        <v>2</v>
      </c>
      <c r="B32" s="4" t="s">
        <v>42</v>
      </c>
      <c r="C32" s="10">
        <v>857</v>
      </c>
      <c r="D32" s="57">
        <v>2.2999999999999998</v>
      </c>
      <c r="E32" s="57" t="s">
        <v>123</v>
      </c>
      <c r="F32" s="57" t="s">
        <v>123</v>
      </c>
      <c r="G32" s="8">
        <f t="shared" si="0"/>
        <v>2.2999999999999998</v>
      </c>
      <c r="H32" s="8" t="s">
        <v>123</v>
      </c>
    </row>
    <row r="33" spans="1:8" x14ac:dyDescent="0.2">
      <c r="A33" s="4">
        <v>2</v>
      </c>
      <c r="B33" s="4" t="s">
        <v>42</v>
      </c>
      <c r="C33" s="10">
        <v>858</v>
      </c>
      <c r="D33" s="57">
        <v>2.9</v>
      </c>
      <c r="E33" s="57" t="s">
        <v>123</v>
      </c>
      <c r="F33" s="57" t="s">
        <v>123</v>
      </c>
      <c r="G33" s="8">
        <f t="shared" si="0"/>
        <v>2.9</v>
      </c>
      <c r="H33" s="8" t="s">
        <v>123</v>
      </c>
    </row>
    <row r="34" spans="1:8" x14ac:dyDescent="0.2">
      <c r="A34" s="4">
        <v>2</v>
      </c>
      <c r="B34" s="4" t="s">
        <v>42</v>
      </c>
      <c r="C34" s="10">
        <v>870</v>
      </c>
      <c r="D34" s="57">
        <v>2.2999999999999998</v>
      </c>
      <c r="E34" s="57" t="s">
        <v>123</v>
      </c>
      <c r="F34" s="57" t="s">
        <v>123</v>
      </c>
      <c r="G34" s="8">
        <f t="shared" si="0"/>
        <v>2.2999999999999998</v>
      </c>
      <c r="H34" s="8" t="s">
        <v>123</v>
      </c>
    </row>
    <row r="35" spans="1:8" x14ac:dyDescent="0.2">
      <c r="A35" s="4">
        <v>2</v>
      </c>
      <c r="B35" s="4" t="s">
        <v>42</v>
      </c>
      <c r="C35" s="10">
        <v>875</v>
      </c>
      <c r="D35" s="57">
        <v>1.9</v>
      </c>
      <c r="E35" s="57" t="s">
        <v>123</v>
      </c>
      <c r="F35" s="57" t="s">
        <v>123</v>
      </c>
      <c r="G35" s="8">
        <f t="shared" si="0"/>
        <v>1.9</v>
      </c>
      <c r="H35" s="8" t="s">
        <v>123</v>
      </c>
    </row>
    <row r="36" spans="1:8" x14ac:dyDescent="0.2">
      <c r="A36" s="4">
        <v>2</v>
      </c>
      <c r="B36" s="4" t="s">
        <v>42</v>
      </c>
      <c r="C36" s="10">
        <v>880</v>
      </c>
      <c r="D36" s="57">
        <v>2.8</v>
      </c>
      <c r="E36" s="57" t="s">
        <v>123</v>
      </c>
      <c r="F36" s="57" t="s">
        <v>123</v>
      </c>
      <c r="G36" s="8">
        <f t="shared" si="0"/>
        <v>2.8</v>
      </c>
      <c r="H36" s="8" t="s">
        <v>123</v>
      </c>
    </row>
    <row r="37" spans="1:8" x14ac:dyDescent="0.2">
      <c r="A37" s="4">
        <v>2</v>
      </c>
      <c r="B37" s="4" t="s">
        <v>42</v>
      </c>
      <c r="C37" s="10">
        <v>883</v>
      </c>
      <c r="D37" s="57">
        <v>2</v>
      </c>
      <c r="E37" s="57" t="s">
        <v>123</v>
      </c>
      <c r="F37" s="57" t="s">
        <v>123</v>
      </c>
      <c r="G37" s="8">
        <f t="shared" si="0"/>
        <v>2</v>
      </c>
      <c r="H37" s="8" t="s">
        <v>123</v>
      </c>
    </row>
    <row r="38" spans="1:8" x14ac:dyDescent="0.2">
      <c r="A38" s="4">
        <v>2</v>
      </c>
      <c r="B38" s="4" t="s">
        <v>42</v>
      </c>
      <c r="C38" s="10">
        <v>884</v>
      </c>
      <c r="D38" s="57">
        <v>1.4</v>
      </c>
      <c r="E38" s="57" t="s">
        <v>123</v>
      </c>
      <c r="F38" s="57" t="s">
        <v>123</v>
      </c>
      <c r="G38" s="8">
        <f t="shared" si="0"/>
        <v>1.4</v>
      </c>
      <c r="H38" s="8" t="s">
        <v>123</v>
      </c>
    </row>
    <row r="39" spans="1:8" ht="16" thickBot="1" x14ac:dyDescent="0.25">
      <c r="A39" s="5">
        <v>2</v>
      </c>
      <c r="B39" s="5" t="s">
        <v>42</v>
      </c>
      <c r="C39" s="11">
        <v>886</v>
      </c>
      <c r="D39" s="57">
        <v>3.6</v>
      </c>
      <c r="E39" s="57" t="s">
        <v>123</v>
      </c>
      <c r="F39" s="57" t="s">
        <v>123</v>
      </c>
      <c r="G39" s="8">
        <f t="shared" si="0"/>
        <v>3.6</v>
      </c>
      <c r="H39" s="8" t="s">
        <v>123</v>
      </c>
    </row>
    <row r="40" spans="1:8" x14ac:dyDescent="0.2">
      <c r="A40" s="19">
        <v>3</v>
      </c>
      <c r="B40" s="20" t="s">
        <v>74</v>
      </c>
      <c r="C40" s="21">
        <v>802</v>
      </c>
      <c r="D40" s="57">
        <v>1.6</v>
      </c>
      <c r="E40" s="57" t="s">
        <v>123</v>
      </c>
      <c r="F40" s="57" t="s">
        <v>123</v>
      </c>
      <c r="G40" s="8">
        <f t="shared" si="0"/>
        <v>1.6</v>
      </c>
      <c r="H40" s="8" t="s">
        <v>123</v>
      </c>
    </row>
    <row r="41" spans="1:8" x14ac:dyDescent="0.2">
      <c r="A41" s="22">
        <v>3</v>
      </c>
      <c r="B41" s="23" t="s">
        <v>74</v>
      </c>
      <c r="C41" s="24">
        <v>803</v>
      </c>
      <c r="D41" s="57">
        <v>2.1</v>
      </c>
      <c r="E41" s="57" t="s">
        <v>123</v>
      </c>
      <c r="F41" s="57" t="s">
        <v>123</v>
      </c>
      <c r="G41" s="8">
        <f t="shared" ref="G41:G72" si="1">IF(D41="NA","NA",ROUND(AVERAGE(D41:F41),2))</f>
        <v>2.1</v>
      </c>
      <c r="H41" s="8" t="s">
        <v>123</v>
      </c>
    </row>
    <row r="42" spans="1:8" x14ac:dyDescent="0.2">
      <c r="A42" s="22">
        <v>3</v>
      </c>
      <c r="B42" s="23" t="s">
        <v>74</v>
      </c>
      <c r="C42" s="24">
        <v>808</v>
      </c>
      <c r="D42" s="57">
        <v>1.2</v>
      </c>
      <c r="E42" s="57" t="s">
        <v>123</v>
      </c>
      <c r="F42" s="57" t="s">
        <v>123</v>
      </c>
      <c r="G42" s="8">
        <f t="shared" si="1"/>
        <v>1.2</v>
      </c>
      <c r="H42" s="8" t="s">
        <v>123</v>
      </c>
    </row>
    <row r="43" spans="1:8" x14ac:dyDescent="0.2">
      <c r="A43" s="22">
        <v>3</v>
      </c>
      <c r="B43" s="23" t="s">
        <v>74</v>
      </c>
      <c r="C43" s="24">
        <v>811</v>
      </c>
      <c r="D43" s="57">
        <v>2.1</v>
      </c>
      <c r="E43" s="57" t="s">
        <v>123</v>
      </c>
      <c r="F43" s="57" t="s">
        <v>123</v>
      </c>
      <c r="G43" s="8">
        <f t="shared" si="1"/>
        <v>2.1</v>
      </c>
      <c r="H43" s="8" t="s">
        <v>123</v>
      </c>
    </row>
    <row r="44" spans="1:8" x14ac:dyDescent="0.2">
      <c r="A44" s="22">
        <v>3</v>
      </c>
      <c r="B44" s="23" t="s">
        <v>74</v>
      </c>
      <c r="C44" s="24">
        <v>812</v>
      </c>
      <c r="D44" s="57">
        <v>1.7</v>
      </c>
      <c r="E44" s="57" t="s">
        <v>123</v>
      </c>
      <c r="F44" s="57" t="s">
        <v>123</v>
      </c>
      <c r="G44" s="8">
        <f t="shared" si="1"/>
        <v>1.7</v>
      </c>
      <c r="H44" s="8" t="s">
        <v>123</v>
      </c>
    </row>
    <row r="45" spans="1:8" x14ac:dyDescent="0.2">
      <c r="A45" s="22">
        <v>3</v>
      </c>
      <c r="B45" s="23" t="s">
        <v>74</v>
      </c>
      <c r="C45" s="24">
        <v>815</v>
      </c>
      <c r="D45" s="57">
        <v>1.4</v>
      </c>
      <c r="E45" s="57" t="s">
        <v>123</v>
      </c>
      <c r="F45" s="57" t="s">
        <v>123</v>
      </c>
      <c r="G45" s="8">
        <f t="shared" si="1"/>
        <v>1.4</v>
      </c>
      <c r="H45" s="8" t="s">
        <v>123</v>
      </c>
    </row>
    <row r="46" spans="1:8" x14ac:dyDescent="0.2">
      <c r="A46" s="22">
        <v>3</v>
      </c>
      <c r="B46" s="23" t="s">
        <v>74</v>
      </c>
      <c r="C46" s="24">
        <v>816</v>
      </c>
      <c r="D46" s="57">
        <v>2.2000000000000002</v>
      </c>
      <c r="E46" s="57" t="s">
        <v>123</v>
      </c>
      <c r="F46" s="57" t="s">
        <v>123</v>
      </c>
      <c r="G46" s="8">
        <f t="shared" si="1"/>
        <v>2.2000000000000002</v>
      </c>
      <c r="H46" s="8" t="s">
        <v>123</v>
      </c>
    </row>
    <row r="47" spans="1:8" x14ac:dyDescent="0.2">
      <c r="A47" s="22">
        <v>3</v>
      </c>
      <c r="B47" s="23" t="s">
        <v>74</v>
      </c>
      <c r="C47" s="24">
        <v>817</v>
      </c>
      <c r="D47" s="57">
        <v>1.5</v>
      </c>
      <c r="E47" s="57" t="s">
        <v>123</v>
      </c>
      <c r="F47" s="57" t="s">
        <v>123</v>
      </c>
      <c r="G47" s="8">
        <f t="shared" si="1"/>
        <v>1.5</v>
      </c>
      <c r="H47" s="8" t="s">
        <v>123</v>
      </c>
    </row>
    <row r="48" spans="1:8" x14ac:dyDescent="0.2">
      <c r="A48" s="22">
        <v>3</v>
      </c>
      <c r="B48" s="23" t="s">
        <v>74</v>
      </c>
      <c r="C48" s="24">
        <v>818</v>
      </c>
      <c r="D48" s="57">
        <v>1.9</v>
      </c>
      <c r="E48" s="57" t="s">
        <v>123</v>
      </c>
      <c r="F48" s="57" t="s">
        <v>123</v>
      </c>
      <c r="G48" s="8">
        <f t="shared" si="1"/>
        <v>1.9</v>
      </c>
      <c r="H48" s="8" t="s">
        <v>123</v>
      </c>
    </row>
    <row r="49" spans="1:8" x14ac:dyDescent="0.2">
      <c r="A49" s="22">
        <v>3</v>
      </c>
      <c r="B49" s="23" t="s">
        <v>74</v>
      </c>
      <c r="C49" s="24">
        <v>833</v>
      </c>
      <c r="D49" s="57">
        <v>2.1</v>
      </c>
      <c r="E49" s="57" t="s">
        <v>123</v>
      </c>
      <c r="F49" s="57" t="s">
        <v>123</v>
      </c>
      <c r="G49" s="8">
        <f t="shared" si="1"/>
        <v>2.1</v>
      </c>
      <c r="H49" s="8" t="s">
        <v>123</v>
      </c>
    </row>
    <row r="50" spans="1:8" x14ac:dyDescent="0.2">
      <c r="A50" s="22">
        <v>3</v>
      </c>
      <c r="B50" s="23" t="s">
        <v>74</v>
      </c>
      <c r="C50" s="24">
        <v>834</v>
      </c>
      <c r="D50" s="57">
        <v>1</v>
      </c>
      <c r="E50" s="57" t="s">
        <v>123</v>
      </c>
      <c r="F50" s="57" t="s">
        <v>123</v>
      </c>
      <c r="G50" s="8">
        <f t="shared" si="1"/>
        <v>1</v>
      </c>
      <c r="H50" s="8" t="s">
        <v>123</v>
      </c>
    </row>
    <row r="51" spans="1:8" x14ac:dyDescent="0.2">
      <c r="A51" s="22">
        <v>3</v>
      </c>
      <c r="B51" s="23" t="s">
        <v>74</v>
      </c>
      <c r="C51" s="24">
        <v>835</v>
      </c>
      <c r="D51" s="57">
        <v>1.1000000000000001</v>
      </c>
      <c r="E51" s="57" t="s">
        <v>123</v>
      </c>
      <c r="F51" s="57" t="s">
        <v>123</v>
      </c>
      <c r="G51" s="8">
        <f t="shared" si="1"/>
        <v>1.1000000000000001</v>
      </c>
      <c r="H51" s="8" t="s">
        <v>123</v>
      </c>
    </row>
    <row r="52" spans="1:8" x14ac:dyDescent="0.2">
      <c r="A52" s="22">
        <v>3</v>
      </c>
      <c r="B52" s="23" t="s">
        <v>74</v>
      </c>
      <c r="C52" s="24">
        <v>844</v>
      </c>
      <c r="D52" s="57">
        <v>1.6</v>
      </c>
      <c r="E52" s="57" t="s">
        <v>123</v>
      </c>
      <c r="F52" s="57" t="s">
        <v>123</v>
      </c>
      <c r="G52" s="8">
        <f t="shared" si="1"/>
        <v>1.6</v>
      </c>
      <c r="H52" s="8" t="s">
        <v>123</v>
      </c>
    </row>
    <row r="53" spans="1:8" x14ac:dyDescent="0.2">
      <c r="A53" s="22">
        <v>3</v>
      </c>
      <c r="B53" s="23" t="s">
        <v>74</v>
      </c>
      <c r="C53" s="24">
        <v>845</v>
      </c>
      <c r="D53" s="57">
        <v>2.1</v>
      </c>
      <c r="E53" s="57" t="s">
        <v>123</v>
      </c>
      <c r="F53" s="57" t="s">
        <v>123</v>
      </c>
      <c r="G53" s="8">
        <f t="shared" si="1"/>
        <v>2.1</v>
      </c>
      <c r="H53" s="8" t="s">
        <v>123</v>
      </c>
    </row>
    <row r="54" spans="1:8" x14ac:dyDescent="0.2">
      <c r="A54" s="22">
        <v>3</v>
      </c>
      <c r="B54" s="23" t="s">
        <v>74</v>
      </c>
      <c r="C54" s="24">
        <v>846</v>
      </c>
      <c r="D54" s="57">
        <v>2.5</v>
      </c>
      <c r="E54" s="57" t="s">
        <v>123</v>
      </c>
      <c r="F54" s="57" t="s">
        <v>123</v>
      </c>
      <c r="G54" s="8">
        <f t="shared" si="1"/>
        <v>2.5</v>
      </c>
      <c r="H54" s="8" t="s">
        <v>123</v>
      </c>
    </row>
    <row r="55" spans="1:8" x14ac:dyDescent="0.2">
      <c r="A55" s="22">
        <v>3</v>
      </c>
      <c r="B55" s="23" t="s">
        <v>74</v>
      </c>
      <c r="C55" s="24">
        <v>849</v>
      </c>
      <c r="D55" s="57">
        <v>1.8</v>
      </c>
      <c r="E55" s="57" t="s">
        <v>123</v>
      </c>
      <c r="F55" s="57" t="s">
        <v>123</v>
      </c>
      <c r="G55" s="8">
        <f t="shared" si="1"/>
        <v>1.8</v>
      </c>
      <c r="H55" s="8" t="s">
        <v>123</v>
      </c>
    </row>
    <row r="56" spans="1:8" x14ac:dyDescent="0.2">
      <c r="A56" s="22">
        <v>3</v>
      </c>
      <c r="B56" s="23" t="s">
        <v>74</v>
      </c>
      <c r="C56" s="24">
        <v>856</v>
      </c>
      <c r="D56" s="57">
        <v>1.3</v>
      </c>
      <c r="E56" s="57" t="s">
        <v>123</v>
      </c>
      <c r="F56" s="57" t="s">
        <v>123</v>
      </c>
      <c r="G56" s="8">
        <f t="shared" si="1"/>
        <v>1.3</v>
      </c>
      <c r="H56" s="8" t="s">
        <v>123</v>
      </c>
    </row>
    <row r="57" spans="1:8" x14ac:dyDescent="0.2">
      <c r="A57" s="22">
        <v>3</v>
      </c>
      <c r="B57" s="23" t="s">
        <v>74</v>
      </c>
      <c r="C57" s="24">
        <v>859</v>
      </c>
      <c r="D57" s="57">
        <v>2.6</v>
      </c>
      <c r="E57" s="57" t="s">
        <v>123</v>
      </c>
      <c r="F57" s="57" t="s">
        <v>123</v>
      </c>
      <c r="G57" s="8">
        <f t="shared" si="1"/>
        <v>2.6</v>
      </c>
      <c r="H57" s="8" t="s">
        <v>123</v>
      </c>
    </row>
    <row r="58" spans="1:8" x14ac:dyDescent="0.2">
      <c r="A58" s="22">
        <v>3</v>
      </c>
      <c r="B58" s="23" t="s">
        <v>74</v>
      </c>
      <c r="C58" s="24">
        <v>861</v>
      </c>
      <c r="D58" s="57">
        <v>1.6</v>
      </c>
      <c r="E58" s="57" t="s">
        <v>123</v>
      </c>
      <c r="F58" s="57" t="s">
        <v>123</v>
      </c>
      <c r="G58" s="8">
        <f t="shared" si="1"/>
        <v>1.6</v>
      </c>
      <c r="H58" s="8" t="s">
        <v>123</v>
      </c>
    </row>
    <row r="59" spans="1:8" x14ac:dyDescent="0.2">
      <c r="A59" s="22">
        <v>3</v>
      </c>
      <c r="B59" s="23" t="s">
        <v>74</v>
      </c>
      <c r="C59" s="24">
        <v>862</v>
      </c>
      <c r="D59" s="57">
        <v>1.6</v>
      </c>
      <c r="E59" s="57" t="s">
        <v>123</v>
      </c>
      <c r="F59" s="57" t="s">
        <v>123</v>
      </c>
      <c r="G59" s="8">
        <f t="shared" si="1"/>
        <v>1.6</v>
      </c>
      <c r="H59" s="8" t="s">
        <v>123</v>
      </c>
    </row>
    <row r="60" spans="1:8" x14ac:dyDescent="0.2">
      <c r="A60" s="22">
        <v>3</v>
      </c>
      <c r="B60" s="23" t="s">
        <v>74</v>
      </c>
      <c r="C60" s="24">
        <v>865</v>
      </c>
      <c r="D60" s="57">
        <v>1.1000000000000001</v>
      </c>
      <c r="E60" s="57" t="s">
        <v>123</v>
      </c>
      <c r="F60" s="57" t="s">
        <v>123</v>
      </c>
      <c r="G60" s="8">
        <f t="shared" si="1"/>
        <v>1.1000000000000001</v>
      </c>
      <c r="H60" s="8" t="s">
        <v>123</v>
      </c>
    </row>
    <row r="61" spans="1:8" x14ac:dyDescent="0.2">
      <c r="A61" s="22">
        <v>3</v>
      </c>
      <c r="B61" s="23" t="s">
        <v>74</v>
      </c>
      <c r="C61" s="24">
        <v>866</v>
      </c>
      <c r="D61" s="57">
        <v>1.1000000000000001</v>
      </c>
      <c r="E61" s="57" t="s">
        <v>123</v>
      </c>
      <c r="F61" s="57" t="s">
        <v>123</v>
      </c>
      <c r="G61" s="8">
        <f t="shared" si="1"/>
        <v>1.1000000000000001</v>
      </c>
      <c r="H61" s="8" t="s">
        <v>123</v>
      </c>
    </row>
    <row r="62" spans="1:8" x14ac:dyDescent="0.2">
      <c r="A62" s="22">
        <v>3</v>
      </c>
      <c r="B62" s="23" t="s">
        <v>74</v>
      </c>
      <c r="C62" s="24">
        <v>871</v>
      </c>
      <c r="D62" s="57">
        <v>2.2000000000000002</v>
      </c>
      <c r="E62" s="57" t="s">
        <v>123</v>
      </c>
      <c r="F62" s="57" t="s">
        <v>123</v>
      </c>
      <c r="G62" s="8">
        <f t="shared" si="1"/>
        <v>2.2000000000000002</v>
      </c>
      <c r="H62" s="8" t="s">
        <v>123</v>
      </c>
    </row>
    <row r="63" spans="1:8" x14ac:dyDescent="0.2">
      <c r="A63" s="22">
        <v>3</v>
      </c>
      <c r="B63" s="23" t="s">
        <v>74</v>
      </c>
      <c r="C63" s="24">
        <v>873</v>
      </c>
      <c r="D63" s="57">
        <v>1.6</v>
      </c>
      <c r="E63" s="57" t="s">
        <v>123</v>
      </c>
      <c r="F63" s="57" t="s">
        <v>123</v>
      </c>
      <c r="G63" s="8">
        <f t="shared" si="1"/>
        <v>1.6</v>
      </c>
      <c r="H63" s="8" t="s">
        <v>123</v>
      </c>
    </row>
    <row r="64" spans="1:8" x14ac:dyDescent="0.2">
      <c r="A64" s="22">
        <v>3</v>
      </c>
      <c r="B64" s="23" t="s">
        <v>74</v>
      </c>
      <c r="C64" s="24">
        <v>874</v>
      </c>
      <c r="D64" s="57">
        <v>1.4</v>
      </c>
      <c r="E64" s="57" t="s">
        <v>123</v>
      </c>
      <c r="F64" s="57" t="s">
        <v>123</v>
      </c>
      <c r="G64" s="8">
        <f t="shared" si="1"/>
        <v>1.4</v>
      </c>
      <c r="H64" s="8" t="s">
        <v>123</v>
      </c>
    </row>
    <row r="65" spans="1:8" x14ac:dyDescent="0.2">
      <c r="A65" s="22">
        <v>3</v>
      </c>
      <c r="B65" s="23" t="s">
        <v>74</v>
      </c>
      <c r="C65" s="24">
        <v>877</v>
      </c>
      <c r="D65" s="57">
        <v>1.7</v>
      </c>
      <c r="E65" s="57" t="s">
        <v>123</v>
      </c>
      <c r="F65" s="57" t="s">
        <v>123</v>
      </c>
      <c r="G65" s="8">
        <f t="shared" si="1"/>
        <v>1.7</v>
      </c>
      <c r="H65" s="8" t="s">
        <v>123</v>
      </c>
    </row>
    <row r="66" spans="1:8" x14ac:dyDescent="0.2">
      <c r="A66" s="22">
        <v>3</v>
      </c>
      <c r="B66" s="23" t="s">
        <v>74</v>
      </c>
      <c r="C66" s="24">
        <v>879</v>
      </c>
      <c r="D66" s="57">
        <v>1.9</v>
      </c>
      <c r="E66" s="57" t="s">
        <v>123</v>
      </c>
      <c r="F66" s="57" t="s">
        <v>123</v>
      </c>
      <c r="G66" s="8">
        <f t="shared" si="1"/>
        <v>1.9</v>
      </c>
      <c r="H66" s="8" t="s">
        <v>123</v>
      </c>
    </row>
    <row r="67" spans="1:8" x14ac:dyDescent="0.2">
      <c r="A67" s="22">
        <v>3</v>
      </c>
      <c r="B67" s="23" t="s">
        <v>74</v>
      </c>
      <c r="C67" s="24">
        <v>887</v>
      </c>
      <c r="D67" s="57">
        <v>2.4</v>
      </c>
      <c r="E67" s="57" t="s">
        <v>123</v>
      </c>
      <c r="F67" s="57" t="s">
        <v>123</v>
      </c>
      <c r="G67" s="8">
        <f t="shared" si="1"/>
        <v>2.4</v>
      </c>
      <c r="H67" s="8" t="s">
        <v>123</v>
      </c>
    </row>
    <row r="68" spans="1:8" x14ac:dyDescent="0.2">
      <c r="A68" s="22">
        <v>3</v>
      </c>
      <c r="B68" s="23" t="s">
        <v>74</v>
      </c>
      <c r="C68" s="24">
        <v>888</v>
      </c>
      <c r="D68" s="57">
        <v>1.4</v>
      </c>
      <c r="E68" s="57" t="s">
        <v>123</v>
      </c>
      <c r="F68" s="57" t="s">
        <v>123</v>
      </c>
      <c r="G68" s="8">
        <f t="shared" si="1"/>
        <v>1.4</v>
      </c>
      <c r="H68" s="8" t="s">
        <v>123</v>
      </c>
    </row>
    <row r="69" spans="1:8" x14ac:dyDescent="0.2">
      <c r="A69" s="13">
        <v>4</v>
      </c>
      <c r="B69" s="14" t="s">
        <v>104</v>
      </c>
      <c r="C69" s="15" t="s">
        <v>105</v>
      </c>
      <c r="D69" s="57">
        <v>2.1</v>
      </c>
      <c r="E69" s="57" t="s">
        <v>123</v>
      </c>
      <c r="F69" s="57" t="s">
        <v>123</v>
      </c>
      <c r="G69" s="8">
        <f t="shared" si="1"/>
        <v>2.1</v>
      </c>
      <c r="H69" s="8" t="s">
        <v>123</v>
      </c>
    </row>
    <row r="70" spans="1:8" x14ac:dyDescent="0.2">
      <c r="A70" s="16">
        <v>4</v>
      </c>
      <c r="B70" s="14" t="s">
        <v>104</v>
      </c>
      <c r="C70" s="18" t="s">
        <v>106</v>
      </c>
      <c r="D70" s="57">
        <v>2.2999999999999998</v>
      </c>
      <c r="E70" s="57" t="s">
        <v>123</v>
      </c>
      <c r="F70" s="57" t="s">
        <v>123</v>
      </c>
      <c r="G70" s="8">
        <f t="shared" si="1"/>
        <v>2.2999999999999998</v>
      </c>
      <c r="H70" s="8" t="s">
        <v>123</v>
      </c>
    </row>
    <row r="71" spans="1:8" x14ac:dyDescent="0.2">
      <c r="A71" s="16">
        <v>4</v>
      </c>
      <c r="B71" s="14" t="s">
        <v>104</v>
      </c>
      <c r="C71" s="18" t="s">
        <v>107</v>
      </c>
      <c r="D71" s="57">
        <v>4</v>
      </c>
      <c r="E71" s="57" t="s">
        <v>123</v>
      </c>
      <c r="F71" s="57" t="s">
        <v>123</v>
      </c>
      <c r="G71" s="8">
        <f t="shared" si="1"/>
        <v>4</v>
      </c>
      <c r="H71" s="8" t="s">
        <v>123</v>
      </c>
    </row>
    <row r="72" spans="1:8" x14ac:dyDescent="0.2">
      <c r="A72" s="16">
        <v>4</v>
      </c>
      <c r="B72" s="14" t="s">
        <v>104</v>
      </c>
      <c r="C72" s="18" t="s">
        <v>108</v>
      </c>
      <c r="D72" s="57">
        <v>2.1</v>
      </c>
      <c r="E72" s="57" t="s">
        <v>123</v>
      </c>
      <c r="F72" s="57" t="s">
        <v>123</v>
      </c>
      <c r="G72" s="8">
        <f t="shared" si="1"/>
        <v>2.1</v>
      </c>
      <c r="H72" s="8" t="s">
        <v>123</v>
      </c>
    </row>
    <row r="73" spans="1:8" x14ac:dyDescent="0.2">
      <c r="A73" s="16">
        <v>4</v>
      </c>
      <c r="B73" s="14" t="s">
        <v>104</v>
      </c>
      <c r="C73" s="18" t="s">
        <v>109</v>
      </c>
      <c r="D73" s="57">
        <v>2.2999999999999998</v>
      </c>
      <c r="E73" s="57" t="s">
        <v>123</v>
      </c>
      <c r="F73" s="57" t="s">
        <v>123</v>
      </c>
      <c r="G73" s="8">
        <f t="shared" ref="G73:G102" si="2">IF(D73="NA","NA",ROUND(AVERAGE(D73:F73),2))</f>
        <v>2.2999999999999998</v>
      </c>
      <c r="H73" s="8" t="s">
        <v>123</v>
      </c>
    </row>
    <row r="74" spans="1:8" x14ac:dyDescent="0.2">
      <c r="A74" s="16">
        <v>4</v>
      </c>
      <c r="B74" s="14" t="s">
        <v>104</v>
      </c>
      <c r="C74" s="18" t="s">
        <v>110</v>
      </c>
      <c r="D74" s="57">
        <v>1.9</v>
      </c>
      <c r="E74" s="57" t="s">
        <v>123</v>
      </c>
      <c r="F74" s="57" t="s">
        <v>123</v>
      </c>
      <c r="G74" s="8">
        <f t="shared" si="2"/>
        <v>1.9</v>
      </c>
      <c r="H74" s="8" t="s">
        <v>123</v>
      </c>
    </row>
    <row r="75" spans="1:8" x14ac:dyDescent="0.2">
      <c r="A75" s="16">
        <v>4</v>
      </c>
      <c r="B75" s="14" t="s">
        <v>104</v>
      </c>
      <c r="C75" s="18" t="s">
        <v>111</v>
      </c>
      <c r="D75" s="57">
        <v>2.2999999999999998</v>
      </c>
      <c r="E75" s="57" t="s">
        <v>123</v>
      </c>
      <c r="F75" s="57" t="s">
        <v>123</v>
      </c>
      <c r="G75" s="8">
        <f t="shared" si="2"/>
        <v>2.2999999999999998</v>
      </c>
      <c r="H75" s="8" t="s">
        <v>123</v>
      </c>
    </row>
    <row r="76" spans="1:8" x14ac:dyDescent="0.2">
      <c r="A76" s="16">
        <v>4</v>
      </c>
      <c r="B76" s="14" t="s">
        <v>104</v>
      </c>
      <c r="C76" s="18" t="s">
        <v>112</v>
      </c>
      <c r="D76" s="57">
        <v>2.5</v>
      </c>
      <c r="E76" s="57" t="s">
        <v>123</v>
      </c>
      <c r="F76" s="57" t="s">
        <v>123</v>
      </c>
      <c r="G76" s="8">
        <f t="shared" si="2"/>
        <v>2.5</v>
      </c>
      <c r="H76" s="8" t="s">
        <v>123</v>
      </c>
    </row>
    <row r="77" spans="1:8" x14ac:dyDescent="0.2">
      <c r="A77" s="16">
        <v>4</v>
      </c>
      <c r="B77" s="14" t="s">
        <v>104</v>
      </c>
      <c r="C77" s="18" t="s">
        <v>113</v>
      </c>
      <c r="D77" s="57">
        <v>2.8</v>
      </c>
      <c r="E77" s="57" t="s">
        <v>123</v>
      </c>
      <c r="F77" s="57" t="s">
        <v>123</v>
      </c>
      <c r="G77" s="8">
        <f t="shared" si="2"/>
        <v>2.8</v>
      </c>
      <c r="H77" s="8" t="s">
        <v>123</v>
      </c>
    </row>
    <row r="78" spans="1:8" x14ac:dyDescent="0.2">
      <c r="A78" s="16">
        <v>4</v>
      </c>
      <c r="B78" s="14" t="s">
        <v>104</v>
      </c>
      <c r="C78" s="18" t="s">
        <v>114</v>
      </c>
      <c r="D78" s="57">
        <v>3</v>
      </c>
      <c r="E78" s="57" t="s">
        <v>123</v>
      </c>
      <c r="F78" s="57" t="s">
        <v>123</v>
      </c>
      <c r="G78" s="8">
        <f t="shared" si="2"/>
        <v>3</v>
      </c>
      <c r="H78" s="8" t="s">
        <v>123</v>
      </c>
    </row>
    <row r="79" spans="1:8" x14ac:dyDescent="0.2">
      <c r="A79" s="16">
        <v>4</v>
      </c>
      <c r="B79" s="14" t="s">
        <v>104</v>
      </c>
      <c r="C79" s="18" t="s">
        <v>115</v>
      </c>
      <c r="D79" s="57">
        <v>2.9</v>
      </c>
      <c r="E79" s="57" t="s">
        <v>123</v>
      </c>
      <c r="F79" s="57" t="s">
        <v>123</v>
      </c>
      <c r="G79" s="8">
        <f t="shared" si="2"/>
        <v>2.9</v>
      </c>
      <c r="H79" s="8" t="s">
        <v>123</v>
      </c>
    </row>
    <row r="80" spans="1:8" x14ac:dyDescent="0.2">
      <c r="A80" s="16">
        <v>4</v>
      </c>
      <c r="B80" s="14" t="s">
        <v>104</v>
      </c>
      <c r="C80" s="18" t="s">
        <v>116</v>
      </c>
      <c r="D80" s="57">
        <v>2.4</v>
      </c>
      <c r="E80" s="57" t="s">
        <v>123</v>
      </c>
      <c r="F80" s="57" t="s">
        <v>123</v>
      </c>
      <c r="G80" s="8">
        <f t="shared" si="2"/>
        <v>2.4</v>
      </c>
      <c r="H80" s="8" t="s">
        <v>123</v>
      </c>
    </row>
    <row r="81" spans="1:8" x14ac:dyDescent="0.2">
      <c r="A81" s="16">
        <v>4</v>
      </c>
      <c r="B81" s="14" t="s">
        <v>104</v>
      </c>
      <c r="C81" s="18" t="s">
        <v>117</v>
      </c>
      <c r="D81" s="57">
        <v>2.5</v>
      </c>
      <c r="E81" s="57" t="s">
        <v>123</v>
      </c>
      <c r="F81" s="57" t="s">
        <v>123</v>
      </c>
      <c r="G81" s="8">
        <f t="shared" si="2"/>
        <v>2.5</v>
      </c>
      <c r="H81" s="8" t="s">
        <v>123</v>
      </c>
    </row>
    <row r="82" spans="1:8" x14ac:dyDescent="0.2">
      <c r="A82" s="16">
        <v>4</v>
      </c>
      <c r="B82" s="14" t="s">
        <v>104</v>
      </c>
      <c r="C82" s="18" t="s">
        <v>118</v>
      </c>
      <c r="D82" s="57">
        <v>1.9</v>
      </c>
      <c r="E82" s="57" t="s">
        <v>123</v>
      </c>
      <c r="F82" s="57" t="s">
        <v>123</v>
      </c>
      <c r="G82" s="8">
        <f t="shared" si="2"/>
        <v>1.9</v>
      </c>
      <c r="H82" s="8" t="s">
        <v>123</v>
      </c>
    </row>
    <row r="83" spans="1:8" x14ac:dyDescent="0.2">
      <c r="A83" s="16">
        <v>4</v>
      </c>
      <c r="B83" s="14" t="s">
        <v>104</v>
      </c>
      <c r="C83" s="18" t="s">
        <v>119</v>
      </c>
      <c r="D83" s="57" t="s">
        <v>123</v>
      </c>
      <c r="E83" s="57" t="s">
        <v>123</v>
      </c>
      <c r="F83" s="57" t="s">
        <v>123</v>
      </c>
      <c r="G83" s="8" t="str">
        <f t="shared" si="2"/>
        <v>NA</v>
      </c>
      <c r="H83" s="8" t="s">
        <v>123</v>
      </c>
    </row>
    <row r="84" spans="1:8" x14ac:dyDescent="0.2">
      <c r="A84" s="16">
        <v>4</v>
      </c>
      <c r="B84" s="14" t="s">
        <v>104</v>
      </c>
      <c r="C84" s="18" t="s">
        <v>120</v>
      </c>
      <c r="D84" s="57">
        <v>2.2999999999999998</v>
      </c>
      <c r="E84" s="57" t="s">
        <v>123</v>
      </c>
      <c r="F84" s="57" t="s">
        <v>123</v>
      </c>
      <c r="G84" s="8">
        <f t="shared" si="2"/>
        <v>2.2999999999999998</v>
      </c>
      <c r="H84" s="8" t="s">
        <v>123</v>
      </c>
    </row>
    <row r="85" spans="1:8" x14ac:dyDescent="0.2">
      <c r="A85" s="16">
        <v>4</v>
      </c>
      <c r="B85" s="14" t="s">
        <v>104</v>
      </c>
      <c r="C85" s="18" t="s">
        <v>121</v>
      </c>
      <c r="D85" s="57">
        <v>2.4</v>
      </c>
      <c r="E85" s="57" t="s">
        <v>123</v>
      </c>
      <c r="F85" s="57" t="s">
        <v>123</v>
      </c>
      <c r="G85" s="8">
        <f t="shared" si="2"/>
        <v>2.4</v>
      </c>
      <c r="H85" s="8" t="s">
        <v>123</v>
      </c>
    </row>
    <row r="86" spans="1:8" x14ac:dyDescent="0.2">
      <c r="A86" s="16">
        <v>4</v>
      </c>
      <c r="B86" s="14" t="s">
        <v>104</v>
      </c>
      <c r="C86" s="18" t="s">
        <v>122</v>
      </c>
      <c r="D86" s="57" t="s">
        <v>123</v>
      </c>
      <c r="E86" s="57" t="s">
        <v>123</v>
      </c>
      <c r="F86" s="57" t="s">
        <v>123</v>
      </c>
      <c r="G86" s="8" t="str">
        <f t="shared" si="2"/>
        <v>NA</v>
      </c>
      <c r="H86" s="8" t="s">
        <v>123</v>
      </c>
    </row>
    <row r="87" spans="1:8" x14ac:dyDescent="0.2">
      <c r="A87" s="16">
        <v>4</v>
      </c>
      <c r="B87" s="14" t="s">
        <v>104</v>
      </c>
      <c r="C87" s="18" t="s">
        <v>124</v>
      </c>
      <c r="D87" s="57">
        <v>2</v>
      </c>
      <c r="E87" s="57" t="s">
        <v>123</v>
      </c>
      <c r="F87" s="57" t="s">
        <v>123</v>
      </c>
      <c r="G87" s="8">
        <f t="shared" si="2"/>
        <v>2</v>
      </c>
      <c r="H87" s="8" t="s">
        <v>123</v>
      </c>
    </row>
    <row r="88" spans="1:8" x14ac:dyDescent="0.2">
      <c r="A88" s="16">
        <v>4</v>
      </c>
      <c r="B88" s="14" t="s">
        <v>104</v>
      </c>
      <c r="C88" s="18" t="s">
        <v>125</v>
      </c>
      <c r="D88" s="57">
        <v>2</v>
      </c>
      <c r="E88" s="57" t="s">
        <v>123</v>
      </c>
      <c r="F88" s="57" t="s">
        <v>123</v>
      </c>
      <c r="G88" s="8">
        <f t="shared" si="2"/>
        <v>2</v>
      </c>
      <c r="H88" s="8" t="s">
        <v>123</v>
      </c>
    </row>
    <row r="89" spans="1:8" x14ac:dyDescent="0.2">
      <c r="A89" s="16">
        <v>4</v>
      </c>
      <c r="B89" s="14" t="s">
        <v>104</v>
      </c>
      <c r="C89" s="18" t="s">
        <v>126</v>
      </c>
      <c r="D89" s="57">
        <v>1.7</v>
      </c>
      <c r="E89" s="57" t="s">
        <v>123</v>
      </c>
      <c r="F89" s="57" t="s">
        <v>123</v>
      </c>
      <c r="G89" s="8">
        <f t="shared" si="2"/>
        <v>1.7</v>
      </c>
      <c r="H89" s="8" t="s">
        <v>123</v>
      </c>
    </row>
    <row r="90" spans="1:8" x14ac:dyDescent="0.2">
      <c r="A90" s="16">
        <v>4</v>
      </c>
      <c r="B90" s="14" t="s">
        <v>104</v>
      </c>
      <c r="C90" s="18" t="s">
        <v>127</v>
      </c>
      <c r="D90" s="57" t="s">
        <v>123</v>
      </c>
      <c r="E90" s="57" t="s">
        <v>123</v>
      </c>
      <c r="F90" s="57" t="s">
        <v>123</v>
      </c>
      <c r="G90" s="8" t="str">
        <f t="shared" si="2"/>
        <v>NA</v>
      </c>
      <c r="H90" s="8" t="s">
        <v>123</v>
      </c>
    </row>
    <row r="91" spans="1:8" x14ac:dyDescent="0.2">
      <c r="A91" s="16">
        <v>4</v>
      </c>
      <c r="B91" s="14" t="s">
        <v>104</v>
      </c>
      <c r="C91" s="18" t="s">
        <v>128</v>
      </c>
      <c r="D91" s="57">
        <v>2.1</v>
      </c>
      <c r="E91" s="57" t="s">
        <v>123</v>
      </c>
      <c r="F91" s="57" t="s">
        <v>123</v>
      </c>
      <c r="G91" s="8">
        <f t="shared" si="2"/>
        <v>2.1</v>
      </c>
      <c r="H91" s="8" t="s">
        <v>123</v>
      </c>
    </row>
    <row r="92" spans="1:8" x14ac:dyDescent="0.2">
      <c r="A92" s="16">
        <v>4</v>
      </c>
      <c r="B92" s="14" t="s">
        <v>104</v>
      </c>
      <c r="C92" s="18" t="s">
        <v>129</v>
      </c>
      <c r="D92" s="57">
        <v>1.9</v>
      </c>
      <c r="E92" s="57" t="s">
        <v>123</v>
      </c>
      <c r="F92" s="57" t="s">
        <v>123</v>
      </c>
      <c r="G92" s="8">
        <f t="shared" si="2"/>
        <v>1.9</v>
      </c>
      <c r="H92" s="8" t="s">
        <v>123</v>
      </c>
    </row>
    <row r="93" spans="1:8" x14ac:dyDescent="0.2">
      <c r="A93" s="16">
        <v>4</v>
      </c>
      <c r="B93" s="14" t="s">
        <v>104</v>
      </c>
      <c r="C93" s="18" t="s">
        <v>130</v>
      </c>
      <c r="D93" s="57">
        <v>2.2999999999999998</v>
      </c>
      <c r="E93" s="57" t="s">
        <v>123</v>
      </c>
      <c r="F93" s="57" t="s">
        <v>123</v>
      </c>
      <c r="G93" s="8">
        <f t="shared" si="2"/>
        <v>2.2999999999999998</v>
      </c>
      <c r="H93" s="8" t="s">
        <v>123</v>
      </c>
    </row>
    <row r="94" spans="1:8" x14ac:dyDescent="0.2">
      <c r="A94" s="16">
        <v>4</v>
      </c>
      <c r="B94" s="14" t="s">
        <v>104</v>
      </c>
      <c r="C94" s="18" t="s">
        <v>131</v>
      </c>
      <c r="D94" s="57">
        <v>2.2000000000000002</v>
      </c>
      <c r="E94" s="57" t="s">
        <v>123</v>
      </c>
      <c r="F94" s="57" t="s">
        <v>123</v>
      </c>
      <c r="G94" s="8">
        <f t="shared" si="2"/>
        <v>2.2000000000000002</v>
      </c>
      <c r="H94" s="8" t="s">
        <v>123</v>
      </c>
    </row>
    <row r="95" spans="1:8" x14ac:dyDescent="0.2">
      <c r="A95" s="16">
        <v>4</v>
      </c>
      <c r="B95" s="14" t="s">
        <v>104</v>
      </c>
      <c r="C95" s="18" t="s">
        <v>132</v>
      </c>
      <c r="D95" s="57">
        <v>1.9</v>
      </c>
      <c r="E95" s="57" t="s">
        <v>123</v>
      </c>
      <c r="F95" s="57" t="s">
        <v>123</v>
      </c>
      <c r="G95" s="8">
        <f t="shared" si="2"/>
        <v>1.9</v>
      </c>
      <c r="H95" s="8" t="s">
        <v>123</v>
      </c>
    </row>
    <row r="96" spans="1:8" x14ac:dyDescent="0.2">
      <c r="A96" s="16">
        <v>4</v>
      </c>
      <c r="B96" s="14" t="s">
        <v>104</v>
      </c>
      <c r="C96" s="18" t="s">
        <v>133</v>
      </c>
      <c r="D96" s="57">
        <v>2.5</v>
      </c>
      <c r="E96" s="57" t="s">
        <v>123</v>
      </c>
      <c r="F96" s="57" t="s">
        <v>123</v>
      </c>
      <c r="G96" s="8">
        <f t="shared" si="2"/>
        <v>2.5</v>
      </c>
      <c r="H96" s="8" t="s">
        <v>123</v>
      </c>
    </row>
    <row r="97" spans="1:8" x14ac:dyDescent="0.2">
      <c r="A97" s="16">
        <v>4</v>
      </c>
      <c r="B97" s="14" t="s">
        <v>104</v>
      </c>
      <c r="C97" s="18" t="s">
        <v>134</v>
      </c>
      <c r="D97" s="57">
        <v>1.5</v>
      </c>
      <c r="E97" s="57" t="s">
        <v>123</v>
      </c>
      <c r="F97" s="57" t="s">
        <v>123</v>
      </c>
      <c r="G97" s="8">
        <f t="shared" si="2"/>
        <v>1.5</v>
      </c>
      <c r="H97" s="8" t="s">
        <v>123</v>
      </c>
    </row>
    <row r="98" spans="1:8" x14ac:dyDescent="0.2">
      <c r="A98" s="17">
        <v>4</v>
      </c>
      <c r="B98" s="17" t="s">
        <v>104</v>
      </c>
      <c r="C98" s="17" t="s">
        <v>135</v>
      </c>
      <c r="D98" s="57">
        <v>1.8</v>
      </c>
      <c r="E98" s="57" t="s">
        <v>123</v>
      </c>
      <c r="F98" s="57" t="s">
        <v>123</v>
      </c>
      <c r="G98" s="8">
        <f t="shared" si="2"/>
        <v>1.8</v>
      </c>
      <c r="H98" s="8" t="s">
        <v>123</v>
      </c>
    </row>
    <row r="99" spans="1:8" x14ac:dyDescent="0.2">
      <c r="A99" s="17">
        <v>4</v>
      </c>
      <c r="B99" s="17" t="s">
        <v>104</v>
      </c>
      <c r="C99" s="17" t="s">
        <v>136</v>
      </c>
      <c r="D99" s="57">
        <v>2.4</v>
      </c>
      <c r="E99" s="57" t="s">
        <v>123</v>
      </c>
      <c r="F99" s="57" t="s">
        <v>123</v>
      </c>
      <c r="G99" s="8">
        <f t="shared" si="2"/>
        <v>2.4</v>
      </c>
      <c r="H99" s="8" t="s">
        <v>123</v>
      </c>
    </row>
    <row r="100" spans="1:8" x14ac:dyDescent="0.2">
      <c r="A100" s="17">
        <v>4</v>
      </c>
      <c r="B100" s="17" t="s">
        <v>104</v>
      </c>
      <c r="C100" s="17" t="s">
        <v>137</v>
      </c>
      <c r="D100" s="8" t="s">
        <v>123</v>
      </c>
      <c r="E100" s="57" t="s">
        <v>123</v>
      </c>
      <c r="F100" s="57" t="s">
        <v>123</v>
      </c>
      <c r="G100" s="8" t="str">
        <f t="shared" si="2"/>
        <v>NA</v>
      </c>
      <c r="H100" s="8" t="s">
        <v>123</v>
      </c>
    </row>
    <row r="101" spans="1:8" x14ac:dyDescent="0.2">
      <c r="A101" s="17">
        <v>4</v>
      </c>
      <c r="B101" s="17" t="s">
        <v>104</v>
      </c>
      <c r="C101" s="17" t="s">
        <v>138</v>
      </c>
      <c r="D101" s="8" t="s">
        <v>123</v>
      </c>
      <c r="E101" s="57" t="s">
        <v>123</v>
      </c>
      <c r="F101" s="57" t="s">
        <v>123</v>
      </c>
      <c r="G101" s="8" t="str">
        <f t="shared" si="2"/>
        <v>NA</v>
      </c>
      <c r="H101" s="8" t="s">
        <v>123</v>
      </c>
    </row>
    <row r="102" spans="1:8" x14ac:dyDescent="0.2">
      <c r="A102" s="17">
        <v>4</v>
      </c>
      <c r="B102" s="17" t="s">
        <v>104</v>
      </c>
      <c r="C102" s="17" t="s">
        <v>139</v>
      </c>
      <c r="D102" s="8" t="s">
        <v>123</v>
      </c>
      <c r="E102" s="57" t="s">
        <v>123</v>
      </c>
      <c r="F102" s="57" t="s">
        <v>123</v>
      </c>
      <c r="G102" s="8" t="str">
        <f t="shared" si="2"/>
        <v>NA</v>
      </c>
      <c r="H102" s="8" t="s">
        <v>123</v>
      </c>
    </row>
  </sheetData>
  <pageMargins left="0.7" right="0.7" top="0.75" bottom="0.75" header="0.3" footer="0.3"/>
  <pageSetup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DF1EA-6B51-5745-82B0-D7C16C00E311}">
  <dimension ref="A1:R102"/>
  <sheetViews>
    <sheetView topLeftCell="A81" workbookViewId="0">
      <selection activeCell="H102" sqref="H9:H102"/>
    </sheetView>
  </sheetViews>
  <sheetFormatPr baseColWidth="10" defaultColWidth="8.83203125" defaultRowHeight="15" x14ac:dyDescent="0.2"/>
  <cols>
    <col min="4" max="6" width="10.6640625" customWidth="1"/>
    <col min="7" max="7" width="8.83203125" customWidth="1"/>
  </cols>
  <sheetData>
    <row r="1" spans="1:18" ht="19" x14ac:dyDescent="0.25">
      <c r="A1" s="12" t="s">
        <v>0</v>
      </c>
      <c r="B1" s="12"/>
      <c r="C1" s="12"/>
      <c r="D1" s="12"/>
      <c r="E1" s="12"/>
      <c r="G1" s="12"/>
      <c r="H1" s="12"/>
      <c r="I1" s="12"/>
      <c r="K1" s="12"/>
    </row>
    <row r="2" spans="1:18" ht="19" x14ac:dyDescent="0.25">
      <c r="A2" s="12"/>
      <c r="B2" s="12"/>
      <c r="C2" s="12"/>
      <c r="D2" s="12"/>
      <c r="E2" s="12"/>
      <c r="G2" s="12"/>
      <c r="H2" s="12"/>
      <c r="I2" s="12"/>
      <c r="J2" s="12"/>
      <c r="K2" s="12"/>
    </row>
    <row r="3" spans="1:18" ht="19" x14ac:dyDescent="0.25">
      <c r="A3" s="12" t="s">
        <v>181</v>
      </c>
      <c r="B3" s="12"/>
      <c r="C3" s="12"/>
      <c r="D3" s="12"/>
      <c r="E3" s="12"/>
      <c r="G3" s="12"/>
      <c r="H3" s="12"/>
      <c r="I3" s="12"/>
      <c r="J3" s="12"/>
      <c r="K3" s="12"/>
    </row>
    <row r="4" spans="1:18" ht="19" x14ac:dyDescent="0.25">
      <c r="A4" s="12"/>
      <c r="B4" s="12"/>
      <c r="C4" s="12"/>
      <c r="D4" s="12"/>
      <c r="E4" s="12"/>
      <c r="G4" s="12"/>
      <c r="H4" s="12"/>
      <c r="I4" s="12"/>
      <c r="J4" s="12"/>
      <c r="K4" s="12"/>
    </row>
    <row r="5" spans="1:18" ht="19" x14ac:dyDescent="0.25">
      <c r="A5" s="12" t="s">
        <v>177</v>
      </c>
      <c r="B5" s="12"/>
      <c r="C5" s="12"/>
      <c r="D5" s="12"/>
      <c r="E5" s="12"/>
      <c r="G5" s="12"/>
      <c r="H5" s="12"/>
      <c r="I5" s="12"/>
      <c r="J5" s="12"/>
      <c r="K5" s="12"/>
    </row>
    <row r="6" spans="1:18" ht="19" x14ac:dyDescent="0.25">
      <c r="A6" s="12" t="s">
        <v>3</v>
      </c>
      <c r="B6" s="12"/>
      <c r="C6" s="12"/>
      <c r="D6" s="12"/>
      <c r="E6" s="12"/>
      <c r="G6" s="12"/>
      <c r="H6" s="12"/>
      <c r="I6" s="12"/>
      <c r="J6" s="12"/>
      <c r="K6" s="12"/>
    </row>
    <row r="8" spans="1:18" ht="41" thickBot="1" x14ac:dyDescent="0.25">
      <c r="A8" s="1" t="s">
        <v>4</v>
      </c>
      <c r="B8" s="2" t="s">
        <v>5</v>
      </c>
      <c r="C8" s="6" t="s">
        <v>7</v>
      </c>
      <c r="D8" s="7" t="s">
        <v>8</v>
      </c>
      <c r="E8" s="7" t="s">
        <v>8</v>
      </c>
      <c r="F8" s="7" t="s">
        <v>8</v>
      </c>
      <c r="G8" s="7" t="s">
        <v>9</v>
      </c>
      <c r="H8" s="7" t="s">
        <v>10</v>
      </c>
      <c r="I8" s="34"/>
      <c r="J8" s="34"/>
      <c r="K8" s="34"/>
      <c r="L8" s="34"/>
      <c r="M8" s="34"/>
      <c r="N8" s="34"/>
      <c r="O8" s="34"/>
      <c r="P8" s="34"/>
      <c r="Q8" s="34"/>
      <c r="R8" s="34"/>
    </row>
    <row r="9" spans="1:18" x14ac:dyDescent="0.2">
      <c r="A9" s="3">
        <v>2</v>
      </c>
      <c r="B9" s="3" t="s">
        <v>42</v>
      </c>
      <c r="C9" s="9">
        <v>800</v>
      </c>
      <c r="D9" s="57">
        <v>1.8</v>
      </c>
      <c r="E9" s="8" t="s">
        <v>123</v>
      </c>
      <c r="F9" s="8" t="s">
        <v>123</v>
      </c>
      <c r="G9" s="8">
        <f t="shared" ref="G9:G72" si="0">IF(D9="NA","NA",ROUND(AVERAGE(D9:F9),2))</f>
        <v>1.8</v>
      </c>
      <c r="H9" s="8" t="s">
        <v>123</v>
      </c>
    </row>
    <row r="10" spans="1:18" x14ac:dyDescent="0.2">
      <c r="A10" s="4">
        <v>2</v>
      </c>
      <c r="B10" s="4" t="s">
        <v>42</v>
      </c>
      <c r="C10" s="10">
        <v>801</v>
      </c>
      <c r="D10" s="57">
        <v>1.8</v>
      </c>
      <c r="E10" s="8" t="s">
        <v>123</v>
      </c>
      <c r="F10" s="8" t="s">
        <v>123</v>
      </c>
      <c r="G10" s="8">
        <f t="shared" si="0"/>
        <v>1.8</v>
      </c>
      <c r="H10" s="8" t="s">
        <v>123</v>
      </c>
    </row>
    <row r="11" spans="1:18" x14ac:dyDescent="0.2">
      <c r="A11" s="4">
        <v>2</v>
      </c>
      <c r="B11" s="4" t="s">
        <v>42</v>
      </c>
      <c r="C11" s="10">
        <v>804</v>
      </c>
      <c r="D11" s="57">
        <v>2.1</v>
      </c>
      <c r="E11" s="8" t="s">
        <v>123</v>
      </c>
      <c r="F11" s="8" t="s">
        <v>123</v>
      </c>
      <c r="G11" s="8">
        <f t="shared" si="0"/>
        <v>2.1</v>
      </c>
      <c r="H11" s="8" t="s">
        <v>123</v>
      </c>
    </row>
    <row r="12" spans="1:18" x14ac:dyDescent="0.2">
      <c r="A12" s="4">
        <v>2</v>
      </c>
      <c r="B12" s="4" t="s">
        <v>42</v>
      </c>
      <c r="C12" s="10">
        <v>806</v>
      </c>
      <c r="D12" s="57">
        <v>1.6</v>
      </c>
      <c r="E12" s="8" t="s">
        <v>123</v>
      </c>
      <c r="F12" s="8" t="s">
        <v>123</v>
      </c>
      <c r="G12" s="8">
        <f t="shared" si="0"/>
        <v>1.6</v>
      </c>
      <c r="H12" s="8" t="s">
        <v>123</v>
      </c>
    </row>
    <row r="13" spans="1:18" x14ac:dyDescent="0.2">
      <c r="A13" s="4">
        <v>2</v>
      </c>
      <c r="B13" s="4" t="s">
        <v>42</v>
      </c>
      <c r="C13" s="10">
        <v>809</v>
      </c>
      <c r="D13" s="57">
        <v>3.1</v>
      </c>
      <c r="E13" s="8" t="s">
        <v>123</v>
      </c>
      <c r="F13" s="8" t="s">
        <v>123</v>
      </c>
      <c r="G13" s="8">
        <f t="shared" si="0"/>
        <v>3.1</v>
      </c>
      <c r="H13" s="8" t="s">
        <v>123</v>
      </c>
    </row>
    <row r="14" spans="1:18" x14ac:dyDescent="0.2">
      <c r="A14" s="4">
        <v>2</v>
      </c>
      <c r="B14" s="4" t="s">
        <v>42</v>
      </c>
      <c r="C14" s="10">
        <v>810</v>
      </c>
      <c r="D14" s="57">
        <v>3.6</v>
      </c>
      <c r="E14" s="8" t="s">
        <v>123</v>
      </c>
      <c r="F14" s="8" t="s">
        <v>123</v>
      </c>
      <c r="G14" s="8">
        <f t="shared" si="0"/>
        <v>3.6</v>
      </c>
      <c r="H14" s="8" t="s">
        <v>123</v>
      </c>
    </row>
    <row r="15" spans="1:18" x14ac:dyDescent="0.2">
      <c r="A15" s="4">
        <v>2</v>
      </c>
      <c r="B15" s="4" t="s">
        <v>42</v>
      </c>
      <c r="C15" s="10">
        <v>819</v>
      </c>
      <c r="D15" s="57">
        <v>2.7</v>
      </c>
      <c r="E15" s="8" t="s">
        <v>123</v>
      </c>
      <c r="F15" s="8" t="s">
        <v>123</v>
      </c>
      <c r="G15" s="8">
        <f t="shared" si="0"/>
        <v>2.7</v>
      </c>
      <c r="H15" s="8" t="s">
        <v>123</v>
      </c>
    </row>
    <row r="16" spans="1:18" x14ac:dyDescent="0.2">
      <c r="A16" s="4">
        <v>2</v>
      </c>
      <c r="B16" s="4" t="s">
        <v>42</v>
      </c>
      <c r="C16" s="10">
        <v>822</v>
      </c>
      <c r="D16" s="57">
        <v>2.4</v>
      </c>
      <c r="E16" s="8" t="s">
        <v>123</v>
      </c>
      <c r="F16" s="8" t="s">
        <v>123</v>
      </c>
      <c r="G16" s="8">
        <f t="shared" si="0"/>
        <v>2.4</v>
      </c>
      <c r="H16" s="8" t="s">
        <v>123</v>
      </c>
    </row>
    <row r="17" spans="1:8" x14ac:dyDescent="0.2">
      <c r="A17" s="4">
        <v>2</v>
      </c>
      <c r="B17" s="4" t="s">
        <v>42</v>
      </c>
      <c r="C17" s="10">
        <v>823</v>
      </c>
      <c r="D17" s="57">
        <v>2.4</v>
      </c>
      <c r="E17" s="8" t="s">
        <v>123</v>
      </c>
      <c r="F17" s="8" t="s">
        <v>123</v>
      </c>
      <c r="G17" s="8">
        <f t="shared" si="0"/>
        <v>2.4</v>
      </c>
      <c r="H17" s="8" t="s">
        <v>123</v>
      </c>
    </row>
    <row r="18" spans="1:8" x14ac:dyDescent="0.2">
      <c r="A18" s="4">
        <v>2</v>
      </c>
      <c r="B18" s="4" t="s">
        <v>42</v>
      </c>
      <c r="C18" s="10">
        <v>825</v>
      </c>
      <c r="D18" s="57">
        <v>2.1</v>
      </c>
      <c r="E18" s="8" t="s">
        <v>123</v>
      </c>
      <c r="F18" s="8" t="s">
        <v>123</v>
      </c>
      <c r="G18" s="8">
        <f t="shared" si="0"/>
        <v>2.1</v>
      </c>
      <c r="H18" s="8" t="s">
        <v>123</v>
      </c>
    </row>
    <row r="19" spans="1:8" x14ac:dyDescent="0.2">
      <c r="A19" s="4">
        <v>2</v>
      </c>
      <c r="B19" s="4" t="s">
        <v>42</v>
      </c>
      <c r="C19" s="10">
        <v>826</v>
      </c>
      <c r="D19" s="57">
        <v>1.6</v>
      </c>
      <c r="E19" s="8" t="s">
        <v>123</v>
      </c>
      <c r="F19" s="8" t="s">
        <v>123</v>
      </c>
      <c r="G19" s="8">
        <f t="shared" si="0"/>
        <v>1.6</v>
      </c>
      <c r="H19" s="8" t="s">
        <v>123</v>
      </c>
    </row>
    <row r="20" spans="1:8" x14ac:dyDescent="0.2">
      <c r="A20" s="4">
        <v>2</v>
      </c>
      <c r="B20" s="4" t="s">
        <v>42</v>
      </c>
      <c r="C20" s="10">
        <v>828</v>
      </c>
      <c r="D20" s="57">
        <v>1.5</v>
      </c>
      <c r="E20" s="8" t="s">
        <v>123</v>
      </c>
      <c r="F20" s="8" t="s">
        <v>123</v>
      </c>
      <c r="G20" s="8">
        <f t="shared" si="0"/>
        <v>1.5</v>
      </c>
      <c r="H20" s="8" t="s">
        <v>123</v>
      </c>
    </row>
    <row r="21" spans="1:8" x14ac:dyDescent="0.2">
      <c r="A21" s="4">
        <v>2</v>
      </c>
      <c r="B21" s="4" t="s">
        <v>42</v>
      </c>
      <c r="C21" s="10">
        <v>829</v>
      </c>
      <c r="D21" s="57">
        <v>1.8</v>
      </c>
      <c r="E21" s="8" t="s">
        <v>123</v>
      </c>
      <c r="F21" s="8" t="s">
        <v>123</v>
      </c>
      <c r="G21" s="8">
        <f t="shared" si="0"/>
        <v>1.8</v>
      </c>
      <c r="H21" s="8" t="s">
        <v>123</v>
      </c>
    </row>
    <row r="22" spans="1:8" x14ac:dyDescent="0.2">
      <c r="A22" s="4">
        <v>2</v>
      </c>
      <c r="B22" s="4" t="s">
        <v>42</v>
      </c>
      <c r="C22" s="10">
        <v>832</v>
      </c>
      <c r="D22" s="57">
        <v>2</v>
      </c>
      <c r="E22" s="8" t="s">
        <v>123</v>
      </c>
      <c r="F22" s="8" t="s">
        <v>123</v>
      </c>
      <c r="G22" s="8">
        <f t="shared" si="0"/>
        <v>2</v>
      </c>
      <c r="H22" s="8" t="s">
        <v>123</v>
      </c>
    </row>
    <row r="23" spans="1:8" x14ac:dyDescent="0.2">
      <c r="A23" s="4">
        <v>2</v>
      </c>
      <c r="B23" s="4" t="s">
        <v>42</v>
      </c>
      <c r="C23" s="10">
        <v>836</v>
      </c>
      <c r="D23" s="57">
        <v>2</v>
      </c>
      <c r="E23" s="8" t="s">
        <v>123</v>
      </c>
      <c r="F23" s="8" t="s">
        <v>123</v>
      </c>
      <c r="G23" s="8">
        <f t="shared" si="0"/>
        <v>2</v>
      </c>
      <c r="H23" s="8" t="s">
        <v>123</v>
      </c>
    </row>
    <row r="24" spans="1:8" x14ac:dyDescent="0.2">
      <c r="A24" s="4">
        <v>2</v>
      </c>
      <c r="B24" s="4" t="s">
        <v>42</v>
      </c>
      <c r="C24" s="10">
        <v>839</v>
      </c>
      <c r="D24" s="57">
        <v>2.1</v>
      </c>
      <c r="E24" s="8" t="s">
        <v>123</v>
      </c>
      <c r="F24" s="8" t="s">
        <v>123</v>
      </c>
      <c r="G24" s="8">
        <f t="shared" si="0"/>
        <v>2.1</v>
      </c>
      <c r="H24" s="8" t="s">
        <v>123</v>
      </c>
    </row>
    <row r="25" spans="1:8" x14ac:dyDescent="0.2">
      <c r="A25" s="4">
        <v>2</v>
      </c>
      <c r="B25" s="4" t="s">
        <v>42</v>
      </c>
      <c r="C25" s="10">
        <v>840</v>
      </c>
      <c r="D25" s="57">
        <v>2</v>
      </c>
      <c r="E25" s="8" t="s">
        <v>123</v>
      </c>
      <c r="F25" s="8" t="s">
        <v>123</v>
      </c>
      <c r="G25" s="8">
        <f t="shared" si="0"/>
        <v>2</v>
      </c>
      <c r="H25" s="8" t="s">
        <v>123</v>
      </c>
    </row>
    <row r="26" spans="1:8" x14ac:dyDescent="0.2">
      <c r="A26" s="4">
        <v>2</v>
      </c>
      <c r="B26" s="4" t="s">
        <v>42</v>
      </c>
      <c r="C26" s="10">
        <v>841</v>
      </c>
      <c r="D26" s="57">
        <v>2.5</v>
      </c>
      <c r="E26" s="8" t="s">
        <v>123</v>
      </c>
      <c r="F26" s="8" t="s">
        <v>123</v>
      </c>
      <c r="G26" s="8">
        <f t="shared" si="0"/>
        <v>2.5</v>
      </c>
      <c r="H26" s="8" t="s">
        <v>123</v>
      </c>
    </row>
    <row r="27" spans="1:8" x14ac:dyDescent="0.2">
      <c r="A27" s="4">
        <v>2</v>
      </c>
      <c r="B27" s="4" t="s">
        <v>42</v>
      </c>
      <c r="C27" s="10">
        <v>843</v>
      </c>
      <c r="D27" s="57">
        <v>2.5</v>
      </c>
      <c r="E27" s="8" t="s">
        <v>123</v>
      </c>
      <c r="F27" s="8" t="s">
        <v>123</v>
      </c>
      <c r="G27" s="8">
        <f t="shared" si="0"/>
        <v>2.5</v>
      </c>
      <c r="H27" s="8" t="s">
        <v>123</v>
      </c>
    </row>
    <row r="28" spans="1:8" x14ac:dyDescent="0.2">
      <c r="A28" s="4">
        <v>2</v>
      </c>
      <c r="B28" s="4" t="s">
        <v>42</v>
      </c>
      <c r="C28" s="10">
        <v>850</v>
      </c>
      <c r="D28" s="57">
        <v>2.4</v>
      </c>
      <c r="E28" s="8" t="s">
        <v>123</v>
      </c>
      <c r="F28" s="8" t="s">
        <v>123</v>
      </c>
      <c r="G28" s="8">
        <f t="shared" si="0"/>
        <v>2.4</v>
      </c>
      <c r="H28" s="8" t="s">
        <v>123</v>
      </c>
    </row>
    <row r="29" spans="1:8" x14ac:dyDescent="0.2">
      <c r="A29" s="4">
        <v>2</v>
      </c>
      <c r="B29" s="4" t="s">
        <v>42</v>
      </c>
      <c r="C29" s="10">
        <v>852</v>
      </c>
      <c r="D29" s="57">
        <v>1.4</v>
      </c>
      <c r="E29" s="8" t="s">
        <v>123</v>
      </c>
      <c r="F29" s="8" t="s">
        <v>123</v>
      </c>
      <c r="G29" s="8">
        <f t="shared" si="0"/>
        <v>1.4</v>
      </c>
      <c r="H29" s="8" t="s">
        <v>123</v>
      </c>
    </row>
    <row r="30" spans="1:8" x14ac:dyDescent="0.2">
      <c r="A30" s="4">
        <v>2</v>
      </c>
      <c r="B30" s="4" t="s">
        <v>42</v>
      </c>
      <c r="C30" s="10">
        <v>854</v>
      </c>
      <c r="D30" s="57">
        <v>1.9</v>
      </c>
      <c r="E30" s="8" t="s">
        <v>123</v>
      </c>
      <c r="F30" s="8" t="s">
        <v>123</v>
      </c>
      <c r="G30" s="8">
        <f t="shared" si="0"/>
        <v>1.9</v>
      </c>
      <c r="H30" s="8" t="s">
        <v>123</v>
      </c>
    </row>
    <row r="31" spans="1:8" x14ac:dyDescent="0.2">
      <c r="A31" s="4">
        <v>2</v>
      </c>
      <c r="B31" s="4" t="s">
        <v>42</v>
      </c>
      <c r="C31" s="10">
        <v>855</v>
      </c>
      <c r="D31" s="57">
        <v>1.8</v>
      </c>
      <c r="E31" s="8" t="s">
        <v>123</v>
      </c>
      <c r="F31" s="8" t="s">
        <v>123</v>
      </c>
      <c r="G31" s="8">
        <f t="shared" si="0"/>
        <v>1.8</v>
      </c>
      <c r="H31" s="8" t="s">
        <v>123</v>
      </c>
    </row>
    <row r="32" spans="1:8" x14ac:dyDescent="0.2">
      <c r="A32" s="4">
        <v>2</v>
      </c>
      <c r="B32" s="4" t="s">
        <v>42</v>
      </c>
      <c r="C32" s="10">
        <v>857</v>
      </c>
      <c r="D32" s="57">
        <v>2.2999999999999998</v>
      </c>
      <c r="E32" s="8" t="s">
        <v>123</v>
      </c>
      <c r="F32" s="8" t="s">
        <v>123</v>
      </c>
      <c r="G32" s="8">
        <f t="shared" si="0"/>
        <v>2.2999999999999998</v>
      </c>
      <c r="H32" s="8" t="s">
        <v>123</v>
      </c>
    </row>
    <row r="33" spans="1:8" x14ac:dyDescent="0.2">
      <c r="A33" s="4">
        <v>2</v>
      </c>
      <c r="B33" s="4" t="s">
        <v>42</v>
      </c>
      <c r="C33" s="10">
        <v>858</v>
      </c>
      <c r="D33" s="57">
        <v>3.8</v>
      </c>
      <c r="E33" s="8" t="s">
        <v>123</v>
      </c>
      <c r="F33" s="8" t="s">
        <v>123</v>
      </c>
      <c r="G33" s="8">
        <f t="shared" si="0"/>
        <v>3.8</v>
      </c>
      <c r="H33" s="8" t="s">
        <v>123</v>
      </c>
    </row>
    <row r="34" spans="1:8" x14ac:dyDescent="0.2">
      <c r="A34" s="4">
        <v>2</v>
      </c>
      <c r="B34" s="4" t="s">
        <v>42</v>
      </c>
      <c r="C34" s="10">
        <v>870</v>
      </c>
      <c r="D34" s="57">
        <v>2.2000000000000002</v>
      </c>
      <c r="E34" s="8" t="s">
        <v>123</v>
      </c>
      <c r="F34" s="8" t="s">
        <v>123</v>
      </c>
      <c r="G34" s="8">
        <f t="shared" si="0"/>
        <v>2.2000000000000002</v>
      </c>
      <c r="H34" s="8" t="s">
        <v>123</v>
      </c>
    </row>
    <row r="35" spans="1:8" x14ac:dyDescent="0.2">
      <c r="A35" s="4">
        <v>2</v>
      </c>
      <c r="B35" s="4" t="s">
        <v>42</v>
      </c>
      <c r="C35" s="10">
        <v>875</v>
      </c>
      <c r="D35" s="57">
        <v>2.1</v>
      </c>
      <c r="E35" s="8" t="s">
        <v>123</v>
      </c>
      <c r="F35" s="8" t="s">
        <v>123</v>
      </c>
      <c r="G35" s="8">
        <f t="shared" si="0"/>
        <v>2.1</v>
      </c>
      <c r="H35" s="8" t="s">
        <v>123</v>
      </c>
    </row>
    <row r="36" spans="1:8" x14ac:dyDescent="0.2">
      <c r="A36" s="4">
        <v>2</v>
      </c>
      <c r="B36" s="4" t="s">
        <v>42</v>
      </c>
      <c r="C36" s="10">
        <v>880</v>
      </c>
      <c r="D36" s="57">
        <v>2.7</v>
      </c>
      <c r="E36" s="8" t="s">
        <v>123</v>
      </c>
      <c r="F36" s="8" t="s">
        <v>123</v>
      </c>
      <c r="G36" s="8">
        <f t="shared" si="0"/>
        <v>2.7</v>
      </c>
      <c r="H36" s="8" t="s">
        <v>123</v>
      </c>
    </row>
    <row r="37" spans="1:8" x14ac:dyDescent="0.2">
      <c r="A37" s="4">
        <v>2</v>
      </c>
      <c r="B37" s="4" t="s">
        <v>42</v>
      </c>
      <c r="C37" s="10">
        <v>883</v>
      </c>
      <c r="D37" s="57" t="s">
        <v>123</v>
      </c>
      <c r="E37" s="8" t="s">
        <v>123</v>
      </c>
      <c r="F37" s="8" t="s">
        <v>123</v>
      </c>
      <c r="G37" s="8" t="str">
        <f t="shared" si="0"/>
        <v>NA</v>
      </c>
      <c r="H37" s="8" t="s">
        <v>123</v>
      </c>
    </row>
    <row r="38" spans="1:8" x14ac:dyDescent="0.2">
      <c r="A38" s="4">
        <v>2</v>
      </c>
      <c r="B38" s="4" t="s">
        <v>42</v>
      </c>
      <c r="C38" s="10">
        <v>884</v>
      </c>
      <c r="D38" s="57">
        <v>3.2</v>
      </c>
      <c r="E38" s="8" t="s">
        <v>123</v>
      </c>
      <c r="F38" s="8" t="s">
        <v>123</v>
      </c>
      <c r="G38" s="8">
        <f t="shared" si="0"/>
        <v>3.2</v>
      </c>
      <c r="H38" s="8" t="s">
        <v>123</v>
      </c>
    </row>
    <row r="39" spans="1:8" ht="16" thickBot="1" x14ac:dyDescent="0.25">
      <c r="A39" s="5">
        <v>2</v>
      </c>
      <c r="B39" s="5" t="s">
        <v>42</v>
      </c>
      <c r="C39" s="11">
        <v>886</v>
      </c>
      <c r="D39" s="57">
        <v>3.3</v>
      </c>
      <c r="E39" s="8" t="s">
        <v>123</v>
      </c>
      <c r="F39" s="8" t="s">
        <v>123</v>
      </c>
      <c r="G39" s="8">
        <f t="shared" si="0"/>
        <v>3.3</v>
      </c>
      <c r="H39" s="8" t="s">
        <v>123</v>
      </c>
    </row>
    <row r="40" spans="1:8" x14ac:dyDescent="0.2">
      <c r="A40" s="19">
        <v>3</v>
      </c>
      <c r="B40" s="20" t="s">
        <v>74</v>
      </c>
      <c r="C40" s="21">
        <v>802</v>
      </c>
      <c r="D40" s="57">
        <v>1.6</v>
      </c>
      <c r="E40" s="8" t="s">
        <v>123</v>
      </c>
      <c r="F40" s="8" t="s">
        <v>123</v>
      </c>
      <c r="G40" s="8">
        <f t="shared" si="0"/>
        <v>1.6</v>
      </c>
      <c r="H40" s="8" t="s">
        <v>123</v>
      </c>
    </row>
    <row r="41" spans="1:8" x14ac:dyDescent="0.2">
      <c r="A41" s="22">
        <v>3</v>
      </c>
      <c r="B41" s="23" t="s">
        <v>74</v>
      </c>
      <c r="C41" s="24">
        <v>803</v>
      </c>
      <c r="D41" s="57">
        <v>2.8</v>
      </c>
      <c r="E41" s="8" t="s">
        <v>123</v>
      </c>
      <c r="F41" s="8" t="s">
        <v>123</v>
      </c>
      <c r="G41" s="8">
        <f t="shared" si="0"/>
        <v>2.8</v>
      </c>
      <c r="H41" s="8" t="s">
        <v>123</v>
      </c>
    </row>
    <row r="42" spans="1:8" x14ac:dyDescent="0.2">
      <c r="A42" s="22">
        <v>3</v>
      </c>
      <c r="B42" s="23" t="s">
        <v>74</v>
      </c>
      <c r="C42" s="24">
        <v>808</v>
      </c>
      <c r="D42" s="57">
        <v>1.6</v>
      </c>
      <c r="E42" s="8" t="s">
        <v>123</v>
      </c>
      <c r="F42" s="8" t="s">
        <v>123</v>
      </c>
      <c r="G42" s="8">
        <f t="shared" si="0"/>
        <v>1.6</v>
      </c>
      <c r="H42" s="8" t="s">
        <v>123</v>
      </c>
    </row>
    <row r="43" spans="1:8" x14ac:dyDescent="0.2">
      <c r="A43" s="22">
        <v>3</v>
      </c>
      <c r="B43" s="23" t="s">
        <v>74</v>
      </c>
      <c r="C43" s="24">
        <v>811</v>
      </c>
      <c r="D43" s="57">
        <v>2.6</v>
      </c>
      <c r="E43" s="8" t="s">
        <v>123</v>
      </c>
      <c r="F43" s="8" t="s">
        <v>123</v>
      </c>
      <c r="G43" s="8">
        <f t="shared" si="0"/>
        <v>2.6</v>
      </c>
      <c r="H43" s="8" t="s">
        <v>123</v>
      </c>
    </row>
    <row r="44" spans="1:8" x14ac:dyDescent="0.2">
      <c r="A44" s="22">
        <v>3</v>
      </c>
      <c r="B44" s="23" t="s">
        <v>74</v>
      </c>
      <c r="C44" s="24">
        <v>812</v>
      </c>
      <c r="D44" s="57">
        <v>2.2000000000000002</v>
      </c>
      <c r="E44" s="8" t="s">
        <v>123</v>
      </c>
      <c r="F44" s="8" t="s">
        <v>123</v>
      </c>
      <c r="G44" s="8">
        <f t="shared" si="0"/>
        <v>2.2000000000000002</v>
      </c>
      <c r="H44" s="8" t="s">
        <v>123</v>
      </c>
    </row>
    <row r="45" spans="1:8" x14ac:dyDescent="0.2">
      <c r="A45" s="22">
        <v>3</v>
      </c>
      <c r="B45" s="23" t="s">
        <v>74</v>
      </c>
      <c r="C45" s="24">
        <v>815</v>
      </c>
      <c r="D45" s="57">
        <v>2.2000000000000002</v>
      </c>
      <c r="E45" s="8" t="s">
        <v>123</v>
      </c>
      <c r="F45" s="8" t="s">
        <v>123</v>
      </c>
      <c r="G45" s="8">
        <f t="shared" si="0"/>
        <v>2.2000000000000002</v>
      </c>
      <c r="H45" s="8" t="s">
        <v>123</v>
      </c>
    </row>
    <row r="46" spans="1:8" x14ac:dyDescent="0.2">
      <c r="A46" s="22">
        <v>3</v>
      </c>
      <c r="B46" s="23" t="s">
        <v>74</v>
      </c>
      <c r="C46" s="24">
        <v>816</v>
      </c>
      <c r="D46" s="57">
        <v>2.7</v>
      </c>
      <c r="E46" s="8" t="s">
        <v>123</v>
      </c>
      <c r="F46" s="8" t="s">
        <v>123</v>
      </c>
      <c r="G46" s="8">
        <f t="shared" si="0"/>
        <v>2.7</v>
      </c>
      <c r="H46" s="8" t="s">
        <v>123</v>
      </c>
    </row>
    <row r="47" spans="1:8" x14ac:dyDescent="0.2">
      <c r="A47" s="22">
        <v>3</v>
      </c>
      <c r="B47" s="23" t="s">
        <v>74</v>
      </c>
      <c r="C47" s="24">
        <v>817</v>
      </c>
      <c r="D47" s="57">
        <v>1.8</v>
      </c>
      <c r="E47" s="8" t="s">
        <v>123</v>
      </c>
      <c r="F47" s="8" t="s">
        <v>123</v>
      </c>
      <c r="G47" s="8">
        <f t="shared" si="0"/>
        <v>1.8</v>
      </c>
      <c r="H47" s="8" t="s">
        <v>123</v>
      </c>
    </row>
    <row r="48" spans="1:8" x14ac:dyDescent="0.2">
      <c r="A48" s="22">
        <v>3</v>
      </c>
      <c r="B48" s="23" t="s">
        <v>74</v>
      </c>
      <c r="C48" s="24">
        <v>818</v>
      </c>
      <c r="D48" s="57">
        <v>2.1</v>
      </c>
      <c r="E48" s="8" t="s">
        <v>123</v>
      </c>
      <c r="F48" s="8" t="s">
        <v>123</v>
      </c>
      <c r="G48" s="8">
        <f t="shared" si="0"/>
        <v>2.1</v>
      </c>
      <c r="H48" s="8" t="s">
        <v>123</v>
      </c>
    </row>
    <row r="49" spans="1:8" x14ac:dyDescent="0.2">
      <c r="A49" s="22">
        <v>3</v>
      </c>
      <c r="B49" s="23" t="s">
        <v>74</v>
      </c>
      <c r="C49" s="24">
        <v>833</v>
      </c>
      <c r="D49" s="57">
        <v>1.9</v>
      </c>
      <c r="E49" s="8" t="s">
        <v>123</v>
      </c>
      <c r="F49" s="8" t="s">
        <v>123</v>
      </c>
      <c r="G49" s="8">
        <f t="shared" si="0"/>
        <v>1.9</v>
      </c>
      <c r="H49" s="8" t="s">
        <v>123</v>
      </c>
    </row>
    <row r="50" spans="1:8" x14ac:dyDescent="0.2">
      <c r="A50" s="22">
        <v>3</v>
      </c>
      <c r="B50" s="23" t="s">
        <v>74</v>
      </c>
      <c r="C50" s="24">
        <v>834</v>
      </c>
      <c r="D50" s="57">
        <v>1.7</v>
      </c>
      <c r="E50" s="8" t="s">
        <v>123</v>
      </c>
      <c r="F50" s="8" t="s">
        <v>123</v>
      </c>
      <c r="G50" s="8">
        <f t="shared" si="0"/>
        <v>1.7</v>
      </c>
      <c r="H50" s="8" t="s">
        <v>123</v>
      </c>
    </row>
    <row r="51" spans="1:8" x14ac:dyDescent="0.2">
      <c r="A51" s="22">
        <v>3</v>
      </c>
      <c r="B51" s="23" t="s">
        <v>74</v>
      </c>
      <c r="C51" s="24">
        <v>835</v>
      </c>
      <c r="D51" s="57">
        <v>2.2999999999999998</v>
      </c>
      <c r="E51" s="8" t="s">
        <v>123</v>
      </c>
      <c r="F51" s="8" t="s">
        <v>123</v>
      </c>
      <c r="G51" s="8">
        <f t="shared" si="0"/>
        <v>2.2999999999999998</v>
      </c>
      <c r="H51" s="8" t="s">
        <v>123</v>
      </c>
    </row>
    <row r="52" spans="1:8" x14ac:dyDescent="0.2">
      <c r="A52" s="22">
        <v>3</v>
      </c>
      <c r="B52" s="23" t="s">
        <v>74</v>
      </c>
      <c r="C52" s="24">
        <v>844</v>
      </c>
      <c r="D52" s="57">
        <v>1.5</v>
      </c>
      <c r="E52" s="8" t="s">
        <v>123</v>
      </c>
      <c r="F52" s="8" t="s">
        <v>123</v>
      </c>
      <c r="G52" s="8">
        <f t="shared" si="0"/>
        <v>1.5</v>
      </c>
      <c r="H52" s="8" t="s">
        <v>123</v>
      </c>
    </row>
    <row r="53" spans="1:8" x14ac:dyDescent="0.2">
      <c r="A53" s="22">
        <v>3</v>
      </c>
      <c r="B53" s="23" t="s">
        <v>74</v>
      </c>
      <c r="C53" s="24">
        <v>845</v>
      </c>
      <c r="D53" s="57">
        <v>2.5</v>
      </c>
      <c r="E53" s="8" t="s">
        <v>123</v>
      </c>
      <c r="F53" s="8" t="s">
        <v>123</v>
      </c>
      <c r="G53" s="8">
        <f t="shared" si="0"/>
        <v>2.5</v>
      </c>
      <c r="H53" s="8" t="s">
        <v>123</v>
      </c>
    </row>
    <row r="54" spans="1:8" x14ac:dyDescent="0.2">
      <c r="A54" s="22">
        <v>3</v>
      </c>
      <c r="B54" s="23" t="s">
        <v>74</v>
      </c>
      <c r="C54" s="24">
        <v>846</v>
      </c>
      <c r="D54" s="57">
        <v>2</v>
      </c>
      <c r="E54" s="8" t="s">
        <v>123</v>
      </c>
      <c r="F54" s="8" t="s">
        <v>123</v>
      </c>
      <c r="G54" s="8">
        <f t="shared" si="0"/>
        <v>2</v>
      </c>
      <c r="H54" s="8" t="s">
        <v>123</v>
      </c>
    </row>
    <row r="55" spans="1:8" x14ac:dyDescent="0.2">
      <c r="A55" s="22">
        <v>3</v>
      </c>
      <c r="B55" s="23" t="s">
        <v>74</v>
      </c>
      <c r="C55" s="24">
        <v>849</v>
      </c>
      <c r="D55" s="57">
        <v>1.9</v>
      </c>
      <c r="E55" s="8" t="s">
        <v>123</v>
      </c>
      <c r="F55" s="8" t="s">
        <v>123</v>
      </c>
      <c r="G55" s="8">
        <f t="shared" si="0"/>
        <v>1.9</v>
      </c>
      <c r="H55" s="8" t="s">
        <v>123</v>
      </c>
    </row>
    <row r="56" spans="1:8" x14ac:dyDescent="0.2">
      <c r="A56" s="22">
        <v>3</v>
      </c>
      <c r="B56" s="23" t="s">
        <v>74</v>
      </c>
      <c r="C56" s="24">
        <v>856</v>
      </c>
      <c r="D56" s="57">
        <v>2.6</v>
      </c>
      <c r="E56" s="8" t="s">
        <v>123</v>
      </c>
      <c r="F56" s="8" t="s">
        <v>123</v>
      </c>
      <c r="G56" s="8">
        <f t="shared" si="0"/>
        <v>2.6</v>
      </c>
      <c r="H56" s="8" t="s">
        <v>123</v>
      </c>
    </row>
    <row r="57" spans="1:8" x14ac:dyDescent="0.2">
      <c r="A57" s="22">
        <v>3</v>
      </c>
      <c r="B57" s="23" t="s">
        <v>74</v>
      </c>
      <c r="C57" s="24">
        <v>859</v>
      </c>
      <c r="D57" s="57">
        <v>2.2000000000000002</v>
      </c>
      <c r="E57" s="8" t="s">
        <v>123</v>
      </c>
      <c r="F57" s="8" t="s">
        <v>123</v>
      </c>
      <c r="G57" s="8">
        <f t="shared" si="0"/>
        <v>2.2000000000000002</v>
      </c>
      <c r="H57" s="8" t="s">
        <v>123</v>
      </c>
    </row>
    <row r="58" spans="1:8" x14ac:dyDescent="0.2">
      <c r="A58" s="22">
        <v>3</v>
      </c>
      <c r="B58" s="23" t="s">
        <v>74</v>
      </c>
      <c r="C58" s="24">
        <v>861</v>
      </c>
      <c r="D58" s="57">
        <v>2.1</v>
      </c>
      <c r="E58" s="8" t="s">
        <v>123</v>
      </c>
      <c r="F58" s="8" t="s">
        <v>123</v>
      </c>
      <c r="G58" s="8">
        <f t="shared" si="0"/>
        <v>2.1</v>
      </c>
      <c r="H58" s="8" t="s">
        <v>123</v>
      </c>
    </row>
    <row r="59" spans="1:8" x14ac:dyDescent="0.2">
      <c r="A59" s="22">
        <v>3</v>
      </c>
      <c r="B59" s="23" t="s">
        <v>74</v>
      </c>
      <c r="C59" s="24">
        <v>862</v>
      </c>
      <c r="D59" s="57">
        <v>2</v>
      </c>
      <c r="E59" s="8" t="s">
        <v>123</v>
      </c>
      <c r="F59" s="8" t="s">
        <v>123</v>
      </c>
      <c r="G59" s="8">
        <f t="shared" si="0"/>
        <v>2</v>
      </c>
      <c r="H59" s="8" t="s">
        <v>123</v>
      </c>
    </row>
    <row r="60" spans="1:8" x14ac:dyDescent="0.2">
      <c r="A60" s="22">
        <v>3</v>
      </c>
      <c r="B60" s="23" t="s">
        <v>74</v>
      </c>
      <c r="C60" s="24">
        <v>865</v>
      </c>
      <c r="D60" s="57">
        <v>1.6</v>
      </c>
      <c r="E60" s="8" t="s">
        <v>123</v>
      </c>
      <c r="F60" s="8" t="s">
        <v>123</v>
      </c>
      <c r="G60" s="8">
        <f t="shared" si="0"/>
        <v>1.6</v>
      </c>
      <c r="H60" s="8" t="s">
        <v>123</v>
      </c>
    </row>
    <row r="61" spans="1:8" x14ac:dyDescent="0.2">
      <c r="A61" s="22">
        <v>3</v>
      </c>
      <c r="B61" s="23" t="s">
        <v>74</v>
      </c>
      <c r="C61" s="24">
        <v>866</v>
      </c>
      <c r="D61" s="57">
        <v>2.2000000000000002</v>
      </c>
      <c r="E61" s="8" t="s">
        <v>123</v>
      </c>
      <c r="F61" s="8" t="s">
        <v>123</v>
      </c>
      <c r="G61" s="8">
        <f t="shared" si="0"/>
        <v>2.2000000000000002</v>
      </c>
      <c r="H61" s="8" t="s">
        <v>123</v>
      </c>
    </row>
    <row r="62" spans="1:8" x14ac:dyDescent="0.2">
      <c r="A62" s="22">
        <v>3</v>
      </c>
      <c r="B62" s="23" t="s">
        <v>74</v>
      </c>
      <c r="C62" s="24">
        <v>871</v>
      </c>
      <c r="D62" s="57">
        <v>2.2000000000000002</v>
      </c>
      <c r="E62" s="8" t="s">
        <v>123</v>
      </c>
      <c r="F62" s="8" t="s">
        <v>123</v>
      </c>
      <c r="G62" s="8">
        <f t="shared" si="0"/>
        <v>2.2000000000000002</v>
      </c>
      <c r="H62" s="8" t="s">
        <v>123</v>
      </c>
    </row>
    <row r="63" spans="1:8" x14ac:dyDescent="0.2">
      <c r="A63" s="22">
        <v>3</v>
      </c>
      <c r="B63" s="23" t="s">
        <v>74</v>
      </c>
      <c r="C63" s="24">
        <v>873</v>
      </c>
      <c r="D63" s="57">
        <v>1.7</v>
      </c>
      <c r="E63" s="8" t="s">
        <v>123</v>
      </c>
      <c r="F63" s="8" t="s">
        <v>123</v>
      </c>
      <c r="G63" s="8">
        <f t="shared" si="0"/>
        <v>1.7</v>
      </c>
      <c r="H63" s="8" t="s">
        <v>123</v>
      </c>
    </row>
    <row r="64" spans="1:8" x14ac:dyDescent="0.2">
      <c r="A64" s="22">
        <v>3</v>
      </c>
      <c r="B64" s="23" t="s">
        <v>74</v>
      </c>
      <c r="C64" s="24">
        <v>874</v>
      </c>
      <c r="D64" s="57">
        <v>1.9</v>
      </c>
      <c r="E64" s="8" t="s">
        <v>123</v>
      </c>
      <c r="F64" s="8" t="s">
        <v>123</v>
      </c>
      <c r="G64" s="8">
        <f t="shared" si="0"/>
        <v>1.9</v>
      </c>
      <c r="H64" s="8" t="s">
        <v>123</v>
      </c>
    </row>
    <row r="65" spans="1:8" x14ac:dyDescent="0.2">
      <c r="A65" s="22">
        <v>3</v>
      </c>
      <c r="B65" s="23" t="s">
        <v>74</v>
      </c>
      <c r="C65" s="24">
        <v>877</v>
      </c>
      <c r="D65" s="57">
        <v>1.9</v>
      </c>
      <c r="E65" s="8" t="s">
        <v>123</v>
      </c>
      <c r="F65" s="8" t="s">
        <v>123</v>
      </c>
      <c r="G65" s="8">
        <f t="shared" si="0"/>
        <v>1.9</v>
      </c>
      <c r="H65" s="8" t="s">
        <v>123</v>
      </c>
    </row>
    <row r="66" spans="1:8" x14ac:dyDescent="0.2">
      <c r="A66" s="22">
        <v>3</v>
      </c>
      <c r="B66" s="23" t="s">
        <v>74</v>
      </c>
      <c r="C66" s="24">
        <v>879</v>
      </c>
      <c r="D66" s="57">
        <v>2.1</v>
      </c>
      <c r="E66" s="8" t="s">
        <v>123</v>
      </c>
      <c r="F66" s="8" t="s">
        <v>123</v>
      </c>
      <c r="G66" s="8">
        <f t="shared" si="0"/>
        <v>2.1</v>
      </c>
      <c r="H66" s="8" t="s">
        <v>123</v>
      </c>
    </row>
    <row r="67" spans="1:8" x14ac:dyDescent="0.2">
      <c r="A67" s="22">
        <v>3</v>
      </c>
      <c r="B67" s="23" t="s">
        <v>74</v>
      </c>
      <c r="C67" s="24">
        <v>887</v>
      </c>
      <c r="D67" s="57">
        <v>2.7</v>
      </c>
      <c r="E67" s="8" t="s">
        <v>123</v>
      </c>
      <c r="F67" s="8" t="s">
        <v>123</v>
      </c>
      <c r="G67" s="8">
        <f t="shared" si="0"/>
        <v>2.7</v>
      </c>
      <c r="H67" s="8" t="s">
        <v>123</v>
      </c>
    </row>
    <row r="68" spans="1:8" x14ac:dyDescent="0.2">
      <c r="A68" s="22">
        <v>3</v>
      </c>
      <c r="B68" s="23" t="s">
        <v>74</v>
      </c>
      <c r="C68" s="24">
        <v>888</v>
      </c>
      <c r="D68" s="57">
        <v>2.5</v>
      </c>
      <c r="E68" s="8" t="s">
        <v>123</v>
      </c>
      <c r="F68" s="8" t="s">
        <v>123</v>
      </c>
      <c r="G68" s="8">
        <f t="shared" si="0"/>
        <v>2.5</v>
      </c>
      <c r="H68" s="8" t="s">
        <v>123</v>
      </c>
    </row>
    <row r="69" spans="1:8" x14ac:dyDescent="0.2">
      <c r="A69" s="13">
        <v>4</v>
      </c>
      <c r="B69" s="14" t="s">
        <v>104</v>
      </c>
      <c r="C69" s="15" t="s">
        <v>105</v>
      </c>
      <c r="D69" s="57">
        <v>2.1</v>
      </c>
      <c r="E69" s="8" t="s">
        <v>123</v>
      </c>
      <c r="F69" s="8" t="s">
        <v>123</v>
      </c>
      <c r="G69" s="8">
        <f t="shared" si="0"/>
        <v>2.1</v>
      </c>
      <c r="H69" s="8" t="s">
        <v>123</v>
      </c>
    </row>
    <row r="70" spans="1:8" x14ac:dyDescent="0.2">
      <c r="A70" s="16">
        <v>4</v>
      </c>
      <c r="B70" s="14" t="s">
        <v>104</v>
      </c>
      <c r="C70" s="18" t="s">
        <v>106</v>
      </c>
      <c r="D70" s="57">
        <v>2.4</v>
      </c>
      <c r="E70" s="8" t="s">
        <v>123</v>
      </c>
      <c r="F70" s="8" t="s">
        <v>123</v>
      </c>
      <c r="G70" s="8">
        <f t="shared" si="0"/>
        <v>2.4</v>
      </c>
      <c r="H70" s="8" t="s">
        <v>123</v>
      </c>
    </row>
    <row r="71" spans="1:8" x14ac:dyDescent="0.2">
      <c r="A71" s="16">
        <v>4</v>
      </c>
      <c r="B71" s="14" t="s">
        <v>104</v>
      </c>
      <c r="C71" s="18" t="s">
        <v>107</v>
      </c>
      <c r="D71" s="57">
        <v>3.9</v>
      </c>
      <c r="E71" s="8" t="s">
        <v>123</v>
      </c>
      <c r="F71" s="8" t="s">
        <v>123</v>
      </c>
      <c r="G71" s="8">
        <f t="shared" si="0"/>
        <v>3.9</v>
      </c>
      <c r="H71" s="8" t="s">
        <v>123</v>
      </c>
    </row>
    <row r="72" spans="1:8" x14ac:dyDescent="0.2">
      <c r="A72" s="16">
        <v>4</v>
      </c>
      <c r="B72" s="14" t="s">
        <v>104</v>
      </c>
      <c r="C72" s="18" t="s">
        <v>108</v>
      </c>
      <c r="D72" s="57">
        <v>1.8</v>
      </c>
      <c r="E72" s="8" t="s">
        <v>123</v>
      </c>
      <c r="F72" s="8" t="s">
        <v>123</v>
      </c>
      <c r="G72" s="8">
        <f t="shared" si="0"/>
        <v>1.8</v>
      </c>
      <c r="H72" s="8" t="s">
        <v>123</v>
      </c>
    </row>
    <row r="73" spans="1:8" x14ac:dyDescent="0.2">
      <c r="A73" s="16">
        <v>4</v>
      </c>
      <c r="B73" s="14" t="s">
        <v>104</v>
      </c>
      <c r="C73" s="18" t="s">
        <v>109</v>
      </c>
      <c r="D73" s="57">
        <v>2.6</v>
      </c>
      <c r="E73" s="8" t="s">
        <v>123</v>
      </c>
      <c r="F73" s="8" t="s">
        <v>123</v>
      </c>
      <c r="G73" s="8">
        <f t="shared" ref="G73:G102" si="1">IF(D73="NA","NA",ROUND(AVERAGE(D73:F73),2))</f>
        <v>2.6</v>
      </c>
      <c r="H73" s="8" t="s">
        <v>123</v>
      </c>
    </row>
    <row r="74" spans="1:8" x14ac:dyDescent="0.2">
      <c r="A74" s="16">
        <v>4</v>
      </c>
      <c r="B74" s="14" t="s">
        <v>104</v>
      </c>
      <c r="C74" s="18" t="s">
        <v>110</v>
      </c>
      <c r="D74" s="57">
        <v>1.9</v>
      </c>
      <c r="E74" s="8" t="s">
        <v>123</v>
      </c>
      <c r="F74" s="8" t="s">
        <v>123</v>
      </c>
      <c r="G74" s="8">
        <f t="shared" si="1"/>
        <v>1.9</v>
      </c>
      <c r="H74" s="8" t="s">
        <v>123</v>
      </c>
    </row>
    <row r="75" spans="1:8" x14ac:dyDescent="0.2">
      <c r="A75" s="16">
        <v>4</v>
      </c>
      <c r="B75" s="14" t="s">
        <v>104</v>
      </c>
      <c r="C75" s="18" t="s">
        <v>111</v>
      </c>
      <c r="D75" s="57">
        <v>1.5</v>
      </c>
      <c r="E75" s="8" t="s">
        <v>123</v>
      </c>
      <c r="F75" s="8" t="s">
        <v>123</v>
      </c>
      <c r="G75" s="8">
        <f t="shared" si="1"/>
        <v>1.5</v>
      </c>
      <c r="H75" s="8" t="s">
        <v>123</v>
      </c>
    </row>
    <row r="76" spans="1:8" x14ac:dyDescent="0.2">
      <c r="A76" s="16">
        <v>4</v>
      </c>
      <c r="B76" s="14" t="s">
        <v>104</v>
      </c>
      <c r="C76" s="18" t="s">
        <v>112</v>
      </c>
      <c r="D76" s="57">
        <v>2</v>
      </c>
      <c r="E76" s="8" t="s">
        <v>123</v>
      </c>
      <c r="F76" s="8" t="s">
        <v>123</v>
      </c>
      <c r="G76" s="8">
        <f t="shared" si="1"/>
        <v>2</v>
      </c>
      <c r="H76" s="8" t="s">
        <v>123</v>
      </c>
    </row>
    <row r="77" spans="1:8" x14ac:dyDescent="0.2">
      <c r="A77" s="16">
        <v>4</v>
      </c>
      <c r="B77" s="14" t="s">
        <v>104</v>
      </c>
      <c r="C77" s="18" t="s">
        <v>113</v>
      </c>
      <c r="D77" s="57">
        <v>2.7</v>
      </c>
      <c r="E77" s="8" t="s">
        <v>123</v>
      </c>
      <c r="F77" s="8" t="s">
        <v>123</v>
      </c>
      <c r="G77" s="8">
        <f t="shared" si="1"/>
        <v>2.7</v>
      </c>
      <c r="H77" s="8" t="s">
        <v>123</v>
      </c>
    </row>
    <row r="78" spans="1:8" x14ac:dyDescent="0.2">
      <c r="A78" s="16">
        <v>4</v>
      </c>
      <c r="B78" s="14" t="s">
        <v>104</v>
      </c>
      <c r="C78" s="18" t="s">
        <v>114</v>
      </c>
      <c r="D78" s="57">
        <v>2.2999999999999998</v>
      </c>
      <c r="E78" s="8" t="s">
        <v>123</v>
      </c>
      <c r="F78" s="8" t="s">
        <v>123</v>
      </c>
      <c r="G78" s="8">
        <f t="shared" si="1"/>
        <v>2.2999999999999998</v>
      </c>
      <c r="H78" s="8" t="s">
        <v>123</v>
      </c>
    </row>
    <row r="79" spans="1:8" x14ac:dyDescent="0.2">
      <c r="A79" s="16">
        <v>4</v>
      </c>
      <c r="B79" s="14" t="s">
        <v>104</v>
      </c>
      <c r="C79" s="18" t="s">
        <v>115</v>
      </c>
      <c r="D79" s="57">
        <v>2.2000000000000002</v>
      </c>
      <c r="E79" s="8" t="s">
        <v>123</v>
      </c>
      <c r="F79" s="8" t="s">
        <v>123</v>
      </c>
      <c r="G79" s="8">
        <f t="shared" si="1"/>
        <v>2.2000000000000002</v>
      </c>
      <c r="H79" s="8" t="s">
        <v>123</v>
      </c>
    </row>
    <row r="80" spans="1:8" x14ac:dyDescent="0.2">
      <c r="A80" s="16">
        <v>4</v>
      </c>
      <c r="B80" s="14" t="s">
        <v>104</v>
      </c>
      <c r="C80" s="18" t="s">
        <v>116</v>
      </c>
      <c r="D80" s="57">
        <v>2.1</v>
      </c>
      <c r="E80" s="8" t="s">
        <v>123</v>
      </c>
      <c r="F80" s="8" t="s">
        <v>123</v>
      </c>
      <c r="G80" s="8">
        <f t="shared" si="1"/>
        <v>2.1</v>
      </c>
      <c r="H80" s="8" t="s">
        <v>123</v>
      </c>
    </row>
    <row r="81" spans="1:8" x14ac:dyDescent="0.2">
      <c r="A81" s="16">
        <v>4</v>
      </c>
      <c r="B81" s="14" t="s">
        <v>104</v>
      </c>
      <c r="C81" s="18" t="s">
        <v>117</v>
      </c>
      <c r="D81" s="57">
        <v>2.2999999999999998</v>
      </c>
      <c r="E81" s="8" t="s">
        <v>123</v>
      </c>
      <c r="F81" s="8" t="s">
        <v>123</v>
      </c>
      <c r="G81" s="8">
        <f t="shared" si="1"/>
        <v>2.2999999999999998</v>
      </c>
      <c r="H81" s="8" t="s">
        <v>123</v>
      </c>
    </row>
    <row r="82" spans="1:8" x14ac:dyDescent="0.2">
      <c r="A82" s="16">
        <v>4</v>
      </c>
      <c r="B82" s="14" t="s">
        <v>104</v>
      </c>
      <c r="C82" s="18" t="s">
        <v>118</v>
      </c>
      <c r="D82" s="57">
        <v>1.8</v>
      </c>
      <c r="E82" s="8" t="s">
        <v>123</v>
      </c>
      <c r="F82" s="8" t="s">
        <v>123</v>
      </c>
      <c r="G82" s="8">
        <f t="shared" si="1"/>
        <v>1.8</v>
      </c>
      <c r="H82" s="8" t="s">
        <v>123</v>
      </c>
    </row>
    <row r="83" spans="1:8" x14ac:dyDescent="0.2">
      <c r="A83" s="16">
        <v>4</v>
      </c>
      <c r="B83" s="14" t="s">
        <v>104</v>
      </c>
      <c r="C83" s="18" t="s">
        <v>119</v>
      </c>
      <c r="D83" s="57" t="s">
        <v>123</v>
      </c>
      <c r="E83" s="8" t="s">
        <v>123</v>
      </c>
      <c r="F83" s="8" t="s">
        <v>123</v>
      </c>
      <c r="G83" s="8" t="str">
        <f t="shared" si="1"/>
        <v>NA</v>
      </c>
      <c r="H83" s="8" t="s">
        <v>123</v>
      </c>
    </row>
    <row r="84" spans="1:8" x14ac:dyDescent="0.2">
      <c r="A84" s="16">
        <v>4</v>
      </c>
      <c r="B84" s="14" t="s">
        <v>104</v>
      </c>
      <c r="C84" s="18" t="s">
        <v>120</v>
      </c>
      <c r="D84" s="57">
        <v>1.9</v>
      </c>
      <c r="E84" s="8" t="s">
        <v>123</v>
      </c>
      <c r="F84" s="8" t="s">
        <v>123</v>
      </c>
      <c r="G84" s="8">
        <f t="shared" si="1"/>
        <v>1.9</v>
      </c>
      <c r="H84" s="8" t="s">
        <v>123</v>
      </c>
    </row>
    <row r="85" spans="1:8" x14ac:dyDescent="0.2">
      <c r="A85" s="16">
        <v>4</v>
      </c>
      <c r="B85" s="14" t="s">
        <v>104</v>
      </c>
      <c r="C85" s="18" t="s">
        <v>121</v>
      </c>
      <c r="D85" s="57">
        <v>2.6</v>
      </c>
      <c r="E85" s="8" t="s">
        <v>123</v>
      </c>
      <c r="F85" s="8" t="s">
        <v>123</v>
      </c>
      <c r="G85" s="8">
        <f t="shared" si="1"/>
        <v>2.6</v>
      </c>
      <c r="H85" s="8" t="s">
        <v>123</v>
      </c>
    </row>
    <row r="86" spans="1:8" x14ac:dyDescent="0.2">
      <c r="A86" s="16">
        <v>4</v>
      </c>
      <c r="B86" s="14" t="s">
        <v>104</v>
      </c>
      <c r="C86" s="18" t="s">
        <v>122</v>
      </c>
      <c r="D86" s="57" t="s">
        <v>123</v>
      </c>
      <c r="E86" s="8" t="s">
        <v>123</v>
      </c>
      <c r="F86" s="8" t="s">
        <v>123</v>
      </c>
      <c r="G86" s="8" t="str">
        <f t="shared" si="1"/>
        <v>NA</v>
      </c>
      <c r="H86" s="8" t="s">
        <v>123</v>
      </c>
    </row>
    <row r="87" spans="1:8" x14ac:dyDescent="0.2">
      <c r="A87" s="16">
        <v>4</v>
      </c>
      <c r="B87" s="14" t="s">
        <v>104</v>
      </c>
      <c r="C87" s="18" t="s">
        <v>124</v>
      </c>
      <c r="D87" s="57">
        <v>1.6</v>
      </c>
      <c r="E87" s="8" t="s">
        <v>123</v>
      </c>
      <c r="F87" s="8" t="s">
        <v>123</v>
      </c>
      <c r="G87" s="8">
        <f t="shared" si="1"/>
        <v>1.6</v>
      </c>
      <c r="H87" s="8" t="s">
        <v>123</v>
      </c>
    </row>
    <row r="88" spans="1:8" x14ac:dyDescent="0.2">
      <c r="A88" s="16">
        <v>4</v>
      </c>
      <c r="B88" s="14" t="s">
        <v>104</v>
      </c>
      <c r="C88" s="18" t="s">
        <v>125</v>
      </c>
      <c r="D88" s="57">
        <v>1.5</v>
      </c>
      <c r="E88" s="8" t="s">
        <v>123</v>
      </c>
      <c r="F88" s="8" t="s">
        <v>123</v>
      </c>
      <c r="G88" s="8">
        <f t="shared" si="1"/>
        <v>1.5</v>
      </c>
      <c r="H88" s="8" t="s">
        <v>123</v>
      </c>
    </row>
    <row r="89" spans="1:8" x14ac:dyDescent="0.2">
      <c r="A89" s="16">
        <v>4</v>
      </c>
      <c r="B89" s="14" t="s">
        <v>104</v>
      </c>
      <c r="C89" s="18" t="s">
        <v>126</v>
      </c>
      <c r="D89" s="57">
        <v>1.6</v>
      </c>
      <c r="E89" s="8" t="s">
        <v>123</v>
      </c>
      <c r="F89" s="8" t="s">
        <v>123</v>
      </c>
      <c r="G89" s="8">
        <f t="shared" si="1"/>
        <v>1.6</v>
      </c>
      <c r="H89" s="8" t="s">
        <v>123</v>
      </c>
    </row>
    <row r="90" spans="1:8" x14ac:dyDescent="0.2">
      <c r="A90" s="16">
        <v>4</v>
      </c>
      <c r="B90" s="14" t="s">
        <v>104</v>
      </c>
      <c r="C90" s="18" t="s">
        <v>127</v>
      </c>
      <c r="D90" s="57" t="s">
        <v>123</v>
      </c>
      <c r="E90" s="8" t="s">
        <v>123</v>
      </c>
      <c r="F90" s="8" t="s">
        <v>123</v>
      </c>
      <c r="G90" s="8" t="str">
        <f t="shared" si="1"/>
        <v>NA</v>
      </c>
      <c r="H90" s="8" t="s">
        <v>123</v>
      </c>
    </row>
    <row r="91" spans="1:8" x14ac:dyDescent="0.2">
      <c r="A91" s="16">
        <v>4</v>
      </c>
      <c r="B91" s="14" t="s">
        <v>104</v>
      </c>
      <c r="C91" s="18" t="s">
        <v>128</v>
      </c>
      <c r="D91" s="57">
        <v>2.2999999999999998</v>
      </c>
      <c r="E91" s="8" t="s">
        <v>123</v>
      </c>
      <c r="F91" s="8" t="s">
        <v>123</v>
      </c>
      <c r="G91" s="8">
        <f t="shared" si="1"/>
        <v>2.2999999999999998</v>
      </c>
      <c r="H91" s="8" t="s">
        <v>123</v>
      </c>
    </row>
    <row r="92" spans="1:8" x14ac:dyDescent="0.2">
      <c r="A92" s="16">
        <v>4</v>
      </c>
      <c r="B92" s="14" t="s">
        <v>104</v>
      </c>
      <c r="C92" s="18" t="s">
        <v>129</v>
      </c>
      <c r="D92" s="57">
        <v>1.5</v>
      </c>
      <c r="E92" s="8" t="s">
        <v>123</v>
      </c>
      <c r="F92" s="8" t="s">
        <v>123</v>
      </c>
      <c r="G92" s="8">
        <f t="shared" si="1"/>
        <v>1.5</v>
      </c>
      <c r="H92" s="8" t="s">
        <v>123</v>
      </c>
    </row>
    <row r="93" spans="1:8" x14ac:dyDescent="0.2">
      <c r="A93" s="16">
        <v>4</v>
      </c>
      <c r="B93" s="14" t="s">
        <v>104</v>
      </c>
      <c r="C93" s="18" t="s">
        <v>130</v>
      </c>
      <c r="D93" s="57">
        <v>1.9</v>
      </c>
      <c r="E93" s="8" t="s">
        <v>123</v>
      </c>
      <c r="F93" s="8" t="s">
        <v>123</v>
      </c>
      <c r="G93" s="8">
        <f t="shared" si="1"/>
        <v>1.9</v>
      </c>
      <c r="H93" s="8" t="s">
        <v>123</v>
      </c>
    </row>
    <row r="94" spans="1:8" x14ac:dyDescent="0.2">
      <c r="A94" s="16">
        <v>4</v>
      </c>
      <c r="B94" s="14" t="s">
        <v>104</v>
      </c>
      <c r="C94" s="18" t="s">
        <v>131</v>
      </c>
      <c r="D94" s="57">
        <v>2.7</v>
      </c>
      <c r="E94" s="8" t="s">
        <v>123</v>
      </c>
      <c r="F94" s="8" t="s">
        <v>123</v>
      </c>
      <c r="G94" s="8">
        <f t="shared" si="1"/>
        <v>2.7</v>
      </c>
      <c r="H94" s="8" t="s">
        <v>123</v>
      </c>
    </row>
    <row r="95" spans="1:8" x14ac:dyDescent="0.2">
      <c r="A95" s="16">
        <v>4</v>
      </c>
      <c r="B95" s="14" t="s">
        <v>104</v>
      </c>
      <c r="C95" s="18" t="s">
        <v>132</v>
      </c>
      <c r="D95" s="57">
        <v>1.9</v>
      </c>
      <c r="E95" s="8" t="s">
        <v>123</v>
      </c>
      <c r="F95" s="8" t="s">
        <v>123</v>
      </c>
      <c r="G95" s="8">
        <f t="shared" si="1"/>
        <v>1.9</v>
      </c>
      <c r="H95" s="8" t="s">
        <v>123</v>
      </c>
    </row>
    <row r="96" spans="1:8" x14ac:dyDescent="0.2">
      <c r="A96" s="16">
        <v>4</v>
      </c>
      <c r="B96" s="14" t="s">
        <v>104</v>
      </c>
      <c r="C96" s="18" t="s">
        <v>133</v>
      </c>
      <c r="D96" s="57">
        <v>2.4</v>
      </c>
      <c r="E96" s="8" t="s">
        <v>123</v>
      </c>
      <c r="F96" s="8" t="s">
        <v>123</v>
      </c>
      <c r="G96" s="8">
        <f t="shared" si="1"/>
        <v>2.4</v>
      </c>
      <c r="H96" s="8" t="s">
        <v>123</v>
      </c>
    </row>
    <row r="97" spans="1:8" x14ac:dyDescent="0.2">
      <c r="A97" s="16">
        <v>4</v>
      </c>
      <c r="B97" s="14" t="s">
        <v>104</v>
      </c>
      <c r="C97" s="18" t="s">
        <v>134</v>
      </c>
      <c r="D97" s="57">
        <v>1.6</v>
      </c>
      <c r="E97" s="8" t="s">
        <v>123</v>
      </c>
      <c r="F97" s="8" t="s">
        <v>123</v>
      </c>
      <c r="G97" s="8">
        <f t="shared" si="1"/>
        <v>1.6</v>
      </c>
      <c r="H97" s="8" t="s">
        <v>123</v>
      </c>
    </row>
    <row r="98" spans="1:8" x14ac:dyDescent="0.2">
      <c r="A98" s="17">
        <v>4</v>
      </c>
      <c r="B98" s="17" t="s">
        <v>104</v>
      </c>
      <c r="C98" s="17" t="s">
        <v>135</v>
      </c>
      <c r="D98" s="57">
        <v>1.7</v>
      </c>
      <c r="E98" s="8" t="s">
        <v>123</v>
      </c>
      <c r="F98" s="8" t="s">
        <v>123</v>
      </c>
      <c r="G98" s="8">
        <f t="shared" si="1"/>
        <v>1.7</v>
      </c>
      <c r="H98" s="8" t="s">
        <v>123</v>
      </c>
    </row>
    <row r="99" spans="1:8" x14ac:dyDescent="0.2">
      <c r="A99" s="17">
        <v>4</v>
      </c>
      <c r="B99" s="17" t="s">
        <v>104</v>
      </c>
      <c r="C99" s="17" t="s">
        <v>136</v>
      </c>
      <c r="D99" s="57">
        <v>1.9</v>
      </c>
      <c r="E99" s="8" t="s">
        <v>123</v>
      </c>
      <c r="F99" s="8" t="s">
        <v>123</v>
      </c>
      <c r="G99" s="8">
        <f t="shared" si="1"/>
        <v>1.9</v>
      </c>
      <c r="H99" s="8" t="s">
        <v>123</v>
      </c>
    </row>
    <row r="100" spans="1:8" x14ac:dyDescent="0.2">
      <c r="A100" s="17">
        <v>4</v>
      </c>
      <c r="B100" s="17" t="s">
        <v>104</v>
      </c>
      <c r="C100" s="17" t="s">
        <v>137</v>
      </c>
      <c r="D100" s="8" t="s">
        <v>123</v>
      </c>
      <c r="E100" s="8" t="s">
        <v>123</v>
      </c>
      <c r="F100" s="8" t="s">
        <v>123</v>
      </c>
      <c r="G100" s="8" t="str">
        <f t="shared" si="1"/>
        <v>NA</v>
      </c>
      <c r="H100" s="8" t="s">
        <v>123</v>
      </c>
    </row>
    <row r="101" spans="1:8" x14ac:dyDescent="0.2">
      <c r="A101" s="17">
        <v>4</v>
      </c>
      <c r="B101" s="17" t="s">
        <v>104</v>
      </c>
      <c r="C101" s="17" t="s">
        <v>138</v>
      </c>
      <c r="D101" s="8" t="s">
        <v>123</v>
      </c>
      <c r="E101" s="8" t="s">
        <v>123</v>
      </c>
      <c r="F101" s="8" t="s">
        <v>123</v>
      </c>
      <c r="G101" s="8" t="str">
        <f t="shared" si="1"/>
        <v>NA</v>
      </c>
      <c r="H101" s="8" t="s">
        <v>123</v>
      </c>
    </row>
    <row r="102" spans="1:8" x14ac:dyDescent="0.2">
      <c r="A102" s="17">
        <v>4</v>
      </c>
      <c r="B102" s="17" t="s">
        <v>104</v>
      </c>
      <c r="C102" s="17" t="s">
        <v>139</v>
      </c>
      <c r="D102" s="8" t="s">
        <v>123</v>
      </c>
      <c r="E102" s="8" t="s">
        <v>123</v>
      </c>
      <c r="F102" s="8" t="s">
        <v>123</v>
      </c>
      <c r="G102" s="8" t="str">
        <f t="shared" si="1"/>
        <v>NA</v>
      </c>
      <c r="H102" s="8" t="s">
        <v>123</v>
      </c>
    </row>
  </sheetData>
  <pageMargins left="0.7" right="0.7" top="0.75" bottom="0.75" header="0.3" footer="0.3"/>
  <pageSetup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9BF7E-CB75-A147-8EC7-A7E4DD8CB05D}">
  <dimension ref="A1:S102"/>
  <sheetViews>
    <sheetView workbookViewId="0">
      <selection activeCell="E106" sqref="E106"/>
    </sheetView>
  </sheetViews>
  <sheetFormatPr baseColWidth="10" defaultColWidth="8.83203125" defaultRowHeight="15" x14ac:dyDescent="0.2"/>
  <cols>
    <col min="4" max="6" width="10.6640625" customWidth="1"/>
    <col min="7" max="7" width="8.83203125" customWidth="1"/>
    <col min="8" max="8" width="26.5" customWidth="1"/>
  </cols>
  <sheetData>
    <row r="1" spans="1:19" ht="19" x14ac:dyDescent="0.25">
      <c r="A1" s="12" t="s">
        <v>0</v>
      </c>
      <c r="B1" s="12"/>
      <c r="C1" s="12"/>
      <c r="D1" s="12"/>
      <c r="E1" s="12"/>
      <c r="G1" s="12"/>
      <c r="H1" s="12"/>
      <c r="I1" s="12"/>
      <c r="J1" s="12"/>
      <c r="L1" s="12"/>
    </row>
    <row r="2" spans="1:19" ht="19" x14ac:dyDescent="0.25">
      <c r="A2" s="12"/>
      <c r="B2" s="12"/>
      <c r="C2" s="12"/>
      <c r="D2" s="12"/>
      <c r="E2" s="12"/>
      <c r="G2" s="12"/>
      <c r="H2" s="12"/>
      <c r="I2" s="12"/>
      <c r="J2" s="12"/>
      <c r="K2" s="12"/>
      <c r="L2" s="12"/>
    </row>
    <row r="3" spans="1:19" ht="19" x14ac:dyDescent="0.25">
      <c r="A3" s="12" t="s">
        <v>182</v>
      </c>
      <c r="B3" s="12"/>
      <c r="C3" s="12"/>
      <c r="D3" s="12"/>
      <c r="E3" s="12"/>
      <c r="G3" s="12"/>
      <c r="H3" s="12"/>
      <c r="I3" s="12"/>
      <c r="J3" s="12"/>
      <c r="K3" s="12"/>
      <c r="L3" s="12"/>
    </row>
    <row r="4" spans="1:19" ht="19" x14ac:dyDescent="0.25">
      <c r="A4" s="12"/>
      <c r="B4" s="12"/>
      <c r="C4" s="12"/>
      <c r="D4" s="12"/>
      <c r="E4" s="12"/>
      <c r="G4" s="12"/>
      <c r="H4" s="12"/>
      <c r="I4" s="12"/>
      <c r="J4" s="12"/>
      <c r="K4" s="12"/>
      <c r="L4" s="12"/>
    </row>
    <row r="5" spans="1:19" ht="19" x14ac:dyDescent="0.25">
      <c r="A5" s="12" t="s">
        <v>183</v>
      </c>
      <c r="B5" s="12"/>
      <c r="C5" s="12"/>
      <c r="D5" s="12"/>
      <c r="E5" s="12"/>
      <c r="G5" s="12"/>
      <c r="H5" s="12"/>
      <c r="I5" s="12"/>
      <c r="J5" s="12"/>
      <c r="K5" s="12"/>
      <c r="L5" s="12"/>
    </row>
    <row r="6" spans="1:19" ht="19" x14ac:dyDescent="0.25">
      <c r="A6" s="12" t="s">
        <v>3</v>
      </c>
      <c r="B6" s="12"/>
      <c r="C6" s="12"/>
      <c r="D6" s="12"/>
      <c r="E6" s="12"/>
      <c r="G6" s="12"/>
      <c r="H6" s="12"/>
      <c r="I6" s="12"/>
      <c r="J6" s="12"/>
      <c r="K6" s="12"/>
      <c r="L6" s="12"/>
    </row>
    <row r="8" spans="1:19" ht="41" thickBot="1" x14ac:dyDescent="0.25">
      <c r="A8" s="1" t="s">
        <v>4</v>
      </c>
      <c r="B8" s="2" t="s">
        <v>5</v>
      </c>
      <c r="C8" s="6" t="s">
        <v>7</v>
      </c>
      <c r="D8" s="7" t="s">
        <v>8</v>
      </c>
      <c r="E8" s="7" t="s">
        <v>8</v>
      </c>
      <c r="F8" s="7" t="s">
        <v>8</v>
      </c>
      <c r="G8" s="7" t="s">
        <v>9</v>
      </c>
      <c r="H8" s="7" t="s">
        <v>10</v>
      </c>
      <c r="J8" s="34"/>
      <c r="K8" s="34"/>
      <c r="L8" s="34"/>
      <c r="M8" s="34"/>
      <c r="N8" s="34"/>
      <c r="O8" s="34"/>
      <c r="P8" s="34"/>
      <c r="Q8" s="34"/>
      <c r="R8" s="34"/>
      <c r="S8" s="34"/>
    </row>
    <row r="9" spans="1:19" x14ac:dyDescent="0.2">
      <c r="A9" s="3">
        <v>2</v>
      </c>
      <c r="B9" s="3" t="s">
        <v>42</v>
      </c>
      <c r="C9" s="9">
        <v>800</v>
      </c>
      <c r="D9" s="8">
        <v>2.2999999999999998</v>
      </c>
      <c r="E9" s="8" t="s">
        <v>123</v>
      </c>
      <c r="F9" s="8" t="s">
        <v>123</v>
      </c>
      <c r="G9" s="8">
        <f t="shared" ref="G9:G72" si="0">IF(D9="NA","NA",ROUND(AVERAGE(D9:F9),2))</f>
        <v>2.2999999999999998</v>
      </c>
      <c r="H9" s="8" t="s">
        <v>123</v>
      </c>
    </row>
    <row r="10" spans="1:19" x14ac:dyDescent="0.2">
      <c r="A10" s="4">
        <v>2</v>
      </c>
      <c r="B10" s="4" t="s">
        <v>42</v>
      </c>
      <c r="C10" s="10">
        <v>801</v>
      </c>
      <c r="D10" s="57">
        <v>2</v>
      </c>
      <c r="E10" s="8" t="s">
        <v>123</v>
      </c>
      <c r="F10" s="8" t="s">
        <v>123</v>
      </c>
      <c r="G10" s="8">
        <f t="shared" si="0"/>
        <v>2</v>
      </c>
      <c r="H10" s="8" t="s">
        <v>123</v>
      </c>
    </row>
    <row r="11" spans="1:19" x14ac:dyDescent="0.2">
      <c r="A11" s="4">
        <v>2</v>
      </c>
      <c r="B11" s="4" t="s">
        <v>42</v>
      </c>
      <c r="C11" s="10">
        <v>804</v>
      </c>
      <c r="D11" s="57">
        <v>2.1</v>
      </c>
      <c r="E11" s="8" t="s">
        <v>123</v>
      </c>
      <c r="F11" s="8" t="s">
        <v>123</v>
      </c>
      <c r="G11" s="8">
        <f t="shared" si="0"/>
        <v>2.1</v>
      </c>
      <c r="H11" s="8" t="s">
        <v>123</v>
      </c>
    </row>
    <row r="12" spans="1:19" x14ac:dyDescent="0.2">
      <c r="A12" s="4">
        <v>2</v>
      </c>
      <c r="B12" s="4" t="s">
        <v>42</v>
      </c>
      <c r="C12" s="10">
        <v>806</v>
      </c>
      <c r="D12" s="57">
        <v>2</v>
      </c>
      <c r="E12" s="8" t="s">
        <v>123</v>
      </c>
      <c r="F12" s="8" t="s">
        <v>123</v>
      </c>
      <c r="G12" s="8">
        <f t="shared" si="0"/>
        <v>2</v>
      </c>
      <c r="H12" s="8" t="s">
        <v>123</v>
      </c>
    </row>
    <row r="13" spans="1:19" x14ac:dyDescent="0.2">
      <c r="A13" s="4">
        <v>2</v>
      </c>
      <c r="B13" s="4" t="s">
        <v>42</v>
      </c>
      <c r="C13" s="10">
        <v>809</v>
      </c>
      <c r="D13" s="57">
        <v>3.3</v>
      </c>
      <c r="E13" s="8" t="s">
        <v>123</v>
      </c>
      <c r="F13" s="8" t="s">
        <v>123</v>
      </c>
      <c r="G13" s="8">
        <f t="shared" si="0"/>
        <v>3.3</v>
      </c>
      <c r="H13" s="8" t="s">
        <v>123</v>
      </c>
    </row>
    <row r="14" spans="1:19" x14ac:dyDescent="0.2">
      <c r="A14" s="4">
        <v>2</v>
      </c>
      <c r="B14" s="4" t="s">
        <v>42</v>
      </c>
      <c r="C14" s="10">
        <v>810</v>
      </c>
      <c r="D14" s="57">
        <v>3.8</v>
      </c>
      <c r="E14" s="8" t="s">
        <v>123</v>
      </c>
      <c r="F14" s="8" t="s">
        <v>123</v>
      </c>
      <c r="G14" s="8">
        <f t="shared" si="0"/>
        <v>3.8</v>
      </c>
      <c r="H14" s="8" t="s">
        <v>123</v>
      </c>
    </row>
    <row r="15" spans="1:19" x14ac:dyDescent="0.2">
      <c r="A15" s="4">
        <v>2</v>
      </c>
      <c r="B15" s="4" t="s">
        <v>42</v>
      </c>
      <c r="C15" s="10">
        <v>819</v>
      </c>
      <c r="D15" s="57">
        <v>3.2</v>
      </c>
      <c r="E15" s="8" t="s">
        <v>123</v>
      </c>
      <c r="F15" s="8" t="s">
        <v>123</v>
      </c>
      <c r="G15" s="8">
        <f t="shared" si="0"/>
        <v>3.2</v>
      </c>
      <c r="H15" s="8" t="s">
        <v>123</v>
      </c>
    </row>
    <row r="16" spans="1:19" x14ac:dyDescent="0.2">
      <c r="A16" s="4">
        <v>2</v>
      </c>
      <c r="B16" s="4" t="s">
        <v>42</v>
      </c>
      <c r="C16" s="10">
        <v>822</v>
      </c>
      <c r="D16" s="57">
        <v>3</v>
      </c>
      <c r="E16" s="8" t="s">
        <v>123</v>
      </c>
      <c r="F16" s="8" t="s">
        <v>123</v>
      </c>
      <c r="G16" s="8">
        <f t="shared" si="0"/>
        <v>3</v>
      </c>
      <c r="H16" s="8" t="s">
        <v>123</v>
      </c>
    </row>
    <row r="17" spans="1:8" x14ac:dyDescent="0.2">
      <c r="A17" s="4">
        <v>2</v>
      </c>
      <c r="B17" s="4" t="s">
        <v>42</v>
      </c>
      <c r="C17" s="10">
        <v>823</v>
      </c>
      <c r="D17" s="57">
        <v>3</v>
      </c>
      <c r="E17" s="8" t="s">
        <v>123</v>
      </c>
      <c r="F17" s="8" t="s">
        <v>123</v>
      </c>
      <c r="G17" s="8">
        <f t="shared" si="0"/>
        <v>3</v>
      </c>
      <c r="H17" s="8" t="s">
        <v>123</v>
      </c>
    </row>
    <row r="18" spans="1:8" x14ac:dyDescent="0.2">
      <c r="A18" s="4">
        <v>2</v>
      </c>
      <c r="B18" s="4" t="s">
        <v>42</v>
      </c>
      <c r="C18" s="10">
        <v>825</v>
      </c>
      <c r="D18" s="57">
        <v>2.4</v>
      </c>
      <c r="E18" s="8" t="s">
        <v>123</v>
      </c>
      <c r="F18" s="8" t="s">
        <v>123</v>
      </c>
      <c r="G18" s="8">
        <f t="shared" si="0"/>
        <v>2.4</v>
      </c>
      <c r="H18" s="8" t="s">
        <v>123</v>
      </c>
    </row>
    <row r="19" spans="1:8" x14ac:dyDescent="0.2">
      <c r="A19" s="4">
        <v>2</v>
      </c>
      <c r="B19" s="4" t="s">
        <v>42</v>
      </c>
      <c r="C19" s="10">
        <v>826</v>
      </c>
      <c r="D19" s="57">
        <v>2.2999999999999998</v>
      </c>
      <c r="E19" s="8" t="s">
        <v>123</v>
      </c>
      <c r="F19" s="8" t="s">
        <v>123</v>
      </c>
      <c r="G19" s="8">
        <f t="shared" si="0"/>
        <v>2.2999999999999998</v>
      </c>
      <c r="H19" s="8" t="s">
        <v>123</v>
      </c>
    </row>
    <row r="20" spans="1:8" x14ac:dyDescent="0.2">
      <c r="A20" s="4">
        <v>2</v>
      </c>
      <c r="B20" s="4" t="s">
        <v>42</v>
      </c>
      <c r="C20" s="10">
        <v>828</v>
      </c>
      <c r="D20" s="57">
        <v>1.9</v>
      </c>
      <c r="E20" s="8" t="s">
        <v>123</v>
      </c>
      <c r="F20" s="8" t="s">
        <v>123</v>
      </c>
      <c r="G20" s="8">
        <f t="shared" si="0"/>
        <v>1.9</v>
      </c>
      <c r="H20" s="8" t="s">
        <v>123</v>
      </c>
    </row>
    <row r="21" spans="1:8" x14ac:dyDescent="0.2">
      <c r="A21" s="4">
        <v>2</v>
      </c>
      <c r="B21" s="4" t="s">
        <v>42</v>
      </c>
      <c r="C21" s="10">
        <v>829</v>
      </c>
      <c r="D21" s="57">
        <v>2.4</v>
      </c>
      <c r="E21" s="8" t="s">
        <v>123</v>
      </c>
      <c r="F21" s="8" t="s">
        <v>123</v>
      </c>
      <c r="G21" s="8">
        <f t="shared" si="0"/>
        <v>2.4</v>
      </c>
      <c r="H21" s="8" t="s">
        <v>123</v>
      </c>
    </row>
    <row r="22" spans="1:8" x14ac:dyDescent="0.2">
      <c r="A22" s="4">
        <v>2</v>
      </c>
      <c r="B22" s="4" t="s">
        <v>42</v>
      </c>
      <c r="C22" s="10">
        <v>832</v>
      </c>
      <c r="D22" s="57">
        <v>3</v>
      </c>
      <c r="E22" s="8" t="s">
        <v>123</v>
      </c>
      <c r="F22" s="8" t="s">
        <v>123</v>
      </c>
      <c r="G22" s="8">
        <f t="shared" si="0"/>
        <v>3</v>
      </c>
      <c r="H22" s="8" t="s">
        <v>123</v>
      </c>
    </row>
    <row r="23" spans="1:8" x14ac:dyDescent="0.2">
      <c r="A23" s="4">
        <v>2</v>
      </c>
      <c r="B23" s="4" t="s">
        <v>42</v>
      </c>
      <c r="C23" s="10">
        <v>836</v>
      </c>
      <c r="D23" s="57">
        <v>2.7</v>
      </c>
      <c r="E23" s="8" t="s">
        <v>123</v>
      </c>
      <c r="F23" s="8" t="s">
        <v>123</v>
      </c>
      <c r="G23" s="8">
        <f t="shared" si="0"/>
        <v>2.7</v>
      </c>
      <c r="H23" s="8" t="s">
        <v>123</v>
      </c>
    </row>
    <row r="24" spans="1:8" x14ac:dyDescent="0.2">
      <c r="A24" s="4">
        <v>2</v>
      </c>
      <c r="B24" s="4" t="s">
        <v>42</v>
      </c>
      <c r="C24" s="10">
        <v>839</v>
      </c>
      <c r="D24" s="57">
        <v>2.2999999999999998</v>
      </c>
      <c r="E24" s="8" t="s">
        <v>123</v>
      </c>
      <c r="F24" s="8" t="s">
        <v>123</v>
      </c>
      <c r="G24" s="8">
        <f t="shared" si="0"/>
        <v>2.2999999999999998</v>
      </c>
      <c r="H24" s="8" t="s">
        <v>123</v>
      </c>
    </row>
    <row r="25" spans="1:8" x14ac:dyDescent="0.2">
      <c r="A25" s="4">
        <v>2</v>
      </c>
      <c r="B25" s="4" t="s">
        <v>42</v>
      </c>
      <c r="C25" s="10">
        <v>840</v>
      </c>
      <c r="D25" s="57">
        <v>2.1</v>
      </c>
      <c r="E25" s="8" t="s">
        <v>123</v>
      </c>
      <c r="F25" s="8" t="s">
        <v>123</v>
      </c>
      <c r="G25" s="8">
        <f t="shared" si="0"/>
        <v>2.1</v>
      </c>
      <c r="H25" s="8" t="s">
        <v>123</v>
      </c>
    </row>
    <row r="26" spans="1:8" x14ac:dyDescent="0.2">
      <c r="A26" s="4">
        <v>2</v>
      </c>
      <c r="B26" s="4" t="s">
        <v>42</v>
      </c>
      <c r="C26" s="10">
        <v>841</v>
      </c>
      <c r="D26" s="57">
        <v>2.9</v>
      </c>
      <c r="E26" s="8" t="s">
        <v>123</v>
      </c>
      <c r="F26" s="8" t="s">
        <v>123</v>
      </c>
      <c r="G26" s="8">
        <f t="shared" si="0"/>
        <v>2.9</v>
      </c>
      <c r="H26" s="8" t="s">
        <v>123</v>
      </c>
    </row>
    <row r="27" spans="1:8" x14ac:dyDescent="0.2">
      <c r="A27" s="4">
        <v>2</v>
      </c>
      <c r="B27" s="4" t="s">
        <v>42</v>
      </c>
      <c r="C27" s="10">
        <v>843</v>
      </c>
      <c r="D27" s="57">
        <v>2.1</v>
      </c>
      <c r="E27" s="8" t="s">
        <v>123</v>
      </c>
      <c r="F27" s="8" t="s">
        <v>123</v>
      </c>
      <c r="G27" s="8">
        <f t="shared" si="0"/>
        <v>2.1</v>
      </c>
      <c r="H27" s="8" t="s">
        <v>123</v>
      </c>
    </row>
    <row r="28" spans="1:8" x14ac:dyDescent="0.2">
      <c r="A28" s="4">
        <v>2</v>
      </c>
      <c r="B28" s="4" t="s">
        <v>42</v>
      </c>
      <c r="C28" s="10">
        <v>850</v>
      </c>
      <c r="D28" s="57">
        <v>2</v>
      </c>
      <c r="E28" s="8" t="s">
        <v>123</v>
      </c>
      <c r="F28" s="8" t="s">
        <v>123</v>
      </c>
      <c r="G28" s="8">
        <f t="shared" si="0"/>
        <v>2</v>
      </c>
      <c r="H28" s="8" t="s">
        <v>123</v>
      </c>
    </row>
    <row r="29" spans="1:8" x14ac:dyDescent="0.2">
      <c r="A29" s="4">
        <v>2</v>
      </c>
      <c r="B29" s="4" t="s">
        <v>42</v>
      </c>
      <c r="C29" s="10">
        <v>852</v>
      </c>
      <c r="D29" s="57">
        <v>1.9</v>
      </c>
      <c r="E29" s="8" t="s">
        <v>123</v>
      </c>
      <c r="F29" s="8" t="s">
        <v>123</v>
      </c>
      <c r="G29" s="8">
        <f t="shared" si="0"/>
        <v>1.9</v>
      </c>
      <c r="H29" s="8" t="s">
        <v>123</v>
      </c>
    </row>
    <row r="30" spans="1:8" x14ac:dyDescent="0.2">
      <c r="A30" s="4">
        <v>2</v>
      </c>
      <c r="B30" s="4" t="s">
        <v>42</v>
      </c>
      <c r="C30" s="10">
        <v>854</v>
      </c>
      <c r="D30" s="57">
        <v>2.7</v>
      </c>
      <c r="E30" s="8" t="s">
        <v>123</v>
      </c>
      <c r="F30" s="8" t="s">
        <v>123</v>
      </c>
      <c r="G30" s="8">
        <f t="shared" si="0"/>
        <v>2.7</v>
      </c>
      <c r="H30" s="8" t="s">
        <v>123</v>
      </c>
    </row>
    <row r="31" spans="1:8" x14ac:dyDescent="0.2">
      <c r="A31" s="4">
        <v>2</v>
      </c>
      <c r="B31" s="4" t="s">
        <v>42</v>
      </c>
      <c r="C31" s="10">
        <v>855</v>
      </c>
      <c r="D31" s="57">
        <v>2.4</v>
      </c>
      <c r="E31" s="8" t="s">
        <v>123</v>
      </c>
      <c r="F31" s="8" t="s">
        <v>123</v>
      </c>
      <c r="G31" s="8">
        <f t="shared" si="0"/>
        <v>2.4</v>
      </c>
      <c r="H31" s="8" t="s">
        <v>123</v>
      </c>
    </row>
    <row r="32" spans="1:8" x14ac:dyDescent="0.2">
      <c r="A32" s="4">
        <v>2</v>
      </c>
      <c r="B32" s="4" t="s">
        <v>42</v>
      </c>
      <c r="C32" s="10">
        <v>857</v>
      </c>
      <c r="D32" s="57">
        <v>2.9</v>
      </c>
      <c r="E32" s="8" t="s">
        <v>123</v>
      </c>
      <c r="F32" s="8" t="s">
        <v>123</v>
      </c>
      <c r="G32" s="8">
        <f t="shared" si="0"/>
        <v>2.9</v>
      </c>
      <c r="H32" s="8" t="s">
        <v>123</v>
      </c>
    </row>
    <row r="33" spans="1:8" x14ac:dyDescent="0.2">
      <c r="A33" s="4">
        <v>2</v>
      </c>
      <c r="B33" s="4" t="s">
        <v>42</v>
      </c>
      <c r="C33" s="10">
        <v>858</v>
      </c>
      <c r="D33" s="57">
        <v>3.5</v>
      </c>
      <c r="E33" s="8" t="s">
        <v>123</v>
      </c>
      <c r="F33" s="8" t="s">
        <v>123</v>
      </c>
      <c r="G33" s="8">
        <f t="shared" si="0"/>
        <v>3.5</v>
      </c>
      <c r="H33" s="8" t="s">
        <v>123</v>
      </c>
    </row>
    <row r="34" spans="1:8" x14ac:dyDescent="0.2">
      <c r="A34" s="4">
        <v>2</v>
      </c>
      <c r="B34" s="4" t="s">
        <v>42</v>
      </c>
      <c r="C34" s="10">
        <v>870</v>
      </c>
      <c r="D34" s="57">
        <v>2.2999999999999998</v>
      </c>
      <c r="E34" s="8" t="s">
        <v>123</v>
      </c>
      <c r="F34" s="8" t="s">
        <v>123</v>
      </c>
      <c r="G34" s="8">
        <f t="shared" si="0"/>
        <v>2.2999999999999998</v>
      </c>
      <c r="H34" s="8" t="s">
        <v>123</v>
      </c>
    </row>
    <row r="35" spans="1:8" x14ac:dyDescent="0.2">
      <c r="A35" s="4">
        <v>2</v>
      </c>
      <c r="B35" s="4" t="s">
        <v>42</v>
      </c>
      <c r="C35" s="10">
        <v>875</v>
      </c>
      <c r="D35" s="57">
        <v>2.2999999999999998</v>
      </c>
      <c r="E35" s="8" t="s">
        <v>123</v>
      </c>
      <c r="F35" s="8" t="s">
        <v>123</v>
      </c>
      <c r="G35" s="8">
        <f t="shared" si="0"/>
        <v>2.2999999999999998</v>
      </c>
      <c r="H35" s="8" t="s">
        <v>123</v>
      </c>
    </row>
    <row r="36" spans="1:8" x14ac:dyDescent="0.2">
      <c r="A36" s="4">
        <v>2</v>
      </c>
      <c r="B36" s="4" t="s">
        <v>42</v>
      </c>
      <c r="C36" s="10">
        <v>880</v>
      </c>
      <c r="D36" s="57">
        <v>3</v>
      </c>
      <c r="E36" s="8" t="s">
        <v>123</v>
      </c>
      <c r="F36" s="8" t="s">
        <v>123</v>
      </c>
      <c r="G36" s="8">
        <f t="shared" si="0"/>
        <v>3</v>
      </c>
      <c r="H36" s="8" t="s">
        <v>123</v>
      </c>
    </row>
    <row r="37" spans="1:8" x14ac:dyDescent="0.2">
      <c r="A37" s="4">
        <v>2</v>
      </c>
      <c r="B37" s="4" t="s">
        <v>42</v>
      </c>
      <c r="C37" s="10">
        <v>883</v>
      </c>
      <c r="D37" s="57">
        <v>2.4</v>
      </c>
      <c r="E37" s="8" t="s">
        <v>123</v>
      </c>
      <c r="F37" s="8" t="s">
        <v>123</v>
      </c>
      <c r="G37" s="8">
        <f t="shared" si="0"/>
        <v>2.4</v>
      </c>
      <c r="H37" s="8" t="s">
        <v>123</v>
      </c>
    </row>
    <row r="38" spans="1:8" x14ac:dyDescent="0.2">
      <c r="A38" s="4">
        <v>2</v>
      </c>
      <c r="B38" s="4" t="s">
        <v>42</v>
      </c>
      <c r="C38" s="10">
        <v>884</v>
      </c>
      <c r="D38" s="57">
        <v>1.9</v>
      </c>
      <c r="E38" s="8" t="s">
        <v>123</v>
      </c>
      <c r="F38" s="8" t="s">
        <v>123</v>
      </c>
      <c r="G38" s="8">
        <f t="shared" si="0"/>
        <v>1.9</v>
      </c>
      <c r="H38" s="8" t="s">
        <v>123</v>
      </c>
    </row>
    <row r="39" spans="1:8" ht="16" thickBot="1" x14ac:dyDescent="0.25">
      <c r="A39" s="5">
        <v>2</v>
      </c>
      <c r="B39" s="5" t="s">
        <v>42</v>
      </c>
      <c r="C39" s="11">
        <v>886</v>
      </c>
      <c r="D39" s="57">
        <v>3.5</v>
      </c>
      <c r="E39" s="8" t="s">
        <v>123</v>
      </c>
      <c r="F39" s="8" t="s">
        <v>123</v>
      </c>
      <c r="G39" s="8">
        <f t="shared" si="0"/>
        <v>3.5</v>
      </c>
      <c r="H39" s="8" t="s">
        <v>123</v>
      </c>
    </row>
    <row r="40" spans="1:8" x14ac:dyDescent="0.2">
      <c r="A40" s="19">
        <v>3</v>
      </c>
      <c r="B40" s="20" t="s">
        <v>74</v>
      </c>
      <c r="C40" s="21">
        <v>802</v>
      </c>
      <c r="D40" s="57">
        <v>2.2000000000000002</v>
      </c>
      <c r="E40" s="8" t="s">
        <v>123</v>
      </c>
      <c r="F40" s="8" t="s">
        <v>123</v>
      </c>
      <c r="G40" s="8">
        <f t="shared" si="0"/>
        <v>2.2000000000000002</v>
      </c>
      <c r="H40" s="8" t="s">
        <v>123</v>
      </c>
    </row>
    <row r="41" spans="1:8" x14ac:dyDescent="0.2">
      <c r="A41" s="22">
        <v>3</v>
      </c>
      <c r="B41" s="23" t="s">
        <v>74</v>
      </c>
      <c r="C41" s="24">
        <v>803</v>
      </c>
      <c r="D41" s="57">
        <v>2.7</v>
      </c>
      <c r="E41" s="8" t="s">
        <v>123</v>
      </c>
      <c r="F41" s="8" t="s">
        <v>123</v>
      </c>
      <c r="G41" s="8">
        <f t="shared" si="0"/>
        <v>2.7</v>
      </c>
      <c r="H41" s="8" t="s">
        <v>123</v>
      </c>
    </row>
    <row r="42" spans="1:8" x14ac:dyDescent="0.2">
      <c r="A42" s="22">
        <v>3</v>
      </c>
      <c r="B42" s="23" t="s">
        <v>74</v>
      </c>
      <c r="C42" s="24">
        <v>808</v>
      </c>
      <c r="D42" s="57">
        <v>2.1</v>
      </c>
      <c r="E42" s="8" t="s">
        <v>123</v>
      </c>
      <c r="F42" s="8" t="s">
        <v>123</v>
      </c>
      <c r="G42" s="8">
        <f t="shared" si="0"/>
        <v>2.1</v>
      </c>
      <c r="H42" s="8" t="s">
        <v>123</v>
      </c>
    </row>
    <row r="43" spans="1:8" x14ac:dyDescent="0.2">
      <c r="A43" s="22">
        <v>3</v>
      </c>
      <c r="B43" s="23" t="s">
        <v>74</v>
      </c>
      <c r="C43" s="24">
        <v>811</v>
      </c>
      <c r="D43" s="57">
        <v>3.7</v>
      </c>
      <c r="E43" s="8" t="s">
        <v>123</v>
      </c>
      <c r="F43" s="8" t="s">
        <v>123</v>
      </c>
      <c r="G43" s="8">
        <f t="shared" si="0"/>
        <v>3.7</v>
      </c>
      <c r="H43" s="8" t="s">
        <v>123</v>
      </c>
    </row>
    <row r="44" spans="1:8" x14ac:dyDescent="0.2">
      <c r="A44" s="22">
        <v>3</v>
      </c>
      <c r="B44" s="23" t="s">
        <v>74</v>
      </c>
      <c r="C44" s="24">
        <v>812</v>
      </c>
      <c r="D44" s="57">
        <v>3.7</v>
      </c>
      <c r="E44" s="8" t="s">
        <v>123</v>
      </c>
      <c r="F44" s="8" t="s">
        <v>123</v>
      </c>
      <c r="G44" s="8">
        <f t="shared" si="0"/>
        <v>3.7</v>
      </c>
      <c r="H44" s="8" t="s">
        <v>123</v>
      </c>
    </row>
    <row r="45" spans="1:8" x14ac:dyDescent="0.2">
      <c r="A45" s="22">
        <v>3</v>
      </c>
      <c r="B45" s="23" t="s">
        <v>74</v>
      </c>
      <c r="C45" s="24">
        <v>815</v>
      </c>
      <c r="D45" s="57">
        <v>3.2</v>
      </c>
      <c r="E45" s="8" t="s">
        <v>123</v>
      </c>
      <c r="F45" s="8" t="s">
        <v>123</v>
      </c>
      <c r="G45" s="8">
        <f t="shared" si="0"/>
        <v>3.2</v>
      </c>
      <c r="H45" s="8" t="s">
        <v>123</v>
      </c>
    </row>
    <row r="46" spans="1:8" x14ac:dyDescent="0.2">
      <c r="A46" s="22">
        <v>3</v>
      </c>
      <c r="B46" s="23" t="s">
        <v>74</v>
      </c>
      <c r="C46" s="24">
        <v>816</v>
      </c>
      <c r="D46" s="57">
        <v>2.8</v>
      </c>
      <c r="E46" s="8" t="s">
        <v>123</v>
      </c>
      <c r="F46" s="8" t="s">
        <v>123</v>
      </c>
      <c r="G46" s="8">
        <f t="shared" si="0"/>
        <v>2.8</v>
      </c>
      <c r="H46" s="8" t="s">
        <v>123</v>
      </c>
    </row>
    <row r="47" spans="1:8" x14ac:dyDescent="0.2">
      <c r="A47" s="22">
        <v>3</v>
      </c>
      <c r="B47" s="23" t="s">
        <v>74</v>
      </c>
      <c r="C47" s="24">
        <v>817</v>
      </c>
      <c r="D47" s="57">
        <v>2.1</v>
      </c>
      <c r="E47" s="8" t="s">
        <v>123</v>
      </c>
      <c r="F47" s="8" t="s">
        <v>123</v>
      </c>
      <c r="G47" s="8">
        <f t="shared" si="0"/>
        <v>2.1</v>
      </c>
      <c r="H47" s="8" t="s">
        <v>123</v>
      </c>
    </row>
    <row r="48" spans="1:8" x14ac:dyDescent="0.2">
      <c r="A48" s="22">
        <v>3</v>
      </c>
      <c r="B48" s="23" t="s">
        <v>74</v>
      </c>
      <c r="C48" s="24">
        <v>818</v>
      </c>
      <c r="D48" s="57">
        <v>2.4</v>
      </c>
      <c r="E48" s="8" t="s">
        <v>123</v>
      </c>
      <c r="F48" s="8" t="s">
        <v>123</v>
      </c>
      <c r="G48" s="8">
        <f t="shared" si="0"/>
        <v>2.4</v>
      </c>
      <c r="H48" s="8" t="s">
        <v>123</v>
      </c>
    </row>
    <row r="49" spans="1:8" x14ac:dyDescent="0.2">
      <c r="A49" s="22">
        <v>3</v>
      </c>
      <c r="B49" s="23" t="s">
        <v>74</v>
      </c>
      <c r="C49" s="24">
        <v>833</v>
      </c>
      <c r="D49" s="57">
        <v>2</v>
      </c>
      <c r="E49" s="8" t="s">
        <v>123</v>
      </c>
      <c r="F49" s="8" t="s">
        <v>123</v>
      </c>
      <c r="G49" s="8">
        <f t="shared" si="0"/>
        <v>2</v>
      </c>
      <c r="H49" s="8" t="s">
        <v>123</v>
      </c>
    </row>
    <row r="50" spans="1:8" x14ac:dyDescent="0.2">
      <c r="A50" s="22">
        <v>3</v>
      </c>
      <c r="B50" s="23" t="s">
        <v>74</v>
      </c>
      <c r="C50" s="24">
        <v>834</v>
      </c>
      <c r="D50" s="57">
        <v>1.8</v>
      </c>
      <c r="E50" s="8" t="s">
        <v>123</v>
      </c>
      <c r="F50" s="8" t="s">
        <v>123</v>
      </c>
      <c r="G50" s="8">
        <f t="shared" si="0"/>
        <v>1.8</v>
      </c>
      <c r="H50" s="8" t="s">
        <v>123</v>
      </c>
    </row>
    <row r="51" spans="1:8" x14ac:dyDescent="0.2">
      <c r="A51" s="22">
        <v>3</v>
      </c>
      <c r="B51" s="23" t="s">
        <v>74</v>
      </c>
      <c r="C51" s="24">
        <v>835</v>
      </c>
      <c r="D51" s="57">
        <v>2.6</v>
      </c>
      <c r="E51" s="8" t="s">
        <v>123</v>
      </c>
      <c r="F51" s="8" t="s">
        <v>123</v>
      </c>
      <c r="G51" s="8">
        <f t="shared" si="0"/>
        <v>2.6</v>
      </c>
      <c r="H51" s="8" t="s">
        <v>123</v>
      </c>
    </row>
    <row r="52" spans="1:8" x14ac:dyDescent="0.2">
      <c r="A52" s="22">
        <v>3</v>
      </c>
      <c r="B52" s="23" t="s">
        <v>74</v>
      </c>
      <c r="C52" s="24">
        <v>844</v>
      </c>
      <c r="D52" s="57">
        <v>1.9</v>
      </c>
      <c r="E52" s="8" t="s">
        <v>123</v>
      </c>
      <c r="F52" s="8" t="s">
        <v>123</v>
      </c>
      <c r="G52" s="8">
        <f t="shared" si="0"/>
        <v>1.9</v>
      </c>
      <c r="H52" s="8" t="s">
        <v>123</v>
      </c>
    </row>
    <row r="53" spans="1:8" x14ac:dyDescent="0.2">
      <c r="A53" s="22">
        <v>3</v>
      </c>
      <c r="B53" s="23" t="s">
        <v>74</v>
      </c>
      <c r="C53" s="24">
        <v>845</v>
      </c>
      <c r="D53" s="57">
        <v>3</v>
      </c>
      <c r="E53" s="8" t="s">
        <v>123</v>
      </c>
      <c r="F53" s="8" t="s">
        <v>123</v>
      </c>
      <c r="G53" s="8">
        <f t="shared" si="0"/>
        <v>3</v>
      </c>
      <c r="H53" s="8" t="s">
        <v>123</v>
      </c>
    </row>
    <row r="54" spans="1:8" x14ac:dyDescent="0.2">
      <c r="A54" s="22">
        <v>3</v>
      </c>
      <c r="B54" s="23" t="s">
        <v>74</v>
      </c>
      <c r="C54" s="24">
        <v>846</v>
      </c>
      <c r="D54" s="57">
        <v>2.1</v>
      </c>
      <c r="E54" s="8" t="s">
        <v>123</v>
      </c>
      <c r="F54" s="8" t="s">
        <v>123</v>
      </c>
      <c r="G54" s="8">
        <f t="shared" si="0"/>
        <v>2.1</v>
      </c>
      <c r="H54" s="8" t="s">
        <v>123</v>
      </c>
    </row>
    <row r="55" spans="1:8" x14ac:dyDescent="0.2">
      <c r="A55" s="22">
        <v>3</v>
      </c>
      <c r="B55" s="23" t="s">
        <v>74</v>
      </c>
      <c r="C55" s="24">
        <v>849</v>
      </c>
      <c r="D55" s="57">
        <v>2.1</v>
      </c>
      <c r="E55" s="8" t="s">
        <v>123</v>
      </c>
      <c r="F55" s="8" t="s">
        <v>123</v>
      </c>
      <c r="G55" s="8">
        <f t="shared" si="0"/>
        <v>2.1</v>
      </c>
      <c r="H55" s="8" t="s">
        <v>123</v>
      </c>
    </row>
    <row r="56" spans="1:8" x14ac:dyDescent="0.2">
      <c r="A56" s="22">
        <v>3</v>
      </c>
      <c r="B56" s="23" t="s">
        <v>74</v>
      </c>
      <c r="C56" s="24">
        <v>856</v>
      </c>
      <c r="D56" s="57">
        <v>2.5</v>
      </c>
      <c r="E56" s="8" t="s">
        <v>123</v>
      </c>
      <c r="F56" s="8" t="s">
        <v>123</v>
      </c>
      <c r="G56" s="8">
        <f t="shared" si="0"/>
        <v>2.5</v>
      </c>
      <c r="H56" s="8" t="s">
        <v>123</v>
      </c>
    </row>
    <row r="57" spans="1:8" x14ac:dyDescent="0.2">
      <c r="A57" s="22">
        <v>3</v>
      </c>
      <c r="B57" s="23" t="s">
        <v>74</v>
      </c>
      <c r="C57" s="24">
        <v>859</v>
      </c>
      <c r="D57" s="57">
        <v>3</v>
      </c>
      <c r="E57" s="8" t="s">
        <v>123</v>
      </c>
      <c r="F57" s="8" t="s">
        <v>123</v>
      </c>
      <c r="G57" s="8">
        <f t="shared" si="0"/>
        <v>3</v>
      </c>
      <c r="H57" s="8" t="s">
        <v>123</v>
      </c>
    </row>
    <row r="58" spans="1:8" x14ac:dyDescent="0.2">
      <c r="A58" s="22">
        <v>3</v>
      </c>
      <c r="B58" s="23" t="s">
        <v>74</v>
      </c>
      <c r="C58" s="24">
        <v>861</v>
      </c>
      <c r="D58" s="57">
        <v>2.1</v>
      </c>
      <c r="E58" s="8" t="s">
        <v>123</v>
      </c>
      <c r="F58" s="8" t="s">
        <v>123</v>
      </c>
      <c r="G58" s="8">
        <f t="shared" si="0"/>
        <v>2.1</v>
      </c>
      <c r="H58" s="8" t="s">
        <v>123</v>
      </c>
    </row>
    <row r="59" spans="1:8" x14ac:dyDescent="0.2">
      <c r="A59" s="22">
        <v>3</v>
      </c>
      <c r="B59" s="23" t="s">
        <v>74</v>
      </c>
      <c r="C59" s="24">
        <v>862</v>
      </c>
      <c r="D59" s="57">
        <v>2.5</v>
      </c>
      <c r="E59" s="8" t="s">
        <v>123</v>
      </c>
      <c r="F59" s="8" t="s">
        <v>123</v>
      </c>
      <c r="G59" s="8">
        <f t="shared" si="0"/>
        <v>2.5</v>
      </c>
      <c r="H59" s="8" t="s">
        <v>123</v>
      </c>
    </row>
    <row r="60" spans="1:8" x14ac:dyDescent="0.2">
      <c r="A60" s="22">
        <v>3</v>
      </c>
      <c r="B60" s="23" t="s">
        <v>74</v>
      </c>
      <c r="C60" s="24">
        <v>865</v>
      </c>
      <c r="D60" s="57">
        <v>2.4</v>
      </c>
      <c r="E60" s="8" t="s">
        <v>123</v>
      </c>
      <c r="F60" s="8" t="s">
        <v>123</v>
      </c>
      <c r="G60" s="8">
        <f t="shared" si="0"/>
        <v>2.4</v>
      </c>
      <c r="H60" s="8" t="s">
        <v>123</v>
      </c>
    </row>
    <row r="61" spans="1:8" x14ac:dyDescent="0.2">
      <c r="A61" s="22">
        <v>3</v>
      </c>
      <c r="B61" s="23" t="s">
        <v>74</v>
      </c>
      <c r="C61" s="24">
        <v>866</v>
      </c>
      <c r="D61" s="57">
        <v>2.2999999999999998</v>
      </c>
      <c r="E61" s="8" t="s">
        <v>123</v>
      </c>
      <c r="F61" s="8" t="s">
        <v>123</v>
      </c>
      <c r="G61" s="8">
        <f t="shared" si="0"/>
        <v>2.2999999999999998</v>
      </c>
      <c r="H61" s="8" t="s">
        <v>123</v>
      </c>
    </row>
    <row r="62" spans="1:8" x14ac:dyDescent="0.2">
      <c r="A62" s="22">
        <v>3</v>
      </c>
      <c r="B62" s="23" t="s">
        <v>74</v>
      </c>
      <c r="C62" s="24">
        <v>871</v>
      </c>
      <c r="D62" s="57">
        <v>2.2000000000000002</v>
      </c>
      <c r="E62" s="8" t="s">
        <v>123</v>
      </c>
      <c r="F62" s="8" t="s">
        <v>123</v>
      </c>
      <c r="G62" s="8">
        <f t="shared" si="0"/>
        <v>2.2000000000000002</v>
      </c>
      <c r="H62" s="8" t="s">
        <v>123</v>
      </c>
    </row>
    <row r="63" spans="1:8" x14ac:dyDescent="0.2">
      <c r="A63" s="22">
        <v>3</v>
      </c>
      <c r="B63" s="23" t="s">
        <v>74</v>
      </c>
      <c r="C63" s="24">
        <v>873</v>
      </c>
      <c r="D63" s="57">
        <v>2</v>
      </c>
      <c r="E63" s="8" t="s">
        <v>123</v>
      </c>
      <c r="F63" s="8" t="s">
        <v>123</v>
      </c>
      <c r="G63" s="8">
        <f t="shared" si="0"/>
        <v>2</v>
      </c>
      <c r="H63" s="8" t="s">
        <v>123</v>
      </c>
    </row>
    <row r="64" spans="1:8" x14ac:dyDescent="0.2">
      <c r="A64" s="22">
        <v>3</v>
      </c>
      <c r="B64" s="23" t="s">
        <v>74</v>
      </c>
      <c r="C64" s="24">
        <v>874</v>
      </c>
      <c r="D64" s="57">
        <v>2</v>
      </c>
      <c r="E64" s="8" t="s">
        <v>123</v>
      </c>
      <c r="F64" s="8" t="s">
        <v>123</v>
      </c>
      <c r="G64" s="8">
        <f t="shared" si="0"/>
        <v>2</v>
      </c>
      <c r="H64" s="8" t="s">
        <v>123</v>
      </c>
    </row>
    <row r="65" spans="1:8" x14ac:dyDescent="0.2">
      <c r="A65" s="22">
        <v>3</v>
      </c>
      <c r="B65" s="23" t="s">
        <v>74</v>
      </c>
      <c r="C65" s="24">
        <v>877</v>
      </c>
      <c r="D65" s="57">
        <v>1.7</v>
      </c>
      <c r="E65" s="8" t="s">
        <v>123</v>
      </c>
      <c r="F65" s="8" t="s">
        <v>123</v>
      </c>
      <c r="G65" s="8">
        <f t="shared" si="0"/>
        <v>1.7</v>
      </c>
      <c r="H65" s="8" t="s">
        <v>123</v>
      </c>
    </row>
    <row r="66" spans="1:8" x14ac:dyDescent="0.2">
      <c r="A66" s="22">
        <v>3</v>
      </c>
      <c r="B66" s="23" t="s">
        <v>74</v>
      </c>
      <c r="C66" s="24">
        <v>879</v>
      </c>
      <c r="D66" s="57">
        <v>2.7</v>
      </c>
      <c r="E66" s="8" t="s">
        <v>123</v>
      </c>
      <c r="F66" s="8" t="s">
        <v>123</v>
      </c>
      <c r="G66" s="8">
        <f t="shared" si="0"/>
        <v>2.7</v>
      </c>
      <c r="H66" s="8" t="s">
        <v>123</v>
      </c>
    </row>
    <row r="67" spans="1:8" x14ac:dyDescent="0.2">
      <c r="A67" s="22">
        <v>3</v>
      </c>
      <c r="B67" s="23" t="s">
        <v>74</v>
      </c>
      <c r="C67" s="24">
        <v>887</v>
      </c>
      <c r="D67" s="57">
        <v>2.7</v>
      </c>
      <c r="E67" s="8" t="s">
        <v>123</v>
      </c>
      <c r="F67" s="8" t="s">
        <v>123</v>
      </c>
      <c r="G67" s="8">
        <f t="shared" si="0"/>
        <v>2.7</v>
      </c>
      <c r="H67" s="8" t="s">
        <v>123</v>
      </c>
    </row>
    <row r="68" spans="1:8" x14ac:dyDescent="0.2">
      <c r="A68" s="22">
        <v>3</v>
      </c>
      <c r="B68" s="23" t="s">
        <v>74</v>
      </c>
      <c r="C68" s="24">
        <v>888</v>
      </c>
      <c r="D68" s="57">
        <v>2.1</v>
      </c>
      <c r="E68" s="8" t="s">
        <v>123</v>
      </c>
      <c r="F68" s="8" t="s">
        <v>123</v>
      </c>
      <c r="G68" s="8">
        <f t="shared" si="0"/>
        <v>2.1</v>
      </c>
      <c r="H68" s="8" t="s">
        <v>123</v>
      </c>
    </row>
    <row r="69" spans="1:8" x14ac:dyDescent="0.2">
      <c r="A69" s="13">
        <v>4</v>
      </c>
      <c r="B69" s="14" t="s">
        <v>104</v>
      </c>
      <c r="C69" s="15" t="s">
        <v>105</v>
      </c>
      <c r="D69" s="57">
        <v>3</v>
      </c>
      <c r="E69" s="8" t="s">
        <v>123</v>
      </c>
      <c r="F69" s="8" t="s">
        <v>123</v>
      </c>
      <c r="G69" s="8">
        <f t="shared" si="0"/>
        <v>3</v>
      </c>
      <c r="H69" s="8" t="s">
        <v>123</v>
      </c>
    </row>
    <row r="70" spans="1:8" x14ac:dyDescent="0.2">
      <c r="A70" s="16">
        <v>4</v>
      </c>
      <c r="B70" s="14" t="s">
        <v>104</v>
      </c>
      <c r="C70" s="18" t="s">
        <v>106</v>
      </c>
      <c r="D70" s="57">
        <v>3.7</v>
      </c>
      <c r="E70" s="8" t="s">
        <v>123</v>
      </c>
      <c r="F70" s="8" t="s">
        <v>123</v>
      </c>
      <c r="G70" s="8">
        <f t="shared" si="0"/>
        <v>3.7</v>
      </c>
      <c r="H70" s="8" t="s">
        <v>123</v>
      </c>
    </row>
    <row r="71" spans="1:8" x14ac:dyDescent="0.2">
      <c r="A71" s="16">
        <v>4</v>
      </c>
      <c r="B71" s="14" t="s">
        <v>104</v>
      </c>
      <c r="C71" s="18" t="s">
        <v>107</v>
      </c>
      <c r="D71" s="57">
        <v>3.8</v>
      </c>
      <c r="E71" s="8" t="s">
        <v>123</v>
      </c>
      <c r="F71" s="8" t="s">
        <v>123</v>
      </c>
      <c r="G71" s="8">
        <f t="shared" si="0"/>
        <v>3.8</v>
      </c>
      <c r="H71" s="8" t="s">
        <v>123</v>
      </c>
    </row>
    <row r="72" spans="1:8" x14ac:dyDescent="0.2">
      <c r="A72" s="16">
        <v>4</v>
      </c>
      <c r="B72" s="14" t="s">
        <v>104</v>
      </c>
      <c r="C72" s="18" t="s">
        <v>108</v>
      </c>
      <c r="D72" s="57">
        <v>2.6</v>
      </c>
      <c r="E72" s="8" t="s">
        <v>123</v>
      </c>
      <c r="F72" s="8" t="s">
        <v>123</v>
      </c>
      <c r="G72" s="8">
        <f t="shared" si="0"/>
        <v>2.6</v>
      </c>
      <c r="H72" s="8" t="s">
        <v>123</v>
      </c>
    </row>
    <row r="73" spans="1:8" x14ac:dyDescent="0.2">
      <c r="A73" s="16">
        <v>4</v>
      </c>
      <c r="B73" s="14" t="s">
        <v>104</v>
      </c>
      <c r="C73" s="18" t="s">
        <v>109</v>
      </c>
      <c r="D73" s="57">
        <v>3.2</v>
      </c>
      <c r="E73" s="8" t="s">
        <v>123</v>
      </c>
      <c r="F73" s="8" t="s">
        <v>123</v>
      </c>
      <c r="G73" s="8">
        <f t="shared" ref="G73:G102" si="1">IF(D73="NA","NA",ROUND(AVERAGE(D73:F73),2))</f>
        <v>3.2</v>
      </c>
      <c r="H73" s="8" t="s">
        <v>123</v>
      </c>
    </row>
    <row r="74" spans="1:8" x14ac:dyDescent="0.2">
      <c r="A74" s="16">
        <v>4</v>
      </c>
      <c r="B74" s="14" t="s">
        <v>104</v>
      </c>
      <c r="C74" s="18" t="s">
        <v>110</v>
      </c>
      <c r="D74" s="57">
        <v>2.2000000000000002</v>
      </c>
      <c r="E74" s="8" t="s">
        <v>123</v>
      </c>
      <c r="F74" s="8" t="s">
        <v>123</v>
      </c>
      <c r="G74" s="8">
        <f t="shared" si="1"/>
        <v>2.2000000000000002</v>
      </c>
      <c r="H74" s="8" t="s">
        <v>123</v>
      </c>
    </row>
    <row r="75" spans="1:8" x14ac:dyDescent="0.2">
      <c r="A75" s="16">
        <v>4</v>
      </c>
      <c r="B75" s="14" t="s">
        <v>104</v>
      </c>
      <c r="C75" s="18" t="s">
        <v>111</v>
      </c>
      <c r="D75" s="57">
        <v>1.5</v>
      </c>
      <c r="E75" s="8" t="s">
        <v>123</v>
      </c>
      <c r="F75" s="8" t="s">
        <v>123</v>
      </c>
      <c r="G75" s="8">
        <f t="shared" si="1"/>
        <v>1.5</v>
      </c>
      <c r="H75" s="8" t="s">
        <v>123</v>
      </c>
    </row>
    <row r="76" spans="1:8" x14ac:dyDescent="0.2">
      <c r="A76" s="16">
        <v>4</v>
      </c>
      <c r="B76" s="14" t="s">
        <v>104</v>
      </c>
      <c r="C76" s="18" t="s">
        <v>112</v>
      </c>
      <c r="D76" s="57">
        <v>2.6</v>
      </c>
      <c r="E76" s="8" t="s">
        <v>123</v>
      </c>
      <c r="F76" s="8" t="s">
        <v>123</v>
      </c>
      <c r="G76" s="8">
        <f t="shared" si="1"/>
        <v>2.6</v>
      </c>
      <c r="H76" s="8" t="s">
        <v>123</v>
      </c>
    </row>
    <row r="77" spans="1:8" x14ac:dyDescent="0.2">
      <c r="A77" s="16">
        <v>4</v>
      </c>
      <c r="B77" s="14" t="s">
        <v>104</v>
      </c>
      <c r="C77" s="18" t="s">
        <v>113</v>
      </c>
      <c r="D77" s="57">
        <v>2.9</v>
      </c>
      <c r="E77" s="8" t="s">
        <v>123</v>
      </c>
      <c r="F77" s="8" t="s">
        <v>123</v>
      </c>
      <c r="G77" s="8">
        <f t="shared" si="1"/>
        <v>2.9</v>
      </c>
      <c r="H77" s="8" t="s">
        <v>123</v>
      </c>
    </row>
    <row r="78" spans="1:8" x14ac:dyDescent="0.2">
      <c r="A78" s="16">
        <v>4</v>
      </c>
      <c r="B78" s="14" t="s">
        <v>104</v>
      </c>
      <c r="C78" s="18" t="s">
        <v>114</v>
      </c>
      <c r="D78" s="57">
        <v>2.2999999999999998</v>
      </c>
      <c r="E78" s="8" t="s">
        <v>123</v>
      </c>
      <c r="F78" s="8" t="s">
        <v>123</v>
      </c>
      <c r="G78" s="8">
        <f t="shared" si="1"/>
        <v>2.2999999999999998</v>
      </c>
      <c r="H78" s="8" t="s">
        <v>123</v>
      </c>
    </row>
    <row r="79" spans="1:8" x14ac:dyDescent="0.2">
      <c r="A79" s="16">
        <v>4</v>
      </c>
      <c r="B79" s="14" t="s">
        <v>104</v>
      </c>
      <c r="C79" s="18" t="s">
        <v>115</v>
      </c>
      <c r="D79" s="57">
        <v>3.4</v>
      </c>
      <c r="E79" s="8" t="s">
        <v>123</v>
      </c>
      <c r="F79" s="8" t="s">
        <v>123</v>
      </c>
      <c r="G79" s="8">
        <f t="shared" si="1"/>
        <v>3.4</v>
      </c>
      <c r="H79" s="8" t="s">
        <v>123</v>
      </c>
    </row>
    <row r="80" spans="1:8" x14ac:dyDescent="0.2">
      <c r="A80" s="16">
        <v>4</v>
      </c>
      <c r="B80" s="14" t="s">
        <v>104</v>
      </c>
      <c r="C80" s="18" t="s">
        <v>116</v>
      </c>
      <c r="D80" s="57">
        <v>2.5</v>
      </c>
      <c r="E80" s="8" t="s">
        <v>123</v>
      </c>
      <c r="F80" s="8" t="s">
        <v>123</v>
      </c>
      <c r="G80" s="8">
        <f t="shared" si="1"/>
        <v>2.5</v>
      </c>
      <c r="H80" s="8" t="s">
        <v>123</v>
      </c>
    </row>
    <row r="81" spans="1:8" x14ac:dyDescent="0.2">
      <c r="A81" s="16">
        <v>4</v>
      </c>
      <c r="B81" s="14" t="s">
        <v>104</v>
      </c>
      <c r="C81" s="18" t="s">
        <v>117</v>
      </c>
      <c r="D81" s="57">
        <v>3.1</v>
      </c>
      <c r="E81" s="8" t="s">
        <v>123</v>
      </c>
      <c r="F81" s="8" t="s">
        <v>123</v>
      </c>
      <c r="G81" s="8">
        <f t="shared" si="1"/>
        <v>3.1</v>
      </c>
      <c r="H81" s="8" t="s">
        <v>123</v>
      </c>
    </row>
    <row r="82" spans="1:8" x14ac:dyDescent="0.2">
      <c r="A82" s="16">
        <v>4</v>
      </c>
      <c r="B82" s="14" t="s">
        <v>104</v>
      </c>
      <c r="C82" s="18" t="s">
        <v>118</v>
      </c>
      <c r="D82" s="57">
        <v>2.2000000000000002</v>
      </c>
      <c r="E82" s="8" t="s">
        <v>123</v>
      </c>
      <c r="F82" s="8" t="s">
        <v>123</v>
      </c>
      <c r="G82" s="8">
        <f t="shared" si="1"/>
        <v>2.2000000000000002</v>
      </c>
      <c r="H82" s="8" t="s">
        <v>123</v>
      </c>
    </row>
    <row r="83" spans="1:8" x14ac:dyDescent="0.2">
      <c r="A83" s="16">
        <v>4</v>
      </c>
      <c r="B83" s="14" t="s">
        <v>104</v>
      </c>
      <c r="C83" s="18" t="s">
        <v>119</v>
      </c>
      <c r="D83" s="57" t="s">
        <v>123</v>
      </c>
      <c r="E83" s="8" t="s">
        <v>123</v>
      </c>
      <c r="F83" s="8" t="s">
        <v>123</v>
      </c>
      <c r="G83" s="8" t="str">
        <f t="shared" si="1"/>
        <v>NA</v>
      </c>
      <c r="H83" s="8" t="s">
        <v>123</v>
      </c>
    </row>
    <row r="84" spans="1:8" x14ac:dyDescent="0.2">
      <c r="A84" s="16">
        <v>4</v>
      </c>
      <c r="B84" s="14" t="s">
        <v>104</v>
      </c>
      <c r="C84" s="18" t="s">
        <v>120</v>
      </c>
      <c r="D84" s="57">
        <v>2.2000000000000002</v>
      </c>
      <c r="E84" s="8" t="s">
        <v>123</v>
      </c>
      <c r="F84" s="8" t="s">
        <v>123</v>
      </c>
      <c r="G84" s="8">
        <f t="shared" si="1"/>
        <v>2.2000000000000002</v>
      </c>
      <c r="H84" s="8" t="s">
        <v>123</v>
      </c>
    </row>
    <row r="85" spans="1:8" x14ac:dyDescent="0.2">
      <c r="A85" s="16">
        <v>4</v>
      </c>
      <c r="B85" s="14" t="s">
        <v>104</v>
      </c>
      <c r="C85" s="18" t="s">
        <v>121</v>
      </c>
      <c r="D85" s="57">
        <v>2.7</v>
      </c>
      <c r="E85" s="8" t="s">
        <v>123</v>
      </c>
      <c r="F85" s="8" t="s">
        <v>123</v>
      </c>
      <c r="G85" s="8">
        <f t="shared" si="1"/>
        <v>2.7</v>
      </c>
      <c r="H85" s="8" t="s">
        <v>123</v>
      </c>
    </row>
    <row r="86" spans="1:8" x14ac:dyDescent="0.2">
      <c r="A86" s="16">
        <v>4</v>
      </c>
      <c r="B86" s="14" t="s">
        <v>104</v>
      </c>
      <c r="C86" s="18" t="s">
        <v>122</v>
      </c>
      <c r="D86" s="57" t="s">
        <v>123</v>
      </c>
      <c r="E86" s="8" t="s">
        <v>123</v>
      </c>
      <c r="F86" s="8" t="s">
        <v>123</v>
      </c>
      <c r="G86" s="8" t="str">
        <f t="shared" si="1"/>
        <v>NA</v>
      </c>
      <c r="H86" s="8" t="s">
        <v>123</v>
      </c>
    </row>
    <row r="87" spans="1:8" x14ac:dyDescent="0.2">
      <c r="A87" s="16">
        <v>4</v>
      </c>
      <c r="B87" s="14" t="s">
        <v>104</v>
      </c>
      <c r="C87" s="18" t="s">
        <v>124</v>
      </c>
      <c r="D87" s="57">
        <v>1.8</v>
      </c>
      <c r="E87" s="8" t="s">
        <v>123</v>
      </c>
      <c r="F87" s="8" t="s">
        <v>123</v>
      </c>
      <c r="G87" s="8">
        <f t="shared" si="1"/>
        <v>1.8</v>
      </c>
      <c r="H87" s="8" t="s">
        <v>123</v>
      </c>
    </row>
    <row r="88" spans="1:8" x14ac:dyDescent="0.2">
      <c r="A88" s="16">
        <v>4</v>
      </c>
      <c r="B88" s="14" t="s">
        <v>104</v>
      </c>
      <c r="C88" s="18" t="s">
        <v>125</v>
      </c>
      <c r="D88" s="57">
        <v>2.2000000000000002</v>
      </c>
      <c r="E88" s="8" t="s">
        <v>123</v>
      </c>
      <c r="F88" s="8" t="s">
        <v>123</v>
      </c>
      <c r="G88" s="8">
        <f t="shared" si="1"/>
        <v>2.2000000000000002</v>
      </c>
      <c r="H88" s="8" t="s">
        <v>123</v>
      </c>
    </row>
    <row r="89" spans="1:8" x14ac:dyDescent="0.2">
      <c r="A89" s="16">
        <v>4</v>
      </c>
      <c r="B89" s="14" t="s">
        <v>104</v>
      </c>
      <c r="C89" s="18" t="s">
        <v>126</v>
      </c>
      <c r="D89" s="57">
        <v>1.6</v>
      </c>
      <c r="E89" s="8" t="s">
        <v>123</v>
      </c>
      <c r="F89" s="8" t="s">
        <v>123</v>
      </c>
      <c r="G89" s="8">
        <f t="shared" si="1"/>
        <v>1.6</v>
      </c>
      <c r="H89" s="8" t="s">
        <v>123</v>
      </c>
    </row>
    <row r="90" spans="1:8" x14ac:dyDescent="0.2">
      <c r="A90" s="16">
        <v>4</v>
      </c>
      <c r="B90" s="14" t="s">
        <v>104</v>
      </c>
      <c r="C90" s="18" t="s">
        <v>127</v>
      </c>
      <c r="D90" s="57" t="s">
        <v>123</v>
      </c>
      <c r="E90" s="8" t="s">
        <v>123</v>
      </c>
      <c r="F90" s="8" t="s">
        <v>123</v>
      </c>
      <c r="G90" s="8" t="str">
        <f t="shared" si="1"/>
        <v>NA</v>
      </c>
      <c r="H90" s="8" t="s">
        <v>123</v>
      </c>
    </row>
    <row r="91" spans="1:8" x14ac:dyDescent="0.2">
      <c r="A91" s="16">
        <v>4</v>
      </c>
      <c r="B91" s="14" t="s">
        <v>104</v>
      </c>
      <c r="C91" s="18" t="s">
        <v>128</v>
      </c>
      <c r="D91" s="57">
        <v>2.6</v>
      </c>
      <c r="E91" s="8" t="s">
        <v>123</v>
      </c>
      <c r="F91" s="8" t="s">
        <v>123</v>
      </c>
      <c r="G91" s="8">
        <f t="shared" si="1"/>
        <v>2.6</v>
      </c>
      <c r="H91" s="8" t="s">
        <v>123</v>
      </c>
    </row>
    <row r="92" spans="1:8" x14ac:dyDescent="0.2">
      <c r="A92" s="16">
        <v>4</v>
      </c>
      <c r="B92" s="14" t="s">
        <v>104</v>
      </c>
      <c r="C92" s="18" t="s">
        <v>129</v>
      </c>
      <c r="D92" s="57">
        <v>1.9</v>
      </c>
      <c r="E92" s="8" t="s">
        <v>123</v>
      </c>
      <c r="F92" s="8" t="s">
        <v>123</v>
      </c>
      <c r="G92" s="8">
        <f t="shared" si="1"/>
        <v>1.9</v>
      </c>
      <c r="H92" s="8" t="s">
        <v>123</v>
      </c>
    </row>
    <row r="93" spans="1:8" x14ac:dyDescent="0.2">
      <c r="A93" s="16">
        <v>4</v>
      </c>
      <c r="B93" s="14" t="s">
        <v>104</v>
      </c>
      <c r="C93" s="18" t="s">
        <v>130</v>
      </c>
      <c r="D93" s="57">
        <v>2.2000000000000002</v>
      </c>
      <c r="E93" s="8" t="s">
        <v>123</v>
      </c>
      <c r="F93" s="8" t="s">
        <v>123</v>
      </c>
      <c r="G93" s="8">
        <f t="shared" si="1"/>
        <v>2.2000000000000002</v>
      </c>
      <c r="H93" s="8" t="s">
        <v>123</v>
      </c>
    </row>
    <row r="94" spans="1:8" x14ac:dyDescent="0.2">
      <c r="A94" s="16">
        <v>4</v>
      </c>
      <c r="B94" s="14" t="s">
        <v>104</v>
      </c>
      <c r="C94" s="18" t="s">
        <v>131</v>
      </c>
      <c r="D94" s="57">
        <v>3</v>
      </c>
      <c r="E94" s="8" t="s">
        <v>123</v>
      </c>
      <c r="F94" s="8" t="s">
        <v>123</v>
      </c>
      <c r="G94" s="8">
        <f t="shared" si="1"/>
        <v>3</v>
      </c>
      <c r="H94" s="8" t="s">
        <v>123</v>
      </c>
    </row>
    <row r="95" spans="1:8" x14ac:dyDescent="0.2">
      <c r="A95" s="16">
        <v>4</v>
      </c>
      <c r="B95" s="14" t="s">
        <v>104</v>
      </c>
      <c r="C95" s="18" t="s">
        <v>132</v>
      </c>
      <c r="D95" s="57">
        <v>2.4</v>
      </c>
      <c r="E95" s="8" t="s">
        <v>123</v>
      </c>
      <c r="F95" s="8" t="s">
        <v>123</v>
      </c>
      <c r="G95" s="8">
        <f t="shared" si="1"/>
        <v>2.4</v>
      </c>
      <c r="H95" s="8" t="s">
        <v>123</v>
      </c>
    </row>
    <row r="96" spans="1:8" x14ac:dyDescent="0.2">
      <c r="A96" s="16">
        <v>4</v>
      </c>
      <c r="B96" s="14" t="s">
        <v>104</v>
      </c>
      <c r="C96" s="18" t="s">
        <v>133</v>
      </c>
      <c r="D96" s="57">
        <v>3</v>
      </c>
      <c r="E96" s="8" t="s">
        <v>123</v>
      </c>
      <c r="F96" s="8" t="s">
        <v>123</v>
      </c>
      <c r="G96" s="8">
        <f t="shared" si="1"/>
        <v>3</v>
      </c>
      <c r="H96" s="8" t="s">
        <v>123</v>
      </c>
    </row>
    <row r="97" spans="1:8" x14ac:dyDescent="0.2">
      <c r="A97" s="16">
        <v>4</v>
      </c>
      <c r="B97" s="14" t="s">
        <v>104</v>
      </c>
      <c r="C97" s="18" t="s">
        <v>134</v>
      </c>
      <c r="D97" s="57">
        <v>2</v>
      </c>
      <c r="E97" s="8" t="s">
        <v>123</v>
      </c>
      <c r="F97" s="8" t="s">
        <v>123</v>
      </c>
      <c r="G97" s="8">
        <f t="shared" si="1"/>
        <v>2</v>
      </c>
      <c r="H97" s="8" t="s">
        <v>123</v>
      </c>
    </row>
    <row r="98" spans="1:8" x14ac:dyDescent="0.2">
      <c r="A98" s="17">
        <v>4</v>
      </c>
      <c r="B98" s="17" t="s">
        <v>104</v>
      </c>
      <c r="C98" s="17" t="s">
        <v>135</v>
      </c>
      <c r="D98" s="57">
        <v>2.5</v>
      </c>
      <c r="E98" s="8" t="s">
        <v>123</v>
      </c>
      <c r="F98" s="8" t="s">
        <v>123</v>
      </c>
      <c r="G98" s="8">
        <f t="shared" si="1"/>
        <v>2.5</v>
      </c>
      <c r="H98" s="8" t="s">
        <v>123</v>
      </c>
    </row>
    <row r="99" spans="1:8" x14ac:dyDescent="0.2">
      <c r="A99" s="17">
        <v>4</v>
      </c>
      <c r="B99" s="17" t="s">
        <v>104</v>
      </c>
      <c r="C99" s="17" t="s">
        <v>136</v>
      </c>
      <c r="D99" s="57">
        <v>1.9</v>
      </c>
      <c r="E99" s="8" t="s">
        <v>123</v>
      </c>
      <c r="F99" s="8" t="s">
        <v>123</v>
      </c>
      <c r="G99" s="8">
        <f t="shared" si="1"/>
        <v>1.9</v>
      </c>
      <c r="H99" s="8" t="s">
        <v>123</v>
      </c>
    </row>
    <row r="100" spans="1:8" x14ac:dyDescent="0.2">
      <c r="A100" s="17">
        <v>4</v>
      </c>
      <c r="B100" s="17" t="s">
        <v>104</v>
      </c>
      <c r="C100" s="17" t="s">
        <v>137</v>
      </c>
      <c r="D100" s="8" t="s">
        <v>123</v>
      </c>
      <c r="E100" s="8" t="s">
        <v>123</v>
      </c>
      <c r="F100" s="8" t="s">
        <v>123</v>
      </c>
      <c r="G100" s="8" t="str">
        <f t="shared" si="1"/>
        <v>NA</v>
      </c>
      <c r="H100" s="8" t="s">
        <v>123</v>
      </c>
    </row>
    <row r="101" spans="1:8" x14ac:dyDescent="0.2">
      <c r="A101" s="17">
        <v>4</v>
      </c>
      <c r="B101" s="17" t="s">
        <v>104</v>
      </c>
      <c r="C101" s="17" t="s">
        <v>138</v>
      </c>
      <c r="D101" s="8" t="s">
        <v>123</v>
      </c>
      <c r="E101" s="8" t="s">
        <v>123</v>
      </c>
      <c r="F101" s="8" t="s">
        <v>123</v>
      </c>
      <c r="G101" s="8" t="str">
        <f t="shared" si="1"/>
        <v>NA</v>
      </c>
      <c r="H101" s="8" t="s">
        <v>123</v>
      </c>
    </row>
    <row r="102" spans="1:8" x14ac:dyDescent="0.2">
      <c r="A102" s="17">
        <v>4</v>
      </c>
      <c r="B102" s="17" t="s">
        <v>104</v>
      </c>
      <c r="C102" s="17" t="s">
        <v>139</v>
      </c>
      <c r="D102" s="8" t="s">
        <v>123</v>
      </c>
      <c r="E102" s="8" t="s">
        <v>123</v>
      </c>
      <c r="F102" s="8" t="s">
        <v>123</v>
      </c>
      <c r="G102" s="8" t="str">
        <f t="shared" si="1"/>
        <v>NA</v>
      </c>
      <c r="H102" s="8" t="s">
        <v>123</v>
      </c>
    </row>
  </sheetData>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295BB765B18F4F8E2FA0E76A0678D9" ma:contentTypeVersion="12" ma:contentTypeDescription="Create a new document." ma:contentTypeScope="" ma:versionID="71a5333348e70b81a4b2bd362ea33512">
  <xsd:schema xmlns:xsd="http://www.w3.org/2001/XMLSchema" xmlns:xs="http://www.w3.org/2001/XMLSchema" xmlns:p="http://schemas.microsoft.com/office/2006/metadata/properties" xmlns:ns2="6d8f4645-1ce1-4e57-9c79-d5a655a4a1df" xmlns:ns3="43af839e-4965-4e5d-91c7-20c8e24ede04" targetNamespace="http://schemas.microsoft.com/office/2006/metadata/properties" ma:root="true" ma:fieldsID="e5cd9eac90a48616890fd7537f83ac51" ns2:_="" ns3:_="">
    <xsd:import namespace="6d8f4645-1ce1-4e57-9c79-d5a655a4a1df"/>
    <xsd:import namespace="43af839e-4965-4e5d-91c7-20c8e24ede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8f4645-1ce1-4e57-9c79-d5a655a4a1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e77d114-7286-4773-b3f3-9b1cc7669c5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af839e-4965-4e5d-91c7-20c8e24ede04"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1c8f86f-80e2-42d1-92c3-8730e4a3d0b4}" ma:internalName="TaxCatchAll" ma:showField="CatchAllData" ma:web="43af839e-4965-4e5d-91c7-20c8e24ede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8f4645-1ce1-4e57-9c79-d5a655a4a1df">
      <Terms xmlns="http://schemas.microsoft.com/office/infopath/2007/PartnerControls"/>
    </lcf76f155ced4ddcb4097134ff3c332f>
    <TaxCatchAll xmlns="43af839e-4965-4e5d-91c7-20c8e24ede0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4F8411-F1A4-489E-92FA-C6504FAE7E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8f4645-1ce1-4e57-9c79-d5a655a4a1df"/>
    <ds:schemaRef ds:uri="43af839e-4965-4e5d-91c7-20c8e24ede0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6A720B0-11C0-4E19-8759-72A2F6962DF9}">
  <ds:schemaRefs>
    <ds:schemaRef ds:uri="http://schemas.microsoft.com/office/2006/documentManagement/types"/>
    <ds:schemaRef ds:uri="6d8f4645-1ce1-4e57-9c79-d5a655a4a1df"/>
    <ds:schemaRef ds:uri="http://purl.org/dc/elements/1.1/"/>
    <ds:schemaRef ds:uri="http://www.w3.org/XML/1998/namespace"/>
    <ds:schemaRef ds:uri="http://schemas.openxmlformats.org/package/2006/metadata/core-properties"/>
    <ds:schemaRef ds:uri="http://purl.org/dc/dcmitype/"/>
    <ds:schemaRef ds:uri="http://schemas.microsoft.com/office/2006/metadata/properties"/>
    <ds:schemaRef ds:uri="http://purl.org/dc/terms/"/>
    <ds:schemaRef ds:uri="http://schemas.microsoft.com/office/infopath/2007/PartnerControls"/>
    <ds:schemaRef ds:uri="43af839e-4965-4e5d-91c7-20c8e24ede04"/>
  </ds:schemaRefs>
</ds:datastoreItem>
</file>

<file path=customXml/itemProps3.xml><?xml version="1.0" encoding="utf-8"?>
<ds:datastoreItem xmlns:ds="http://schemas.openxmlformats.org/officeDocument/2006/customXml" ds:itemID="{EFB411B4-9478-478D-8027-01335B41753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20</vt:i4>
      </vt:variant>
      <vt:variant>
        <vt:lpstr>Named Ranges</vt:lpstr>
      </vt:variant>
      <vt:variant>
        <vt:i4>1</vt:i4>
      </vt:variant>
    </vt:vector>
  </HeadingPairs>
  <TitlesOfParts>
    <vt:vector size="21" baseType="lpstr">
      <vt:lpstr>Template</vt:lpstr>
      <vt:lpstr>2026-04-10</vt:lpstr>
      <vt:lpstr>2026-04-08</vt:lpstr>
      <vt:lpstr>2026-03-30</vt:lpstr>
      <vt:lpstr>2026-03-26</vt:lpstr>
      <vt:lpstr>2026-03-06</vt:lpstr>
      <vt:lpstr>2026 Tapping</vt:lpstr>
      <vt:lpstr>2025 Tapping</vt:lpstr>
      <vt:lpstr>2025-04-17</vt:lpstr>
      <vt:lpstr>2025-04-10</vt:lpstr>
      <vt:lpstr>2025-04-03</vt:lpstr>
      <vt:lpstr>2025-03-26</vt:lpstr>
      <vt:lpstr>2025-03-19</vt:lpstr>
      <vt:lpstr>2025-03-12</vt:lpstr>
      <vt:lpstr>2025-03-05</vt:lpstr>
      <vt:lpstr>2024-04-02</vt:lpstr>
      <vt:lpstr>2024-03-30</vt:lpstr>
      <vt:lpstr>2024-03-26</vt:lpstr>
      <vt:lpstr>2024-03-05</vt:lpstr>
      <vt:lpstr>2024-02-27</vt:lpstr>
      <vt:lpstr>Template!Print_Area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Timothy Perkins</dc:creator>
  <cp:keywords/>
  <dc:description/>
  <cp:lastModifiedBy>Hannah Mcnulty</cp:lastModifiedBy>
  <cp:revision/>
  <cp:lastPrinted>2026-05-07T17:55:47Z</cp:lastPrinted>
  <dcterms:created xsi:type="dcterms:W3CDTF">2024-09-25T12:13:12Z</dcterms:created>
  <dcterms:modified xsi:type="dcterms:W3CDTF">2026-05-12T19:15:48Z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0x01010049295BB765B18F4F8E2FA0E76A0678D9</vt:lpwstr>
  </property>
  <property fmtid="{D5CDD505-2E9C-101B-9397-08002B2CF9AE}" pid="3" name="MediaServiceImageTags">
    <vt:lpwstr/>
  </property>
</Properties>
</file>